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в день" sheetId="1" r:id="rId5"/>
    <sheet state="visible" name="F" sheetId="2" r:id="rId6"/>
  </sheets>
  <definedNames/>
  <calcPr/>
</workbook>
</file>

<file path=xl/sharedStrings.xml><?xml version="1.0" encoding="utf-8"?>
<sst xmlns="http://schemas.openxmlformats.org/spreadsheetml/2006/main" count="1063" uniqueCount="55">
  <si>
    <t>Микроцикл</t>
  </si>
  <si>
    <t>Дата</t>
  </si>
  <si>
    <t>Нагрузка</t>
  </si>
  <si>
    <t>Группа</t>
  </si>
  <si>
    <t>Упражнения</t>
  </si>
  <si>
    <t>Коэф</t>
  </si>
  <si>
    <t>Множ</t>
  </si>
  <si>
    <t>Вес</t>
  </si>
  <si>
    <t>Пов</t>
  </si>
  <si>
    <t>Под</t>
  </si>
  <si>
    <t xml:space="preserve">% </t>
  </si>
  <si>
    <t>Тоннаж</t>
  </si>
  <si>
    <t>Ср.вес</t>
  </si>
  <si>
    <t>ОИ</t>
  </si>
  <si>
    <t>ПМ</t>
  </si>
  <si>
    <t>Инт.Ф+Б</t>
  </si>
  <si>
    <t>КПШ</t>
  </si>
  <si>
    <t>Время</t>
  </si>
  <si>
    <t>Комментарии</t>
  </si>
  <si>
    <t>Тяжелая</t>
  </si>
  <si>
    <t>ПР</t>
  </si>
  <si>
    <t>Присед</t>
  </si>
  <si>
    <t>ЖМ</t>
  </si>
  <si>
    <t>Жим лежа</t>
  </si>
  <si>
    <t>Средняя</t>
  </si>
  <si>
    <t>Жим гантелей</t>
  </si>
  <si>
    <t>Легкая</t>
  </si>
  <si>
    <t>ОФП</t>
  </si>
  <si>
    <t>Французский жим</t>
  </si>
  <si>
    <t>ТГ</t>
  </si>
  <si>
    <t>Становая тяга</t>
  </si>
  <si>
    <t>Наклоны со штангой</t>
  </si>
  <si>
    <t>Жим стоя</t>
  </si>
  <si>
    <t>Жим средним хватом</t>
  </si>
  <si>
    <t>Жим на наклонной скамье</t>
  </si>
  <si>
    <t>Бицепс стоя</t>
  </si>
  <si>
    <t>.</t>
  </si>
  <si>
    <t>Время на 1 подход (по-умолчанию)</t>
  </si>
  <si>
    <t>Коэф. воздействия на организм (одно-/много - суставное упражнение)</t>
  </si>
  <si>
    <t>0,1-0,4 Односуставные упражнения - французкий жим, махи гантелями, разгибания/сгибания ног, подъем штанги на бицепс…</t>
  </si>
  <si>
    <t>% от ПМ</t>
  </si>
  <si>
    <t>0,5-0,8 Двосуставные упражнения - жим стоя, подъем штанги на бицепс с читингом, тяга верхнего/нижнего блока…</t>
  </si>
  <si>
    <t>0,9 - 1,9 Многосуставные упражнения -подтягивания, жим, присед, тяга, рывок, толчок</t>
  </si>
  <si>
    <r>
      <rPr>
        <rFont val="Calibri"/>
        <b/>
        <color rgb="FFC00000"/>
        <sz val="11.0"/>
      </rPr>
      <t xml:space="preserve">Время на 1 подход </t>
    </r>
    <r>
      <rPr>
        <rFont val="Calibri"/>
        <b/>
        <color rgb="FFFF0000"/>
        <sz val="11.0"/>
      </rPr>
      <t>(скорректированное)</t>
    </r>
  </si>
  <si>
    <t>ао</t>
  </si>
  <si>
    <t>а1</t>
  </si>
  <si>
    <t>а2</t>
  </si>
  <si>
    <t>а3</t>
  </si>
  <si>
    <t>а4</t>
  </si>
  <si>
    <t>а5</t>
  </si>
  <si>
    <t>Коэфф. корректировки времени на подход</t>
  </si>
  <si>
    <t>Суммарное время на разминку, заминку и растяжку, мин</t>
  </si>
  <si>
    <t>Корректировка параметров для вычисления длительности тренировки</t>
  </si>
  <si>
    <t>Введите расчетную длительность тренировки (из листа "1 в день")</t>
  </si>
  <si>
    <t>Введите реальную длительность тренировки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</si>
</sst>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"/>
    <numFmt numFmtId="165" formatCode="0.0%"/>
    <numFmt numFmtId="166" formatCode="ddd"/>
    <numFmt numFmtId="167" formatCode="0.000"/>
    <numFmt numFmtId="168" formatCode="0.00000"/>
    <numFmt numFmtId="169" formatCode="0.0000"/>
  </numFmts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3.0"/>
      <color theme="1"/>
      <name val="Calibri"/>
    </font>
    <font>
      <b/>
      <sz val="12.0"/>
      <color theme="1"/>
      <name val="Calibri"/>
    </font>
    <font/>
    <font>
      <b/>
      <sz val="12.0"/>
      <color theme="0"/>
      <name val="Calibri"/>
    </font>
    <font>
      <b/>
      <sz val="11.0"/>
      <color rgb="FFFA7D00"/>
      <name val="Calibri"/>
    </font>
    <font>
      <b/>
      <sz val="11.0"/>
      <color rgb="FF3F3F3F"/>
      <name val="Calibri"/>
    </font>
    <font>
      <b/>
      <sz val="11.0"/>
      <color rgb="FFFF0000"/>
      <name val="Calibri"/>
    </font>
    <font>
      <b/>
      <sz val="13.0"/>
      <color theme="0"/>
      <name val="Calibri"/>
    </font>
    <font>
      <b/>
      <sz val="16.0"/>
      <color theme="1"/>
      <name val="Calibri"/>
    </font>
    <font>
      <sz val="16.0"/>
      <color theme="1"/>
      <name val="Calibri"/>
    </font>
    <font>
      <sz val="11.0"/>
      <color rgb="FFC00000"/>
      <name val="Calibri"/>
    </font>
    <font>
      <b/>
      <sz val="11.0"/>
      <color rgb="FFC00000"/>
      <name val="Calibri"/>
    </font>
    <font>
      <sz val="11.0"/>
      <color rgb="FF000000"/>
      <name val="Calibri"/>
    </font>
    <font>
      <b/>
      <sz val="11.0"/>
      <color rgb="FF0033CC"/>
      <name val="Calibri"/>
    </font>
  </fonts>
  <fills count="1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002060"/>
        <bgColor rgb="FF002060"/>
      </patternFill>
    </fill>
    <fill>
      <patternFill patternType="solid">
        <fgColor rgb="FF17365D"/>
        <bgColor rgb="FF17365D"/>
      </patternFill>
    </fill>
    <fill>
      <patternFill patternType="solid">
        <fgColor rgb="FF548DD4"/>
        <bgColor rgb="FF548DD4"/>
      </patternFill>
    </fill>
    <fill>
      <patternFill patternType="solid">
        <fgColor rgb="FFFFFFCC"/>
        <bgColor rgb="FFFFFFCC"/>
      </patternFill>
    </fill>
    <fill>
      <patternFill patternType="solid">
        <fgColor rgb="FF0070C0"/>
        <bgColor rgb="FF0070C0"/>
      </patternFill>
    </fill>
    <fill>
      <patternFill patternType="solid">
        <fgColor rgb="FF8DB3E2"/>
        <bgColor rgb="FF8DB3E2"/>
      </patternFill>
    </fill>
  </fills>
  <borders count="110">
    <border/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7F7F7F"/>
      </left>
      <right style="thin">
        <color rgb="FF7F7F7F"/>
      </right>
      <top style="medium">
        <color rgb="FF000000"/>
      </top>
      <bottom/>
    </border>
    <border>
      <left style="thin">
        <color rgb="FF7F7F7F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3F3F3F"/>
      </left>
      <right style="thin">
        <color rgb="FF3F3F3F"/>
      </right>
      <top style="medium">
        <color rgb="FF000000"/>
      </top>
      <bottom style="thin">
        <color rgb="FF3F3F3F"/>
      </bottom>
    </border>
    <border>
      <left style="thin">
        <color rgb="FF3F3F3F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/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3F3F3F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/>
      <right style="thin">
        <color rgb="FF3F3F3F"/>
      </right>
      <top/>
      <bottom style="hair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  <border>
      <left style="thin">
        <color rgb="FF3F3F3F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3F3F3F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3F3F3F"/>
      </left>
      <right style="thin">
        <color rgb="FF000000"/>
      </right>
      <top/>
      <bottom style="hair">
        <color rgb="FF000000"/>
      </bottom>
    </border>
    <border>
      <left/>
      <right style="hair">
        <color rgb="FF000000"/>
      </right>
      <top/>
      <bottom/>
    </border>
    <border>
      <left style="thin">
        <color rgb="FF3F3F3F"/>
      </left>
      <right style="hair">
        <color rgb="FF000000"/>
      </right>
      <top/>
      <bottom/>
    </border>
    <border>
      <left/>
      <right style="medium">
        <color rgb="FF000000"/>
      </right>
      <top/>
      <bottom/>
    </border>
    <border>
      <left style="thin">
        <color rgb="FF3F3F3F"/>
      </left>
      <right style="hair">
        <color rgb="FF000000"/>
      </right>
      <top style="hair">
        <color rgb="FF000000"/>
      </top>
      <bottom style="thin">
        <color rgb="FF3F3F3F"/>
      </bottom>
    </border>
    <border>
      <left/>
      <right style="hair">
        <color rgb="FF000000"/>
      </right>
      <top/>
      <bottom style="thin">
        <color rgb="FF3F3F3F"/>
      </bottom>
    </border>
    <border>
      <left/>
      <right style="medium">
        <color rgb="FF000000"/>
      </right>
      <top style="hair">
        <color rgb="FF000000"/>
      </top>
      <bottom style="thin">
        <color rgb="FF3F3F3F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rgb="FF000000"/>
      </bottom>
    </border>
    <border>
      <left style="thin">
        <color rgb="FF3F3F3F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rgb="FF3F3F3F"/>
      </top>
      <bottom style="medium">
        <color rgb="FF000000"/>
      </bottom>
    </border>
    <border>
      <left/>
      <right/>
      <top style="thin">
        <color rgb="FF3F3F3F"/>
      </top>
      <bottom style="medium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/>
    </border>
    <border>
      <left/>
      <right style="medium">
        <color rgb="FF000000"/>
      </right>
      <top style="thin">
        <color rgb="FF3F3F3F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3F3F3F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left/>
      <right style="thin">
        <color rgb="FF3F3F3F"/>
      </right>
      <top style="medium">
        <color rgb="FF000000"/>
      </top>
      <bottom style="hair">
        <color rgb="FF000000"/>
      </bottom>
    </border>
    <border>
      <left style="thin">
        <color rgb="FF3F3F3F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ck">
        <color rgb="FF548DD4"/>
      </left>
      <top style="thick">
        <color rgb="FF548DD4"/>
      </top>
    </border>
    <border>
      <top style="thick">
        <color rgb="FF548DD4"/>
      </top>
    </border>
    <border>
      <right style="thick">
        <color rgb="FF548DD4"/>
      </right>
      <top style="thick">
        <color rgb="FF548DD4"/>
      </top>
    </border>
    <border>
      <left style="thick">
        <color rgb="FF548DD4"/>
      </left>
    </border>
    <border>
      <right style="thick">
        <color rgb="FF548DD4"/>
      </right>
    </border>
    <border>
      <left style="thick">
        <color rgb="FF548DD4"/>
      </left>
      <bottom style="thick">
        <color rgb="FF548DD4"/>
      </bottom>
    </border>
    <border>
      <bottom style="thick">
        <color rgb="FF548DD4"/>
      </bottom>
    </border>
    <border>
      <right style="thick">
        <color rgb="FF548DD4"/>
      </right>
      <bottom style="thick">
        <color rgb="FF548DD4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1" fillId="2" fontId="3" numFmtId="1" xfId="0" applyAlignment="1" applyBorder="1" applyFill="1" applyFont="1" applyNumberFormat="1">
      <alignment horizontal="center" vertical="top"/>
    </xf>
    <xf borderId="2" fillId="2" fontId="3" numFmtId="0" xfId="0" applyAlignment="1" applyBorder="1" applyFont="1">
      <alignment vertical="top"/>
    </xf>
    <xf borderId="3" fillId="3" fontId="4" numFmtId="2" xfId="0" applyAlignment="1" applyBorder="1" applyFill="1" applyFont="1" applyNumberFormat="1">
      <alignment horizontal="center" vertical="top"/>
    </xf>
    <xf borderId="4" fillId="2" fontId="3" numFmtId="0" xfId="0" applyAlignment="1" applyBorder="1" applyFont="1">
      <alignment horizontal="right" vertical="top"/>
    </xf>
    <xf borderId="5" fillId="0" fontId="5" numFmtId="0" xfId="0" applyBorder="1" applyFont="1"/>
    <xf borderId="6" fillId="0" fontId="5" numFmtId="0" xfId="0" applyBorder="1" applyFont="1"/>
    <xf borderId="4" fillId="2" fontId="3" numFmtId="0" xfId="0" applyAlignment="1" applyBorder="1" applyFont="1">
      <alignment horizontal="left" vertical="top"/>
    </xf>
    <xf borderId="2" fillId="2" fontId="3" numFmtId="1" xfId="0" applyAlignment="1" applyBorder="1" applyFont="1" applyNumberFormat="1">
      <alignment horizontal="center" vertical="top"/>
    </xf>
    <xf borderId="2" fillId="2" fontId="3" numFmtId="164" xfId="0" applyAlignment="1" applyBorder="1" applyFont="1" applyNumberFormat="1">
      <alignment horizontal="center" vertical="top"/>
    </xf>
    <xf borderId="2" fillId="2" fontId="3" numFmtId="165" xfId="0" applyAlignment="1" applyBorder="1" applyFont="1" applyNumberFormat="1">
      <alignment horizontal="center" vertical="top"/>
    </xf>
    <xf borderId="7" fillId="2" fontId="3" numFmtId="20" xfId="0" applyAlignment="1" applyBorder="1" applyFont="1" applyNumberFormat="1">
      <alignment horizontal="center" vertical="top"/>
    </xf>
    <xf borderId="8" fillId="2" fontId="3" numFmtId="1" xfId="0" applyAlignment="1" applyBorder="1" applyFont="1" applyNumberFormat="1">
      <alignment horizontal="center" vertical="top"/>
    </xf>
    <xf borderId="0" fillId="0" fontId="1" numFmtId="9" xfId="0" applyAlignment="1" applyFont="1" applyNumberFormat="1">
      <alignment horizontal="left" vertical="top"/>
    </xf>
    <xf borderId="0" fillId="0" fontId="1" numFmtId="0" xfId="0" applyAlignment="1" applyFont="1">
      <alignment horizontal="left" vertical="top"/>
    </xf>
    <xf borderId="9" fillId="4" fontId="6" numFmtId="0" xfId="0" applyAlignment="1" applyBorder="1" applyFill="1" applyFont="1">
      <alignment horizontal="center" vertical="top"/>
    </xf>
    <xf borderId="2" fillId="4" fontId="6" numFmtId="0" xfId="0" applyAlignment="1" applyBorder="1" applyFont="1">
      <alignment horizontal="center" vertical="top"/>
    </xf>
    <xf borderId="7" fillId="4" fontId="6" numFmtId="0" xfId="0" applyAlignment="1" applyBorder="1" applyFont="1">
      <alignment horizontal="center" vertical="top"/>
    </xf>
    <xf borderId="10" fillId="3" fontId="7" numFmtId="164" xfId="0" applyAlignment="1" applyBorder="1" applyFont="1" applyNumberFormat="1">
      <alignment horizontal="center" vertical="top"/>
    </xf>
    <xf borderId="11" fillId="4" fontId="6" numFmtId="0" xfId="0" applyAlignment="1" applyBorder="1" applyFont="1">
      <alignment horizontal="center" vertical="top"/>
    </xf>
    <xf borderId="0" fillId="0" fontId="6" numFmtId="0" xfId="0" applyAlignment="1" applyFont="1">
      <alignment vertical="top"/>
    </xf>
    <xf borderId="12" fillId="5" fontId="2" numFmtId="166" xfId="0" applyAlignment="1" applyBorder="1" applyFill="1" applyFont="1" applyNumberFormat="1">
      <alignment horizontal="center" vertical="top"/>
    </xf>
    <xf borderId="13" fillId="5" fontId="1" numFmtId="0" xfId="0" applyAlignment="1" applyBorder="1" applyFont="1">
      <alignment horizontal="center" vertical="top"/>
    </xf>
    <xf borderId="14" fillId="5" fontId="1" numFmtId="0" xfId="0" applyAlignment="1" applyBorder="1" applyFont="1">
      <alignment horizontal="center" vertical="top"/>
    </xf>
    <xf borderId="14" fillId="5" fontId="2" numFmtId="0" xfId="0" applyAlignment="1" applyBorder="1" applyFont="1">
      <alignment vertical="top"/>
    </xf>
    <xf borderId="15" fillId="3" fontId="8" numFmtId="164" xfId="0" applyAlignment="1" applyBorder="1" applyFont="1" applyNumberFormat="1">
      <alignment horizontal="center" vertical="top"/>
    </xf>
    <xf borderId="16" fillId="5" fontId="1" numFmtId="0" xfId="0" applyAlignment="1" applyBorder="1" applyFont="1">
      <alignment horizontal="center" vertical="top"/>
    </xf>
    <xf borderId="17" fillId="5" fontId="2" numFmtId="0" xfId="0" applyAlignment="1" applyBorder="1" applyFont="1">
      <alignment horizontal="center" vertical="top"/>
    </xf>
    <xf borderId="18" fillId="5" fontId="1" numFmtId="0" xfId="0" applyAlignment="1" applyBorder="1" applyFont="1">
      <alignment horizontal="center" vertical="top"/>
    </xf>
    <xf borderId="19" fillId="5" fontId="1" numFmtId="9" xfId="0" applyAlignment="1" applyBorder="1" applyFont="1" applyNumberFormat="1">
      <alignment horizontal="center" vertical="top"/>
    </xf>
    <xf borderId="20" fillId="5" fontId="1" numFmtId="0" xfId="0" applyAlignment="1" applyBorder="1" applyFont="1">
      <alignment horizontal="center" vertical="top"/>
    </xf>
    <xf borderId="21" fillId="5" fontId="1" numFmtId="0" xfId="0" applyAlignment="1" applyBorder="1" applyFont="1">
      <alignment horizontal="center" vertical="top"/>
    </xf>
    <xf borderId="18" fillId="5" fontId="1" numFmtId="1" xfId="0" applyAlignment="1" applyBorder="1" applyFont="1" applyNumberFormat="1">
      <alignment horizontal="center" vertical="top"/>
    </xf>
    <xf borderId="22" fillId="5" fontId="1" numFmtId="9" xfId="0" applyAlignment="1" applyBorder="1" applyFont="1" applyNumberFormat="1">
      <alignment horizontal="center" vertical="top"/>
    </xf>
    <xf borderId="8" fillId="6" fontId="2" numFmtId="164" xfId="0" applyAlignment="1" applyBorder="1" applyFill="1" applyFont="1" applyNumberFormat="1">
      <alignment horizontal="center" readingOrder="0" vertical="top"/>
    </xf>
    <xf borderId="23" fillId="5" fontId="1" numFmtId="1" xfId="0" applyAlignment="1" applyBorder="1" applyFont="1" applyNumberFormat="1">
      <alignment horizontal="center" vertical="top"/>
    </xf>
    <xf borderId="24" fillId="5" fontId="1" numFmtId="0" xfId="0" applyAlignment="1" applyBorder="1" applyFont="1">
      <alignment horizontal="center" vertical="top"/>
    </xf>
    <xf borderId="25" fillId="5" fontId="1" numFmtId="1" xfId="0" applyAlignment="1" applyBorder="1" applyFont="1" applyNumberFormat="1">
      <alignment horizontal="center" vertical="top"/>
    </xf>
    <xf borderId="26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/>
    </xf>
    <xf borderId="27" fillId="0" fontId="2" numFmtId="14" xfId="0" applyAlignment="1" applyBorder="1" applyFont="1" applyNumberFormat="1">
      <alignment horizontal="center" textRotation="90" vertical="center"/>
    </xf>
    <xf borderId="28" fillId="7" fontId="1" numFmtId="0" xfId="0" applyAlignment="1" applyBorder="1" applyFill="1" applyFont="1">
      <alignment horizontal="center" vertical="top"/>
    </xf>
    <xf borderId="29" fillId="7" fontId="1" numFmtId="0" xfId="0" applyAlignment="1" applyBorder="1" applyFont="1">
      <alignment horizontal="center" vertical="top"/>
    </xf>
    <xf borderId="30" fillId="7" fontId="2" numFmtId="0" xfId="0" applyAlignment="1" applyBorder="1" applyFont="1">
      <alignment vertical="top"/>
    </xf>
    <xf borderId="3" fillId="3" fontId="8" numFmtId="164" xfId="0" applyAlignment="1" applyBorder="1" applyFont="1" applyNumberFormat="1">
      <alignment horizontal="center" vertical="top"/>
    </xf>
    <xf borderId="31" fillId="7" fontId="1" numFmtId="0" xfId="0" applyAlignment="1" applyBorder="1" applyFont="1">
      <alignment horizontal="center" vertical="top"/>
    </xf>
    <xf borderId="32" fillId="7" fontId="2" numFmtId="0" xfId="0" applyAlignment="1" applyBorder="1" applyFont="1">
      <alignment horizontal="center" vertical="top"/>
    </xf>
    <xf borderId="20" fillId="7" fontId="1" numFmtId="0" xfId="0" applyAlignment="1" applyBorder="1" applyFont="1">
      <alignment horizontal="center" vertical="top"/>
    </xf>
    <xf borderId="33" fillId="7" fontId="1" numFmtId="9" xfId="0" applyAlignment="1" applyBorder="1" applyFont="1" applyNumberFormat="1">
      <alignment horizontal="center" vertical="top"/>
    </xf>
    <xf borderId="34" fillId="7" fontId="1" numFmtId="0" xfId="0" applyAlignment="1" applyBorder="1" applyFont="1">
      <alignment horizontal="center" vertical="top"/>
    </xf>
    <xf borderId="20" fillId="7" fontId="1" numFmtId="1" xfId="0" applyAlignment="1" applyBorder="1" applyFont="1" applyNumberFormat="1">
      <alignment horizontal="center" vertical="top"/>
    </xf>
    <xf borderId="35" fillId="7" fontId="1" numFmtId="9" xfId="0" applyAlignment="1" applyBorder="1" applyFont="1" applyNumberFormat="1">
      <alignment horizontal="center" vertical="top"/>
    </xf>
    <xf borderId="23" fillId="7" fontId="1" numFmtId="1" xfId="0" applyAlignment="1" applyBorder="1" applyFont="1" applyNumberFormat="1">
      <alignment horizontal="center" vertical="top"/>
    </xf>
    <xf borderId="23" fillId="7" fontId="1" numFmtId="0" xfId="0" applyAlignment="1" applyBorder="1" applyFont="1">
      <alignment horizontal="center" vertical="top"/>
    </xf>
    <xf borderId="36" fillId="7" fontId="1" numFmtId="1" xfId="0" applyAlignment="1" applyBorder="1" applyFont="1" applyNumberFormat="1">
      <alignment horizontal="center" vertical="top"/>
    </xf>
    <xf borderId="37" fillId="0" fontId="5" numFmtId="0" xfId="0" applyBorder="1" applyFont="1"/>
    <xf borderId="38" fillId="5" fontId="1" numFmtId="0" xfId="0" applyAlignment="1" applyBorder="1" applyFont="1">
      <alignment horizontal="center" vertical="top"/>
    </xf>
    <xf borderId="39" fillId="5" fontId="1" numFmtId="0" xfId="0" applyAlignment="1" applyBorder="1" applyFont="1">
      <alignment horizontal="center" vertical="top"/>
    </xf>
    <xf borderId="30" fillId="5" fontId="2" numFmtId="0" xfId="0" applyAlignment="1" applyBorder="1" applyFont="1">
      <alignment vertical="top"/>
    </xf>
    <xf borderId="31" fillId="5" fontId="1" numFmtId="0" xfId="0" applyAlignment="1" applyBorder="1" applyFont="1">
      <alignment horizontal="center" vertical="top"/>
    </xf>
    <xf borderId="32" fillId="5" fontId="2" numFmtId="0" xfId="0" applyAlignment="1" applyBorder="1" applyFont="1">
      <alignment horizontal="center" vertical="top"/>
    </xf>
    <xf borderId="33" fillId="5" fontId="1" numFmtId="9" xfId="0" applyAlignment="1" applyBorder="1" applyFont="1" applyNumberFormat="1">
      <alignment horizontal="center" vertical="top"/>
    </xf>
    <xf borderId="34" fillId="5" fontId="1" numFmtId="0" xfId="0" applyAlignment="1" applyBorder="1" applyFont="1">
      <alignment horizontal="center" vertical="top"/>
    </xf>
    <xf borderId="40" fillId="5" fontId="1" numFmtId="1" xfId="0" applyAlignment="1" applyBorder="1" applyFont="1" applyNumberFormat="1">
      <alignment horizontal="center" vertical="top"/>
    </xf>
    <xf borderId="41" fillId="5" fontId="1" numFmtId="9" xfId="0" applyAlignment="1" applyBorder="1" applyFont="1" applyNumberFormat="1">
      <alignment horizontal="center" vertical="top"/>
    </xf>
    <xf borderId="42" fillId="3" fontId="2" numFmtId="164" xfId="0" applyAlignment="1" applyBorder="1" applyFont="1" applyNumberFormat="1">
      <alignment horizontal="center" vertical="top"/>
    </xf>
    <xf borderId="43" fillId="5" fontId="1" numFmtId="1" xfId="0" applyAlignment="1" applyBorder="1" applyFont="1" applyNumberFormat="1">
      <alignment horizontal="center" vertical="top"/>
    </xf>
    <xf borderId="23" fillId="5" fontId="1" numFmtId="0" xfId="0" applyAlignment="1" applyBorder="1" applyFont="1">
      <alignment horizontal="center" vertical="top"/>
    </xf>
    <xf borderId="36" fillId="5" fontId="1" numFmtId="1" xfId="0" applyAlignment="1" applyBorder="1" applyFont="1" applyNumberFormat="1">
      <alignment horizontal="center" vertical="top"/>
    </xf>
    <xf borderId="30" fillId="7" fontId="1" numFmtId="0" xfId="0" applyAlignment="1" applyBorder="1" applyFont="1">
      <alignment horizontal="center" vertical="top"/>
    </xf>
    <xf borderId="44" fillId="7" fontId="1" numFmtId="0" xfId="0" applyAlignment="1" applyBorder="1" applyFont="1">
      <alignment horizontal="center" vertical="top"/>
    </xf>
    <xf borderId="23" fillId="7" fontId="1" numFmtId="9" xfId="0" applyAlignment="1" applyBorder="1" applyFont="1" applyNumberFormat="1">
      <alignment horizontal="center" vertical="top"/>
    </xf>
    <xf borderId="3" fillId="3" fontId="2" numFmtId="164" xfId="0" applyAlignment="1" applyBorder="1" applyFont="1" applyNumberFormat="1">
      <alignment horizontal="center" vertical="top"/>
    </xf>
    <xf borderId="43" fillId="7" fontId="1" numFmtId="1" xfId="0" applyAlignment="1" applyBorder="1" applyFont="1" applyNumberFormat="1">
      <alignment horizontal="center" vertical="top"/>
    </xf>
    <xf borderId="30" fillId="5" fontId="1" numFmtId="0" xfId="0" applyAlignment="1" applyBorder="1" applyFont="1">
      <alignment horizontal="center" vertical="top"/>
    </xf>
    <xf borderId="45" fillId="5" fontId="1" numFmtId="0" xfId="0" applyAlignment="1" applyBorder="1" applyFont="1">
      <alignment horizontal="center" vertical="top"/>
    </xf>
    <xf borderId="0" fillId="0" fontId="1" numFmtId="0" xfId="0" applyAlignment="1" applyFont="1">
      <alignment vertical="top"/>
    </xf>
    <xf borderId="29" fillId="7" fontId="2" numFmtId="0" xfId="0" applyAlignment="1" applyBorder="1" applyFont="1">
      <alignment readingOrder="0" vertical="top"/>
    </xf>
    <xf borderId="3" fillId="3" fontId="8" numFmtId="164" xfId="0" applyAlignment="1" applyBorder="1" applyFont="1" applyNumberFormat="1">
      <alignment horizontal="center" readingOrder="0" vertical="top"/>
    </xf>
    <xf borderId="45" fillId="7" fontId="1" numFmtId="0" xfId="0" applyAlignment="1" applyBorder="1" applyFont="1">
      <alignment horizontal="center" vertical="top"/>
    </xf>
    <xf borderId="32" fillId="7" fontId="2" numFmtId="0" xfId="0" applyAlignment="1" applyBorder="1" applyFont="1">
      <alignment horizontal="center" readingOrder="0" vertical="top"/>
    </xf>
    <xf borderId="20" fillId="7" fontId="1" numFmtId="0" xfId="0" applyAlignment="1" applyBorder="1" applyFont="1">
      <alignment horizontal="center" readingOrder="0" vertical="top"/>
    </xf>
    <xf borderId="46" fillId="7" fontId="1" numFmtId="0" xfId="0" applyAlignment="1" applyBorder="1" applyFont="1">
      <alignment horizontal="center" vertical="top"/>
    </xf>
    <xf borderId="39" fillId="5" fontId="2" numFmtId="0" xfId="0" applyAlignment="1" applyBorder="1" applyFont="1">
      <alignment readingOrder="0" vertical="top"/>
    </xf>
    <xf borderId="32" fillId="5" fontId="2" numFmtId="0" xfId="0" applyAlignment="1" applyBorder="1" applyFont="1">
      <alignment horizontal="center" readingOrder="0" vertical="top"/>
    </xf>
    <xf borderId="20" fillId="5" fontId="1" numFmtId="0" xfId="0" applyAlignment="1" applyBorder="1" applyFont="1">
      <alignment horizontal="center" readingOrder="0" vertical="top"/>
    </xf>
    <xf borderId="47" fillId="5" fontId="1" numFmtId="1" xfId="0" applyAlignment="1" applyBorder="1" applyFont="1" applyNumberFormat="1">
      <alignment horizontal="center" vertical="top"/>
    </xf>
    <xf borderId="48" fillId="5" fontId="1" numFmtId="1" xfId="0" applyAlignment="1" applyBorder="1" applyFont="1" applyNumberFormat="1">
      <alignment horizontal="center" vertical="top"/>
    </xf>
    <xf borderId="32" fillId="7" fontId="2" numFmtId="0" xfId="0" applyAlignment="1" applyBorder="1" applyFont="1">
      <alignment vertical="top"/>
    </xf>
    <xf borderId="40" fillId="7" fontId="1" numFmtId="1" xfId="0" applyAlignment="1" applyBorder="1" applyFont="1" applyNumberFormat="1">
      <alignment horizontal="center" vertical="top"/>
    </xf>
    <xf borderId="41" fillId="7" fontId="1" numFmtId="9" xfId="0" applyAlignment="1" applyBorder="1" applyFont="1" applyNumberFormat="1">
      <alignment horizontal="center" vertical="top"/>
    </xf>
    <xf borderId="49" fillId="7" fontId="1" numFmtId="1" xfId="0" applyAlignment="1" applyBorder="1" applyFont="1" applyNumberFormat="1">
      <alignment horizontal="center" vertical="top"/>
    </xf>
    <xf borderId="50" fillId="7" fontId="1" numFmtId="0" xfId="0" applyAlignment="1" applyBorder="1" applyFont="1">
      <alignment horizontal="center" vertical="top"/>
    </xf>
    <xf borderId="51" fillId="7" fontId="1" numFmtId="1" xfId="0" applyAlignment="1" applyBorder="1" applyFont="1" applyNumberFormat="1">
      <alignment horizontal="center" vertical="top"/>
    </xf>
    <xf borderId="52" fillId="0" fontId="5" numFmtId="0" xfId="0" applyBorder="1" applyFont="1"/>
    <xf borderId="53" fillId="7" fontId="1" numFmtId="0" xfId="0" applyAlignment="1" applyBorder="1" applyFont="1">
      <alignment horizontal="center" vertical="top"/>
    </xf>
    <xf borderId="54" fillId="7" fontId="1" numFmtId="0" xfId="0" applyAlignment="1" applyBorder="1" applyFont="1">
      <alignment horizontal="center" vertical="top"/>
    </xf>
    <xf borderId="54" fillId="7" fontId="2" numFmtId="14" xfId="0" applyAlignment="1" applyBorder="1" applyFont="1" applyNumberFormat="1">
      <alignment horizontal="left" vertical="top"/>
    </xf>
    <xf borderId="55" fillId="3" fontId="2" numFmtId="2" xfId="0" applyAlignment="1" applyBorder="1" applyFont="1" applyNumberFormat="1">
      <alignment horizontal="center" vertical="top"/>
    </xf>
    <xf borderId="56" fillId="7" fontId="9" numFmtId="167" xfId="0" applyAlignment="1" applyBorder="1" applyFont="1" applyNumberFormat="1">
      <alignment horizontal="center" vertical="top"/>
    </xf>
    <xf borderId="57" fillId="7" fontId="2" numFmtId="0" xfId="0" applyAlignment="1" applyBorder="1" applyFont="1">
      <alignment horizontal="center" vertical="top"/>
    </xf>
    <xf borderId="58" fillId="7" fontId="1" numFmtId="0" xfId="0" applyAlignment="1" applyBorder="1" applyFont="1">
      <alignment horizontal="center" vertical="top"/>
    </xf>
    <xf borderId="59" fillId="7" fontId="1" numFmtId="9" xfId="0" applyAlignment="1" applyBorder="1" applyFont="1" applyNumberFormat="1">
      <alignment horizontal="center" vertical="top"/>
    </xf>
    <xf borderId="60" fillId="3" fontId="2" numFmtId="0" xfId="0" applyAlignment="1" applyBorder="1" applyFont="1">
      <alignment horizontal="center" vertical="top"/>
    </xf>
    <xf borderId="61" fillId="3" fontId="2" numFmtId="164" xfId="0" applyAlignment="1" applyBorder="1" applyFont="1" applyNumberFormat="1">
      <alignment horizontal="center" vertical="top"/>
    </xf>
    <xf borderId="61" fillId="3" fontId="2" numFmtId="9" xfId="0" applyAlignment="1" applyBorder="1" applyFont="1" applyNumberFormat="1">
      <alignment horizontal="center" vertical="top"/>
    </xf>
    <xf borderId="62" fillId="3" fontId="2" numFmtId="1" xfId="0" applyAlignment="1" applyBorder="1" applyFont="1" applyNumberFormat="1">
      <alignment horizontal="center" vertical="top"/>
    </xf>
    <xf borderId="61" fillId="3" fontId="2" numFmtId="1" xfId="0" applyAlignment="1" applyBorder="1" applyFont="1" applyNumberFormat="1">
      <alignment horizontal="center" vertical="top"/>
    </xf>
    <xf borderId="63" fillId="3" fontId="2" numFmtId="20" xfId="0" applyAlignment="1" applyBorder="1" applyFont="1" applyNumberFormat="1">
      <alignment horizontal="center" vertical="top"/>
    </xf>
    <xf borderId="12" fillId="8" fontId="2" numFmtId="166" xfId="0" applyAlignment="1" applyBorder="1" applyFill="1" applyFont="1" applyNumberFormat="1">
      <alignment horizontal="center" vertical="top"/>
    </xf>
    <xf borderId="64" fillId="8" fontId="1" numFmtId="0" xfId="0" applyAlignment="1" applyBorder="1" applyFont="1">
      <alignment horizontal="center" vertical="top"/>
    </xf>
    <xf borderId="65" fillId="8" fontId="1" numFmtId="0" xfId="0" applyAlignment="1" applyBorder="1" applyFont="1">
      <alignment horizontal="center" vertical="top"/>
    </xf>
    <xf borderId="17" fillId="8" fontId="2" numFmtId="0" xfId="0" applyAlignment="1" applyBorder="1" applyFont="1">
      <alignment vertical="top"/>
    </xf>
    <xf borderId="66" fillId="8" fontId="1" numFmtId="0" xfId="0" applyAlignment="1" applyBorder="1" applyFont="1">
      <alignment horizontal="center" vertical="top"/>
    </xf>
    <xf borderId="24" fillId="8" fontId="2" numFmtId="0" xfId="0" applyAlignment="1" applyBorder="1" applyFont="1">
      <alignment horizontal="center" vertical="top"/>
    </xf>
    <xf borderId="18" fillId="8" fontId="1" numFmtId="0" xfId="0" applyAlignment="1" applyBorder="1" applyFont="1">
      <alignment horizontal="center" vertical="top"/>
    </xf>
    <xf borderId="67" fillId="8" fontId="1" numFmtId="9" xfId="0" applyAlignment="1" applyBorder="1" applyFont="1" applyNumberFormat="1">
      <alignment horizontal="center" vertical="top"/>
    </xf>
    <xf borderId="21" fillId="8" fontId="1" numFmtId="0" xfId="0" applyAlignment="1" applyBorder="1" applyFont="1">
      <alignment horizontal="center" vertical="top"/>
    </xf>
    <xf borderId="18" fillId="8" fontId="1" numFmtId="1" xfId="0" applyAlignment="1" applyBorder="1" applyFont="1" applyNumberFormat="1">
      <alignment horizontal="center" vertical="top"/>
    </xf>
    <xf borderId="19" fillId="8" fontId="1" numFmtId="9" xfId="0" applyAlignment="1" applyBorder="1" applyFont="1" applyNumberFormat="1">
      <alignment horizontal="center" vertical="top"/>
    </xf>
    <xf borderId="24" fillId="8" fontId="1" numFmtId="1" xfId="0" applyAlignment="1" applyBorder="1" applyFont="1" applyNumberFormat="1">
      <alignment horizontal="center" vertical="top"/>
    </xf>
    <xf borderId="68" fillId="8" fontId="1" numFmtId="1" xfId="0" applyAlignment="1" applyBorder="1" applyFont="1" applyNumberFormat="1">
      <alignment horizontal="center" vertical="top"/>
    </xf>
    <xf borderId="28" fillId="5" fontId="1" numFmtId="0" xfId="0" applyAlignment="1" applyBorder="1" applyFont="1">
      <alignment horizontal="center" vertical="top"/>
    </xf>
    <xf borderId="29" fillId="5" fontId="1" numFmtId="0" xfId="0" applyAlignment="1" applyBorder="1" applyFont="1">
      <alignment horizontal="center" vertical="top"/>
    </xf>
    <xf borderId="32" fillId="5" fontId="2" numFmtId="0" xfId="0" applyAlignment="1" applyBorder="1" applyFont="1">
      <alignment vertical="top"/>
    </xf>
    <xf borderId="44" fillId="5" fontId="1" numFmtId="0" xfId="0" applyAlignment="1" applyBorder="1" applyFont="1">
      <alignment horizontal="center" vertical="top"/>
    </xf>
    <xf borderId="23" fillId="5" fontId="2" numFmtId="0" xfId="0" applyAlignment="1" applyBorder="1" applyFont="1">
      <alignment horizontal="center" vertical="top"/>
    </xf>
    <xf borderId="69" fillId="5" fontId="1" numFmtId="0" xfId="0" applyAlignment="1" applyBorder="1" applyFont="1">
      <alignment horizontal="center" vertical="top"/>
    </xf>
    <xf borderId="20" fillId="5" fontId="1" numFmtId="1" xfId="0" applyAlignment="1" applyBorder="1" applyFont="1" applyNumberFormat="1">
      <alignment horizontal="center" vertical="top"/>
    </xf>
    <xf borderId="20" fillId="5" fontId="1" numFmtId="9" xfId="0" applyAlignment="1" applyBorder="1" applyFont="1" applyNumberFormat="1">
      <alignment horizontal="center" vertical="top"/>
    </xf>
    <xf borderId="70" fillId="5" fontId="1" numFmtId="1" xfId="0" applyAlignment="1" applyBorder="1" applyFont="1" applyNumberFormat="1">
      <alignment horizontal="center" vertical="top"/>
    </xf>
    <xf borderId="28" fillId="8" fontId="1" numFmtId="0" xfId="0" applyAlignment="1" applyBorder="1" applyFont="1">
      <alignment horizontal="center" vertical="top"/>
    </xf>
    <xf borderId="29" fillId="8" fontId="1" numFmtId="0" xfId="0" applyAlignment="1" applyBorder="1" applyFont="1">
      <alignment horizontal="center" vertical="top"/>
    </xf>
    <xf borderId="32" fillId="8" fontId="2" numFmtId="0" xfId="0" applyAlignment="1" applyBorder="1" applyFont="1">
      <alignment vertical="top"/>
    </xf>
    <xf borderId="44" fillId="8" fontId="1" numFmtId="0" xfId="0" applyAlignment="1" applyBorder="1" applyFont="1">
      <alignment horizontal="center" vertical="top"/>
    </xf>
    <xf borderId="23" fillId="8" fontId="2" numFmtId="0" xfId="0" applyAlignment="1" applyBorder="1" applyFont="1">
      <alignment horizontal="center" vertical="top"/>
    </xf>
    <xf borderId="20" fillId="8" fontId="1" numFmtId="0" xfId="0" applyAlignment="1" applyBorder="1" applyFont="1">
      <alignment horizontal="center" vertical="top"/>
    </xf>
    <xf borderId="33" fillId="8" fontId="1" numFmtId="9" xfId="0" applyAlignment="1" applyBorder="1" applyFont="1" applyNumberFormat="1">
      <alignment horizontal="center" vertical="top"/>
    </xf>
    <xf borderId="69" fillId="8" fontId="1" numFmtId="0" xfId="0" applyAlignment="1" applyBorder="1" applyFont="1">
      <alignment horizontal="center" vertical="top"/>
    </xf>
    <xf borderId="20" fillId="8" fontId="1" numFmtId="1" xfId="0" applyAlignment="1" applyBorder="1" applyFont="1" applyNumberFormat="1">
      <alignment horizontal="center" vertical="top"/>
    </xf>
    <xf borderId="20" fillId="8" fontId="1" numFmtId="9" xfId="0" applyAlignment="1" applyBorder="1" applyFont="1" applyNumberFormat="1">
      <alignment horizontal="center" vertical="top"/>
    </xf>
    <xf borderId="70" fillId="8" fontId="1" numFmtId="1" xfId="0" applyAlignment="1" applyBorder="1" applyFont="1" applyNumberFormat="1">
      <alignment horizontal="center" vertical="top"/>
    </xf>
    <xf borderId="32" fillId="5" fontId="2" numFmtId="0" xfId="0" applyAlignment="1" applyBorder="1" applyFont="1">
      <alignment readingOrder="0" vertical="top"/>
    </xf>
    <xf borderId="32" fillId="8" fontId="2" numFmtId="0" xfId="0" applyAlignment="1" applyBorder="1" applyFont="1">
      <alignment readingOrder="0" vertical="top"/>
    </xf>
    <xf borderId="23" fillId="8" fontId="2" numFmtId="0" xfId="0" applyAlignment="1" applyBorder="1" applyFont="1">
      <alignment horizontal="center" readingOrder="0" vertical="top"/>
    </xf>
    <xf borderId="20" fillId="8" fontId="1" numFmtId="0" xfId="0" applyAlignment="1" applyBorder="1" applyFont="1">
      <alignment horizontal="center" readingOrder="0" vertical="top"/>
    </xf>
    <xf borderId="53" fillId="5" fontId="1" numFmtId="0" xfId="0" applyAlignment="1" applyBorder="1" applyFont="1">
      <alignment horizontal="center" vertical="top"/>
    </xf>
    <xf borderId="54" fillId="5" fontId="1" numFmtId="0" xfId="0" applyAlignment="1" applyBorder="1" applyFont="1">
      <alignment horizontal="center" vertical="top"/>
    </xf>
    <xf borderId="54" fillId="5" fontId="2" numFmtId="14" xfId="0" applyAlignment="1" applyBorder="1" applyFont="1" applyNumberFormat="1">
      <alignment vertical="top"/>
    </xf>
    <xf borderId="56" fillId="5" fontId="2" numFmtId="14" xfId="0" applyAlignment="1" applyBorder="1" applyFont="1" applyNumberFormat="1">
      <alignment horizontal="center" vertical="top"/>
    </xf>
    <xf borderId="58" fillId="5" fontId="2" numFmtId="0" xfId="0" applyAlignment="1" applyBorder="1" applyFont="1">
      <alignment horizontal="center" vertical="top"/>
    </xf>
    <xf borderId="58" fillId="5" fontId="1" numFmtId="0" xfId="0" applyAlignment="1" applyBorder="1" applyFont="1">
      <alignment horizontal="center" vertical="top"/>
    </xf>
    <xf borderId="59" fillId="5" fontId="1" numFmtId="9" xfId="0" applyAlignment="1" applyBorder="1" applyFont="1" applyNumberFormat="1">
      <alignment horizontal="center" vertical="top"/>
    </xf>
    <xf borderId="55" fillId="3" fontId="2" numFmtId="1" xfId="0" applyAlignment="1" applyBorder="1" applyFont="1" applyNumberFormat="1">
      <alignment horizontal="center" vertical="top"/>
    </xf>
    <xf borderId="71" fillId="9" fontId="2" numFmtId="166" xfId="0" applyAlignment="1" applyBorder="1" applyFill="1" applyFont="1" applyNumberFormat="1">
      <alignment horizontal="center" vertical="top"/>
    </xf>
    <xf borderId="64" fillId="9" fontId="1" numFmtId="0" xfId="0" applyAlignment="1" applyBorder="1" applyFont="1">
      <alignment horizontal="center" vertical="top"/>
    </xf>
    <xf borderId="65" fillId="9" fontId="1" numFmtId="0" xfId="0" applyAlignment="1" applyBorder="1" applyFont="1">
      <alignment horizontal="center" vertical="top"/>
    </xf>
    <xf borderId="17" fillId="9" fontId="2" numFmtId="0" xfId="0" applyAlignment="1" applyBorder="1" applyFont="1">
      <alignment vertical="top"/>
    </xf>
    <xf borderId="66" fillId="9" fontId="1" numFmtId="0" xfId="0" applyAlignment="1" applyBorder="1" applyFont="1">
      <alignment horizontal="center" vertical="top"/>
    </xf>
    <xf borderId="24" fillId="9" fontId="2" numFmtId="0" xfId="0" applyAlignment="1" applyBorder="1" applyFont="1">
      <alignment horizontal="center" vertical="top"/>
    </xf>
    <xf borderId="18" fillId="9" fontId="1" numFmtId="0" xfId="0" applyAlignment="1" applyBorder="1" applyFont="1">
      <alignment horizontal="center" vertical="top"/>
    </xf>
    <xf borderId="67" fillId="9" fontId="1" numFmtId="9" xfId="0" applyAlignment="1" applyBorder="1" applyFont="1" applyNumberFormat="1">
      <alignment horizontal="center" vertical="top"/>
    </xf>
    <xf borderId="21" fillId="9" fontId="1" numFmtId="0" xfId="0" applyAlignment="1" applyBorder="1" applyFont="1">
      <alignment horizontal="center" vertical="top"/>
    </xf>
    <xf borderId="18" fillId="9" fontId="1" numFmtId="1" xfId="0" applyAlignment="1" applyBorder="1" applyFont="1" applyNumberFormat="1">
      <alignment horizontal="center" vertical="top"/>
    </xf>
    <xf borderId="18" fillId="9" fontId="1" numFmtId="9" xfId="0" applyAlignment="1" applyBorder="1" applyFont="1" applyNumberFormat="1">
      <alignment horizontal="center" vertical="top"/>
    </xf>
    <xf borderId="15" fillId="3" fontId="2" numFmtId="164" xfId="0" applyAlignment="1" applyBorder="1" applyFont="1" applyNumberFormat="1">
      <alignment horizontal="center" vertical="top"/>
    </xf>
    <xf borderId="68" fillId="9" fontId="1" numFmtId="1" xfId="0" applyAlignment="1" applyBorder="1" applyFont="1" applyNumberFormat="1">
      <alignment horizontal="center" vertical="top"/>
    </xf>
    <xf borderId="72" fillId="0" fontId="2" numFmtId="14" xfId="0" applyAlignment="1" applyBorder="1" applyFont="1" applyNumberFormat="1">
      <alignment horizontal="center" textRotation="90" vertical="center"/>
    </xf>
    <xf borderId="72" fillId="0" fontId="5" numFmtId="0" xfId="0" applyBorder="1" applyFont="1"/>
    <xf borderId="28" fillId="9" fontId="1" numFmtId="0" xfId="0" applyAlignment="1" applyBorder="1" applyFont="1">
      <alignment horizontal="center" vertical="top"/>
    </xf>
    <xf borderId="29" fillId="9" fontId="1" numFmtId="0" xfId="0" applyAlignment="1" applyBorder="1" applyFont="1">
      <alignment horizontal="center" vertical="top"/>
    </xf>
    <xf borderId="32" fillId="9" fontId="2" numFmtId="0" xfId="0" applyAlignment="1" applyBorder="1" applyFont="1">
      <alignment vertical="top"/>
    </xf>
    <xf borderId="44" fillId="9" fontId="1" numFmtId="0" xfId="0" applyAlignment="1" applyBorder="1" applyFont="1">
      <alignment horizontal="center" vertical="top"/>
    </xf>
    <xf borderId="23" fillId="9" fontId="2" numFmtId="0" xfId="0" applyAlignment="1" applyBorder="1" applyFont="1">
      <alignment horizontal="center" vertical="top"/>
    </xf>
    <xf borderId="20" fillId="9" fontId="1" numFmtId="0" xfId="0" applyAlignment="1" applyBorder="1" applyFont="1">
      <alignment horizontal="center" vertical="top"/>
    </xf>
    <xf borderId="33" fillId="9" fontId="1" numFmtId="9" xfId="0" applyAlignment="1" applyBorder="1" applyFont="1" applyNumberFormat="1">
      <alignment horizontal="center" vertical="top"/>
    </xf>
    <xf borderId="69" fillId="9" fontId="1" numFmtId="0" xfId="0" applyAlignment="1" applyBorder="1" applyFont="1">
      <alignment horizontal="center" vertical="top"/>
    </xf>
    <xf borderId="20" fillId="9" fontId="1" numFmtId="1" xfId="0" applyAlignment="1" applyBorder="1" applyFont="1" applyNumberFormat="1">
      <alignment horizontal="center" vertical="top"/>
    </xf>
    <xf borderId="20" fillId="9" fontId="1" numFmtId="9" xfId="0" applyAlignment="1" applyBorder="1" applyFont="1" applyNumberFormat="1">
      <alignment horizontal="center" vertical="top"/>
    </xf>
    <xf borderId="70" fillId="9" fontId="1" numFmtId="1" xfId="0" applyAlignment="1" applyBorder="1" applyFont="1" applyNumberFormat="1">
      <alignment horizontal="center" vertical="top"/>
    </xf>
    <xf borderId="3" fillId="3" fontId="1" numFmtId="164" xfId="0" applyAlignment="1" applyBorder="1" applyFont="1" applyNumberFormat="1">
      <alignment horizontal="center" readingOrder="0" vertical="top"/>
    </xf>
    <xf borderId="32" fillId="9" fontId="2" numFmtId="0" xfId="0" applyAlignment="1" applyBorder="1" applyFont="1">
      <alignment readingOrder="0" vertical="top"/>
    </xf>
    <xf borderId="20" fillId="9" fontId="1" numFmtId="0" xfId="0" applyAlignment="1" applyBorder="1" applyFont="1">
      <alignment horizontal="center" readingOrder="0" vertical="top"/>
    </xf>
    <xf borderId="73" fillId="0" fontId="5" numFmtId="0" xfId="0" applyBorder="1" applyFont="1"/>
    <xf borderId="53" fillId="8" fontId="1" numFmtId="0" xfId="0" applyAlignment="1" applyBorder="1" applyFont="1">
      <alignment horizontal="center" vertical="top"/>
    </xf>
    <xf borderId="54" fillId="8" fontId="1" numFmtId="0" xfId="0" applyAlignment="1" applyBorder="1" applyFont="1">
      <alignment horizontal="center" vertical="top"/>
    </xf>
    <xf borderId="54" fillId="8" fontId="2" numFmtId="14" xfId="0" applyAlignment="1" applyBorder="1" applyFont="1" applyNumberFormat="1">
      <alignment vertical="top"/>
    </xf>
    <xf borderId="59" fillId="8" fontId="2" numFmtId="14" xfId="0" applyAlignment="1" applyBorder="1" applyFont="1" applyNumberFormat="1">
      <alignment horizontal="center" vertical="top"/>
    </xf>
    <xf borderId="57" fillId="8" fontId="2" numFmtId="0" xfId="0" applyAlignment="1" applyBorder="1" applyFont="1">
      <alignment horizontal="center" vertical="top"/>
    </xf>
    <xf borderId="58" fillId="8" fontId="1" numFmtId="0" xfId="0" applyAlignment="1" applyBorder="1" applyFont="1">
      <alignment horizontal="center" vertical="top"/>
    </xf>
    <xf borderId="59" fillId="8" fontId="1" numFmtId="9" xfId="0" applyAlignment="1" applyBorder="1" applyFont="1" applyNumberFormat="1">
      <alignment horizontal="center" vertical="top"/>
    </xf>
    <xf borderId="74" fillId="5" fontId="1" numFmtId="9" xfId="0" applyAlignment="1" applyBorder="1" applyFont="1" applyNumberFormat="1">
      <alignment horizontal="center" vertical="top"/>
    </xf>
    <xf borderId="75" fillId="5" fontId="1" numFmtId="1" xfId="0" applyAlignment="1" applyBorder="1" applyFont="1" applyNumberFormat="1">
      <alignment horizontal="center" vertical="top"/>
    </xf>
    <xf borderId="29" fillId="7" fontId="2" numFmtId="0" xfId="0" applyAlignment="1" applyBorder="1" applyFont="1">
      <alignment vertical="top"/>
    </xf>
    <xf borderId="39" fillId="5" fontId="2" numFmtId="0" xfId="0" applyAlignment="1" applyBorder="1" applyFont="1">
      <alignment vertical="top"/>
    </xf>
    <xf borderId="56" fillId="7" fontId="2" numFmtId="14" xfId="0" applyAlignment="1" applyBorder="1" applyFont="1" applyNumberFormat="1">
      <alignment horizontal="center" vertical="top"/>
    </xf>
    <xf borderId="18" fillId="8" fontId="1" numFmtId="9" xfId="0" applyAlignment="1" applyBorder="1" applyFont="1" applyNumberFormat="1">
      <alignment horizontal="center" vertical="top"/>
    </xf>
    <xf borderId="57" fillId="8" fontId="2" numFmtId="0" xfId="0" applyAlignment="1" applyBorder="1" applyFont="1">
      <alignment horizontal="left" vertical="top"/>
    </xf>
    <xf borderId="58" fillId="8" fontId="1" numFmtId="0" xfId="0" applyAlignment="1" applyBorder="1" applyFont="1">
      <alignment horizontal="left" vertical="top"/>
    </xf>
    <xf borderId="59" fillId="8" fontId="1" numFmtId="9" xfId="0" applyAlignment="1" applyBorder="1" applyFont="1" applyNumberFormat="1">
      <alignment horizontal="left" vertical="top"/>
    </xf>
    <xf borderId="2" fillId="10" fontId="10" numFmtId="1" xfId="0" applyAlignment="1" applyBorder="1" applyFill="1" applyFont="1" applyNumberFormat="1">
      <alignment horizontal="center" vertical="top"/>
    </xf>
    <xf borderId="2" fillId="10" fontId="10" numFmtId="0" xfId="0" applyAlignment="1" applyBorder="1" applyFont="1">
      <alignment vertical="top"/>
    </xf>
    <xf borderId="4" fillId="10" fontId="10" numFmtId="0" xfId="0" applyAlignment="1" applyBorder="1" applyFont="1">
      <alignment horizontal="right" vertical="top"/>
    </xf>
    <xf borderId="4" fillId="10" fontId="10" numFmtId="0" xfId="0" applyAlignment="1" applyBorder="1" applyFont="1">
      <alignment horizontal="left" vertical="top"/>
    </xf>
    <xf borderId="2" fillId="10" fontId="10" numFmtId="164" xfId="0" applyAlignment="1" applyBorder="1" applyFont="1" applyNumberFormat="1">
      <alignment horizontal="center" vertical="top"/>
    </xf>
    <xf borderId="2" fillId="10" fontId="10" numFmtId="165" xfId="0" applyAlignment="1" applyBorder="1" applyFont="1" applyNumberFormat="1">
      <alignment horizontal="center" vertical="top"/>
    </xf>
    <xf borderId="76" fillId="3" fontId="7" numFmtId="165" xfId="0" applyAlignment="1" applyBorder="1" applyFont="1" applyNumberFormat="1">
      <alignment horizontal="center" vertical="top"/>
    </xf>
    <xf borderId="7" fillId="10" fontId="10" numFmtId="20" xfId="0" applyAlignment="1" applyBorder="1" applyFont="1" applyNumberFormat="1">
      <alignment horizontal="center" vertical="top"/>
    </xf>
    <xf borderId="8" fillId="11" fontId="3" numFmtId="1" xfId="0" applyAlignment="1" applyBorder="1" applyFill="1" applyFont="1" applyNumberFormat="1">
      <alignment horizontal="center" shrinkToFit="0" vertical="top" wrapText="1"/>
    </xf>
    <xf borderId="76" fillId="3" fontId="7" numFmtId="164" xfId="0" applyAlignment="1" applyBorder="1" applyFont="1" applyNumberFormat="1">
      <alignment horizontal="center" vertical="top"/>
    </xf>
    <xf borderId="7" fillId="4" fontId="6" numFmtId="0" xfId="0" applyAlignment="1" applyBorder="1" applyFont="1">
      <alignment horizontal="center" shrinkToFit="0" vertical="top" wrapText="1"/>
    </xf>
    <xf borderId="77" fillId="7" fontId="1" numFmtId="0" xfId="0" applyAlignment="1" applyBorder="1" applyFont="1">
      <alignment horizontal="center" vertical="top"/>
    </xf>
    <xf borderId="77" fillId="5" fontId="1" numFmtId="0" xfId="0" applyAlignment="1" applyBorder="1" applyFont="1">
      <alignment horizontal="center" vertical="top"/>
    </xf>
    <xf borderId="0" fillId="0" fontId="2" numFmtId="0" xfId="0" applyFont="1"/>
    <xf borderId="8" fillId="2" fontId="3" numFmtId="1" xfId="0" applyAlignment="1" applyBorder="1" applyFont="1" applyNumberFormat="1">
      <alignment horizontal="center" shrinkToFit="0" vertical="top" wrapText="1"/>
    </xf>
    <xf borderId="0" fillId="0" fontId="11" numFmtId="0" xfId="0" applyFont="1"/>
    <xf borderId="0" fillId="0" fontId="12" numFmtId="0" xfId="0" applyFont="1"/>
    <xf borderId="78" fillId="10" fontId="10" numFmtId="0" xfId="0" applyAlignment="1" applyBorder="1" applyFont="1">
      <alignment horizontal="left" vertical="top"/>
    </xf>
    <xf borderId="79" fillId="0" fontId="5" numFmtId="0" xfId="0" applyBorder="1" applyFont="1"/>
    <xf borderId="80" fillId="0" fontId="5" numFmtId="0" xfId="0" applyBorder="1" applyFont="1"/>
    <xf borderId="1" fillId="10" fontId="10" numFmtId="1" xfId="0" applyAlignment="1" applyBorder="1" applyFont="1" applyNumberFormat="1">
      <alignment horizontal="center" vertical="top"/>
    </xf>
    <xf borderId="1" fillId="10" fontId="10" numFmtId="164" xfId="0" applyAlignment="1" applyBorder="1" applyFont="1" applyNumberFormat="1">
      <alignment horizontal="center" vertical="top"/>
    </xf>
    <xf borderId="1" fillId="10" fontId="10" numFmtId="165" xfId="0" applyAlignment="1" applyBorder="1" applyFont="1" applyNumberFormat="1">
      <alignment horizontal="center" vertical="top"/>
    </xf>
    <xf borderId="81" fillId="10" fontId="10" numFmtId="20" xfId="0" applyAlignment="1" applyBorder="1" applyFont="1" applyNumberFormat="1">
      <alignment horizontal="center" vertical="top"/>
    </xf>
    <xf borderId="78" fillId="2" fontId="3" numFmtId="0" xfId="0" applyAlignment="1" applyBorder="1" applyFont="1">
      <alignment horizontal="left" vertical="top"/>
    </xf>
    <xf borderId="1" fillId="2" fontId="3" numFmtId="164" xfId="0" applyAlignment="1" applyBorder="1" applyFont="1" applyNumberFormat="1">
      <alignment horizontal="center" vertical="top"/>
    </xf>
    <xf borderId="1" fillId="2" fontId="3" numFmtId="165" xfId="0" applyAlignment="1" applyBorder="1" applyFont="1" applyNumberFormat="1">
      <alignment horizontal="center" vertical="top"/>
    </xf>
    <xf borderId="81" fillId="2" fontId="3" numFmtId="20" xfId="0" applyAlignment="1" applyBorder="1" applyFont="1" applyNumberFormat="1">
      <alignment horizontal="center" vertical="top"/>
    </xf>
    <xf borderId="18" fillId="5" fontId="1" numFmtId="0" xfId="0" applyAlignment="1" applyBorder="1" applyFont="1">
      <alignment horizontal="left" vertical="top"/>
    </xf>
    <xf borderId="19" fillId="5" fontId="1" numFmtId="9" xfId="0" applyAlignment="1" applyBorder="1" applyFont="1" applyNumberFormat="1">
      <alignment horizontal="left" vertical="top"/>
    </xf>
    <xf borderId="20" fillId="5" fontId="1" numFmtId="0" xfId="0" applyAlignment="1" applyBorder="1" applyFont="1">
      <alignment horizontal="left" vertical="top"/>
    </xf>
    <xf borderId="33" fillId="5" fontId="1" numFmtId="9" xfId="0" applyAlignment="1" applyBorder="1" applyFont="1" applyNumberFormat="1">
      <alignment horizontal="left" vertical="top"/>
    </xf>
    <xf borderId="20" fillId="7" fontId="1" numFmtId="0" xfId="0" applyAlignment="1" applyBorder="1" applyFont="1">
      <alignment horizontal="left" vertical="top"/>
    </xf>
    <xf borderId="33" fillId="7" fontId="1" numFmtId="9" xfId="0" applyAlignment="1" applyBorder="1" applyFont="1" applyNumberFormat="1">
      <alignment horizontal="left" vertical="top"/>
    </xf>
    <xf borderId="58" fillId="7" fontId="1" numFmtId="0" xfId="0" applyAlignment="1" applyBorder="1" applyFont="1">
      <alignment horizontal="left" vertical="top"/>
    </xf>
    <xf borderId="59" fillId="7" fontId="1" numFmtId="9" xfId="0" applyAlignment="1" applyBorder="1" applyFont="1" applyNumberFormat="1">
      <alignment horizontal="left" vertical="top"/>
    </xf>
    <xf borderId="82" fillId="0" fontId="1" numFmtId="9" xfId="0" applyAlignment="1" applyBorder="1" applyFont="1" applyNumberFormat="1">
      <alignment horizontal="left"/>
    </xf>
    <xf borderId="81" fillId="5" fontId="1" numFmtId="2" xfId="0" applyAlignment="1" applyBorder="1" applyFont="1" applyNumberFormat="1">
      <alignment horizontal="left"/>
    </xf>
    <xf borderId="83" fillId="0" fontId="1" numFmtId="2" xfId="0" applyBorder="1" applyFont="1" applyNumberFormat="1"/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borderId="72" fillId="0" fontId="1" numFmtId="9" xfId="0" applyAlignment="1" applyBorder="1" applyFont="1" applyNumberFormat="1">
      <alignment horizontal="left"/>
    </xf>
    <xf borderId="48" fillId="5" fontId="1" numFmtId="2" xfId="0" applyAlignment="1" applyBorder="1" applyFont="1" applyNumberFormat="1">
      <alignment horizontal="left"/>
    </xf>
    <xf borderId="84" fillId="12" fontId="1" numFmtId="0" xfId="0" applyAlignment="1" applyBorder="1" applyFill="1" applyFont="1">
      <alignment horizontal="center"/>
    </xf>
    <xf borderId="85" fillId="0" fontId="5" numFmtId="0" xfId="0" applyBorder="1" applyFont="1"/>
    <xf borderId="86" fillId="0" fontId="5" numFmtId="0" xfId="0" applyBorder="1" applyFont="1"/>
    <xf borderId="87" fillId="13" fontId="1" numFmtId="0" xfId="0" applyAlignment="1" applyBorder="1" applyFill="1" applyFont="1">
      <alignment horizontal="left" shrinkToFit="0" vertical="top" wrapText="1"/>
    </xf>
    <xf borderId="88" fillId="0" fontId="5" numFmtId="0" xfId="0" applyBorder="1" applyFont="1"/>
    <xf borderId="89" fillId="0" fontId="5" numFmtId="0" xfId="0" applyBorder="1" applyFont="1"/>
    <xf borderId="90" fillId="14" fontId="6" numFmtId="0" xfId="0" applyAlignment="1" applyBorder="1" applyFill="1" applyFont="1">
      <alignment horizontal="center" vertical="center"/>
    </xf>
    <xf borderId="90" fillId="12" fontId="2" numFmtId="0" xfId="0" applyAlignment="1" applyBorder="1" applyFont="1">
      <alignment horizontal="center" vertical="center"/>
    </xf>
    <xf borderId="91" fillId="0" fontId="5" numFmtId="0" xfId="0" applyBorder="1" applyFont="1"/>
    <xf borderId="92" fillId="0" fontId="5" numFmtId="0" xfId="0" applyBorder="1" applyFont="1"/>
    <xf borderId="90" fillId="15" fontId="1" numFmtId="9" xfId="0" applyAlignment="1" applyBorder="1" applyFill="1" applyFont="1" applyNumberFormat="1">
      <alignment horizontal="center"/>
    </xf>
    <xf borderId="90" fillId="0" fontId="15" numFmtId="0" xfId="0" applyAlignment="1" applyBorder="1" applyFont="1">
      <alignment horizontal="center" vertical="center"/>
    </xf>
    <xf borderId="90" fillId="5" fontId="15" numFmtId="0" xfId="0" applyAlignment="1" applyBorder="1" applyFont="1">
      <alignment horizontal="center" vertical="center"/>
    </xf>
    <xf borderId="93" fillId="0" fontId="5" numFmtId="0" xfId="0" applyBorder="1" applyFont="1"/>
    <xf borderId="94" fillId="0" fontId="5" numFmtId="0" xfId="0" applyBorder="1" applyFont="1"/>
    <xf borderId="95" fillId="0" fontId="5" numFmtId="0" xfId="0" applyBorder="1" applyFont="1"/>
    <xf borderId="82" fillId="0" fontId="1" numFmtId="0" xfId="0" applyBorder="1" applyFont="1"/>
    <xf borderId="96" fillId="0" fontId="1" numFmtId="0" xfId="0" applyBorder="1" applyFont="1"/>
    <xf borderId="97" fillId="0" fontId="1" numFmtId="0" xfId="0" applyBorder="1" applyFont="1"/>
    <xf borderId="72" fillId="0" fontId="1" numFmtId="0" xfId="0" applyBorder="1" applyFont="1"/>
    <xf borderId="0" fillId="0" fontId="1" numFmtId="168" xfId="0" applyAlignment="1" applyFont="1" applyNumberFormat="1">
      <alignment horizontal="left"/>
    </xf>
    <xf borderId="0" fillId="0" fontId="1" numFmtId="168" xfId="0" applyFont="1" applyNumberFormat="1"/>
    <xf borderId="83" fillId="0" fontId="1" numFmtId="169" xfId="0" applyBorder="1" applyFont="1" applyNumberFormat="1"/>
    <xf borderId="73" fillId="0" fontId="1" numFmtId="0" xfId="0" applyBorder="1" applyFont="1"/>
    <xf borderId="98" fillId="0" fontId="1" numFmtId="168" xfId="0" applyAlignment="1" applyBorder="1" applyFont="1" applyNumberFormat="1">
      <alignment horizontal="left"/>
    </xf>
    <xf borderId="98" fillId="0" fontId="1" numFmtId="168" xfId="0" applyBorder="1" applyFont="1" applyNumberFormat="1"/>
    <xf borderId="99" fillId="0" fontId="1" numFmtId="169" xfId="0" applyBorder="1" applyFont="1" applyNumberFormat="1"/>
    <xf borderId="0" fillId="0" fontId="1" numFmtId="169" xfId="0" applyFont="1" applyNumberFormat="1"/>
    <xf borderId="84" fillId="0" fontId="1" numFmtId="0" xfId="0" applyBorder="1" applyFont="1"/>
    <xf borderId="85" fillId="0" fontId="1" numFmtId="0" xfId="0" applyBorder="1" applyFont="1"/>
    <xf borderId="86" fillId="0" fontId="1" numFmtId="0" xfId="0" applyBorder="1" applyFont="1"/>
    <xf borderId="90" fillId="0" fontId="1" numFmtId="0" xfId="0" applyAlignment="1" applyBorder="1" applyFont="1">
      <alignment horizontal="center"/>
    </xf>
    <xf borderId="84" fillId="15" fontId="1" numFmtId="9" xfId="0" applyAlignment="1" applyBorder="1" applyFont="1" applyNumberFormat="1">
      <alignment horizontal="center"/>
    </xf>
    <xf borderId="100" fillId="0" fontId="5" numFmtId="0" xfId="0" applyBorder="1" applyFont="1"/>
    <xf borderId="8" fillId="5" fontId="1" numFmtId="1" xfId="0" applyAlignment="1" applyBorder="1" applyFont="1" applyNumberFormat="1">
      <alignment horizontal="center"/>
    </xf>
    <xf borderId="101" fillId="0" fontId="1" numFmtId="0" xfId="0" applyBorder="1" applyFont="1"/>
    <xf borderId="102" fillId="0" fontId="1" numFmtId="0" xfId="0" applyBorder="1" applyFont="1"/>
    <xf borderId="103" fillId="0" fontId="1" numFmtId="0" xfId="0" applyBorder="1" applyFont="1"/>
    <xf borderId="0" fillId="0" fontId="1" numFmtId="14" xfId="0" applyFont="1" applyNumberFormat="1"/>
    <xf borderId="104" fillId="0" fontId="1" numFmtId="0" xfId="0" applyBorder="1" applyFont="1"/>
    <xf borderId="0" fillId="0" fontId="16" numFmtId="0" xfId="0" applyAlignment="1" applyFont="1">
      <alignment horizontal="center"/>
    </xf>
    <xf borderId="105" fillId="0" fontId="1" numFmtId="0" xfId="0" applyBorder="1" applyFont="1"/>
    <xf borderId="84" fillId="15" fontId="1" numFmtId="0" xfId="0" applyAlignment="1" applyBorder="1" applyFont="1">
      <alignment horizontal="left"/>
    </xf>
    <xf borderId="8" fillId="5" fontId="1" numFmtId="20" xfId="0" applyAlignment="1" applyBorder="1" applyFont="1" applyNumberFormat="1">
      <alignment horizontal="center"/>
    </xf>
    <xf borderId="104" fillId="0" fontId="1" numFmtId="9" xfId="0" applyBorder="1" applyFont="1" applyNumberFormat="1"/>
    <xf borderId="106" fillId="0" fontId="1" numFmtId="0" xfId="0" applyBorder="1" applyFont="1"/>
    <xf borderId="107" fillId="0" fontId="1" numFmtId="0" xfId="0" applyBorder="1" applyFont="1"/>
    <xf borderId="108" fillId="0" fontId="1" numFmtId="0" xfId="0" applyBorder="1" applyFont="1"/>
    <xf borderId="0" fillId="0" fontId="1" numFmtId="9" xfId="0" applyFont="1" applyNumberFormat="1"/>
    <xf borderId="0" fillId="0" fontId="1" numFmtId="2" xfId="0" applyAlignment="1" applyFont="1" applyNumberFormat="1">
      <alignment horizontal="left"/>
    </xf>
    <xf borderId="73" fillId="0" fontId="1" numFmtId="9" xfId="0" applyAlignment="1" applyBorder="1" applyFont="1" applyNumberFormat="1">
      <alignment horizontal="left"/>
    </xf>
    <xf borderId="109" fillId="5" fontId="1" numFmtId="2" xfId="0" applyAlignment="1" applyBorder="1" applyFont="1" applyNumberFormat="1">
      <alignment horizontal="left"/>
    </xf>
    <xf borderId="99" fillId="0" fontId="1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F!$A$1:$A$101</c:f>
            </c:numRef>
          </c:xVal>
          <c:yVal>
            <c:numRef>
              <c:f>F!$B$1:$B$101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438061"/>
        <c:axId val="175623033"/>
      </c:scatterChart>
      <c:valAx>
        <c:axId val="1353438061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623033"/>
      </c:valAx>
      <c:valAx>
        <c:axId val="175623033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3438061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0</xdr:row>
      <xdr:rowOff>114300</xdr:rowOff>
    </xdr:from>
    <xdr:ext cx="8172450" cy="3495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333375</xdr:colOff>
      <xdr:row>45</xdr:row>
      <xdr:rowOff>85725</xdr:rowOff>
    </xdr:from>
    <xdr:ext cx="3038475" cy="4667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9.14"/>
    <col customWidth="1" min="3" max="3" width="7.29"/>
    <col customWidth="1" min="4" max="4" width="35.0"/>
    <col customWidth="1" min="5" max="5" width="6.14"/>
    <col customWidth="1" min="6" max="6" width="6.57"/>
    <col customWidth="1" min="7" max="7" width="6.29"/>
    <col customWidth="1" min="8" max="8" width="4.57"/>
    <col customWidth="1" min="9" max="9" width="4.86"/>
    <col customWidth="1" min="10" max="10" width="6.14"/>
    <col customWidth="1" min="11" max="11" width="6.29"/>
    <col customWidth="1" min="12" max="12" width="4.57"/>
    <col customWidth="1" min="13" max="13" width="4.86"/>
    <col customWidth="1" min="14" max="14" width="6.14"/>
    <col customWidth="1" min="15" max="15" width="6.29"/>
    <col customWidth="1" min="16" max="16" width="4.57"/>
    <col customWidth="1" min="17" max="17" width="4.86"/>
    <col customWidth="1" min="18" max="18" width="6.14"/>
    <col customWidth="1" min="19" max="19" width="6.29"/>
    <col customWidth="1" min="20" max="20" width="4.57"/>
    <col customWidth="1" min="21" max="21" width="4.86"/>
    <col customWidth="1" min="22" max="22" width="6.14"/>
    <col customWidth="1" min="23" max="23" width="6.29"/>
    <col customWidth="1" min="24" max="24" width="4.57"/>
    <col customWidth="1" min="25" max="25" width="4.86"/>
    <col customWidth="1" min="26" max="26" width="6.14"/>
    <col customWidth="1" min="27" max="27" width="6.29"/>
    <col customWidth="1" min="28" max="28" width="4.57"/>
    <col customWidth="1" min="29" max="29" width="4.86"/>
    <col customWidth="1" min="30" max="30" width="6.14"/>
    <col customWidth="1" min="31" max="31" width="8.86"/>
    <col customWidth="1" min="32" max="32" width="7.71"/>
    <col customWidth="1" min="33" max="33" width="7.29"/>
    <col customWidth="1" min="34" max="34" width="6.86"/>
    <col customWidth="1" min="35" max="35" width="9.14"/>
    <col customWidth="1" min="36" max="36" width="5.71"/>
    <col customWidth="1" min="37" max="37" width="7.57"/>
    <col customWidth="1" min="38" max="38" width="16.43"/>
    <col customWidth="1" min="39" max="42" width="9.14"/>
    <col customWidth="1" min="43" max="43" width="8.86"/>
    <col customWidth="1" min="44" max="56" width="9.14"/>
  </cols>
  <sheetData>
    <row r="1" ht="1.5" customHeight="1">
      <c r="A1" s="1"/>
      <c r="B1" s="2"/>
      <c r="C1" s="2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  <c r="AI1" s="2"/>
      <c r="AJ1" s="4"/>
      <c r="AK1" s="2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>
      <c r="A2" s="5">
        <v>7.0</v>
      </c>
      <c r="B2" s="6"/>
      <c r="C2" s="6"/>
      <c r="D2" s="6"/>
      <c r="E2" s="7">
        <f>IF(AJ2=0,0,(E12*AJ12 + E21*AJ21 + E30*AJ30 + E39*AJ39 + E48*AJ48 + E57*AJ57   ) /AJ2 )</f>
        <v>0.941166113</v>
      </c>
      <c r="F2" s="8" t="s">
        <v>0</v>
      </c>
      <c r="G2" s="9"/>
      <c r="H2" s="9"/>
      <c r="I2" s="9"/>
      <c r="J2" s="9"/>
      <c r="K2" s="9"/>
      <c r="L2" s="9"/>
      <c r="M2" s="10"/>
      <c r="N2" s="11">
        <v>1.0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10"/>
      <c r="AE2" s="12">
        <f>AE12+AE21+AE30+AE39+AE48+AE57</f>
        <v>15812.5</v>
      </c>
      <c r="AF2" s="13">
        <f>IFERROR(AE2/AJ2,0)</f>
        <v>52.53322259</v>
      </c>
      <c r="AG2" s="14">
        <f>IF(AJ2=0,0,(AG12*AJ12 + AG21*AJ21 + AG30*AJ30 + AG39*AJ39 + AG48*AJ48 + AG57*AJ57   ) /AJ2 )</f>
        <v>0.5434155551</v>
      </c>
      <c r="AH2" s="12"/>
      <c r="AI2" s="12">
        <f t="shared" ref="AI2:AK2" si="1">AI12+AI21+AI30+AI39+AI48+AI57</f>
        <v>15041.925</v>
      </c>
      <c r="AJ2" s="12">
        <f t="shared" si="1"/>
        <v>301</v>
      </c>
      <c r="AK2" s="15">
        <f t="shared" si="1"/>
        <v>0.2569444444</v>
      </c>
      <c r="AL2" s="16"/>
      <c r="AM2" s="17"/>
      <c r="AN2" s="18"/>
      <c r="AO2" s="18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>
      <c r="A3" s="19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7</v>
      </c>
      <c r="L3" s="20" t="s">
        <v>8</v>
      </c>
      <c r="M3" s="20" t="s">
        <v>9</v>
      </c>
      <c r="N3" s="20" t="s">
        <v>10</v>
      </c>
      <c r="O3" s="20" t="s">
        <v>7</v>
      </c>
      <c r="P3" s="20" t="s">
        <v>8</v>
      </c>
      <c r="Q3" s="20" t="s">
        <v>9</v>
      </c>
      <c r="R3" s="20" t="s">
        <v>10</v>
      </c>
      <c r="S3" s="20" t="s">
        <v>7</v>
      </c>
      <c r="T3" s="20" t="s">
        <v>8</v>
      </c>
      <c r="U3" s="20" t="s">
        <v>9</v>
      </c>
      <c r="V3" s="20" t="s">
        <v>10</v>
      </c>
      <c r="W3" s="20" t="s">
        <v>7</v>
      </c>
      <c r="X3" s="20" t="s">
        <v>8</v>
      </c>
      <c r="Y3" s="20" t="s">
        <v>9</v>
      </c>
      <c r="Z3" s="20" t="s">
        <v>10</v>
      </c>
      <c r="AA3" s="20" t="s">
        <v>7</v>
      </c>
      <c r="AB3" s="20" t="s">
        <v>8</v>
      </c>
      <c r="AC3" s="20" t="s">
        <v>9</v>
      </c>
      <c r="AD3" s="21" t="s">
        <v>10</v>
      </c>
      <c r="AE3" s="20" t="s">
        <v>11</v>
      </c>
      <c r="AF3" s="20" t="s">
        <v>12</v>
      </c>
      <c r="AG3" s="20" t="s">
        <v>13</v>
      </c>
      <c r="AH3" s="22" t="s">
        <v>14</v>
      </c>
      <c r="AI3" s="23" t="s">
        <v>15</v>
      </c>
      <c r="AJ3" s="20" t="s">
        <v>16</v>
      </c>
      <c r="AK3" s="21" t="s">
        <v>17</v>
      </c>
      <c r="AL3" s="21" t="s">
        <v>18</v>
      </c>
      <c r="AM3" s="24"/>
      <c r="AN3" s="24"/>
      <c r="AO3" s="24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>
      <c r="A4" s="25">
        <f>A5</f>
        <v>43780</v>
      </c>
      <c r="B4" s="26" t="s">
        <v>19</v>
      </c>
      <c r="C4" s="27" t="s">
        <v>20</v>
      </c>
      <c r="D4" s="28" t="s">
        <v>21</v>
      </c>
      <c r="E4" s="29">
        <v>1.2</v>
      </c>
      <c r="F4" s="30"/>
      <c r="G4" s="31">
        <f t="shared" ref="G4:G8" si="2">IF(J4&lt;&gt;0, IFERROR(IF( $F4=2,  MROUND($AH4*J4,1),    IF( OR($F4="",$F4=1),   MROUND($AH4*J4,2.5),  MROUND($AH4*J4, 0.1))), "" ), "")</f>
        <v>77.5</v>
      </c>
      <c r="H4" s="32">
        <v>4.0</v>
      </c>
      <c r="I4" s="32">
        <v>1.0</v>
      </c>
      <c r="J4" s="33">
        <v>0.57</v>
      </c>
      <c r="K4" s="31">
        <f t="shared" ref="K4:K11" si="3">IF(N4&lt;&gt;0, IFERROR(IF( $F4=2,  MROUND($AH4*N4,1),    IF( OR($F4="",$F4=1),   MROUND($AH4*N4,2.5),  MROUND($AH4*N4, 0.1))), "" ), "")</f>
        <v>87.5</v>
      </c>
      <c r="L4" s="34">
        <v>3.0</v>
      </c>
      <c r="M4" s="34">
        <v>3.0</v>
      </c>
      <c r="N4" s="33">
        <v>0.65</v>
      </c>
      <c r="O4" s="31">
        <f t="shared" ref="O4:O11" si="4">IF(R4&lt;&gt;0, IFERROR(IF( $F4=2,  MROUND($AH4*R4,1),    IF( OR($F4="",$F4=1),   MROUND($AH4*R4,2.5),  MROUND($AH4*R4, 0.1))), "" ), "")</f>
        <v>102.5</v>
      </c>
      <c r="P4" s="34">
        <v>2.0</v>
      </c>
      <c r="Q4" s="34">
        <v>3.0</v>
      </c>
      <c r="R4" s="33">
        <v>0.75</v>
      </c>
      <c r="S4" s="31" t="str">
        <f t="shared" ref="S4:S11" si="5">IF(V4&lt;&gt;0, IFERROR(IF( $F4=2,  MROUND($AH4*V4,1),    IF( OR($F4="",$F4=1),   MROUND($AH4*V4,2.5),  MROUND($AH4*V4, 0.1))), "" ), "")</f>
        <v/>
      </c>
      <c r="T4" s="34"/>
      <c r="U4" s="34"/>
      <c r="V4" s="33"/>
      <c r="W4" s="31" t="str">
        <f t="shared" ref="W4:W11" si="6">IF(Z4&lt;&gt;0, IFERROR(IF( $F4=2,  MROUND($AH4*Z4,1),    IF( OR($F4="",$F4=1),   MROUND($AH4*Z4,2.5),  MROUND($AH4*Z4, 0.1))), "" ), "")</f>
        <v/>
      </c>
      <c r="X4" s="34"/>
      <c r="Y4" s="34"/>
      <c r="Z4" s="33"/>
      <c r="AA4" s="31" t="str">
        <f t="shared" ref="AA4:AA11" si="7">IF(AD4&lt;&gt;0, IFERROR(IF( $F4=2,  MROUND($AH4*AD4,1),    IF( OR($F4="",$F4=1),   MROUND($AH4*AD4,2.5),  MROUND($AH4*AD4, 0.1))), "" ), "")</f>
        <v/>
      </c>
      <c r="AB4" s="34"/>
      <c r="AC4" s="34"/>
      <c r="AD4" s="33"/>
      <c r="AE4" s="35">
        <f t="shared" ref="AE4:AE11" si="8">(IF(ISNUMBER(G4),G4,0)*H4*I4+IF(ISNUMBER(K4),K4,1)*L4*M4+IF(ISNUMBER(O4),O4,1)*P4*Q4+IF(ISNUMBER(S4),S4,1)*T4*U4+IF(ISNUMBER(W4),W4,1)*X4*Y4+IF(ISNUMBER(AA4),AA4,1)*AB4*AC4)*IF(ISNUMBER(F4),F4,1)</f>
        <v>1712.5</v>
      </c>
      <c r="AF4" s="36">
        <f t="shared" ref="AF4:AF58" si="9">IFERROR(AE4/AJ4,0)</f>
        <v>90.13157895</v>
      </c>
      <c r="AG4" s="37">
        <f t="shared" ref="AG4:AG11" si="10">IFERROR((AF4/(AH4*IF(ISNUMBER(F4),F4,1))),0)</f>
        <v>0.6676413255</v>
      </c>
      <c r="AH4" s="38">
        <v>135.0</v>
      </c>
      <c r="AI4" s="39">
        <f> ( IF(ISNUMBER(G4), VLOOKUP(G4/$AH4,F!$A1:$B101,2,1)*G4*$H4*$I4,0)+IF(ISNUMBER(K4), VLOOKUP(K4/$AH4,F!$A1:$B101,2,1)*K4*$L4*$M4,0)+IF(ISNUMBER(O4), VLOOKUP(O4/$AH4,F!$A1:$B101,2,1)*O4*$P4*$Q4,0)+IF(ISNUMBER(S4), VLOOKUP(S4/$AH4,F!$A1:$B101,2,1)*S4*$T4*$U4,0)+IF(ISNUMBER(W4), VLOOKUP(W4/$AH4,F!$A1:$B101,2,1)*W4*$X4*$Y4,0)+IF(ISNUMBER(AA4), VLOOKUP(AA4/$AH4,F!$A1:$B101,2,1)*AA4*$AB4*$AC4,0))*IF(ISNUMBER(F4),F4,1)*IF(ISNUMBER(E4),E4,1)</f>
        <v>1853.34</v>
      </c>
      <c r="AJ4" s="40">
        <f t="shared" ref="AJ4:AJ11" si="11">H4*I4+L4*M4+P4*Q4+T4*U4+X4*Y4+AB4*AC4</f>
        <v>19</v>
      </c>
      <c r="AK4" s="41">
        <f t="array" ref="AK4">IFERROR(I4*INDEX(F!$P$21:$AB$33, MATCH(G4/$AH4, F!$O$21:$O$33,1), MATCH(E4, F!$P$20:$AB$20,1)), 0 ) +IFERROR( M4*INDEX(F!$P$21:$AB$33, MATCH(K4/$AH4, F!$O$21:$O$33,1), MATCH(E4, F!$P$20:$AB$20,1)),0) +  IFERROR( Q4*INDEX(F!$P$21:$AB$33, MATCH(O4/$AH4, F!$O$21:$O$33,1), MATCH(E4, F!$P$20:$AB$20,1)), 0) + IFERROR( U4*INDEX(F!$P$21:$AB$33, MATCH(S4/$AH4, F!$O$21:$O$33,1), MATCH(E4, F!$P$20:$AB$20,1)),0)  + IFERROR(Y4*INDEX(F!$P$21:$AB$33, MATCH(W4/$AH4, F!$O$21:$O$33,1), MATCH(E4, F!$P$20:$AB$20,1)),0)  + IFERROR( AC4*INDEX(F!$P$21:$AB$33, MATCH(AA4/$AH4, F!$O$21:$O$33,1), MATCH(E4, F!$P$20:$AB$20,1)),)</f>
        <v>31</v>
      </c>
      <c r="AL4" s="42"/>
      <c r="AM4" s="43"/>
      <c r="AN4" s="43"/>
      <c r="AO4" s="43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ht="15.75" customHeight="1">
      <c r="A5" s="44">
        <v>43780.0</v>
      </c>
      <c r="B5" s="45" t="s">
        <v>19</v>
      </c>
      <c r="C5" s="46" t="s">
        <v>22</v>
      </c>
      <c r="D5" s="47" t="s">
        <v>23</v>
      </c>
      <c r="E5" s="48">
        <v>1.0</v>
      </c>
      <c r="F5" s="49"/>
      <c r="G5" s="50">
        <f t="shared" si="2"/>
        <v>57.5</v>
      </c>
      <c r="H5" s="51">
        <v>3.0</v>
      </c>
      <c r="I5" s="51">
        <v>1.0</v>
      </c>
      <c r="J5" s="52">
        <v>0.6</v>
      </c>
      <c r="K5" s="50">
        <f t="shared" si="3"/>
        <v>67.5</v>
      </c>
      <c r="L5" s="51">
        <v>2.0</v>
      </c>
      <c r="M5" s="51">
        <v>2.0</v>
      </c>
      <c r="N5" s="52">
        <v>0.7</v>
      </c>
      <c r="O5" s="50">
        <f t="shared" si="4"/>
        <v>75</v>
      </c>
      <c r="P5" s="51">
        <v>1.0</v>
      </c>
      <c r="Q5" s="51">
        <v>2.0</v>
      </c>
      <c r="R5" s="52">
        <v>0.78</v>
      </c>
      <c r="S5" s="50" t="str">
        <f t="shared" si="5"/>
        <v/>
      </c>
      <c r="T5" s="51"/>
      <c r="U5" s="51"/>
      <c r="V5" s="52"/>
      <c r="W5" s="50" t="str">
        <f t="shared" si="6"/>
        <v/>
      </c>
      <c r="X5" s="51"/>
      <c r="Y5" s="51"/>
      <c r="Z5" s="52"/>
      <c r="AA5" s="50" t="str">
        <f t="shared" si="7"/>
        <v/>
      </c>
      <c r="AB5" s="51"/>
      <c r="AC5" s="51"/>
      <c r="AD5" s="52"/>
      <c r="AE5" s="53">
        <f t="shared" si="8"/>
        <v>592.5</v>
      </c>
      <c r="AF5" s="54">
        <f t="shared" si="9"/>
        <v>65.83333333</v>
      </c>
      <c r="AG5" s="55">
        <f t="shared" si="10"/>
        <v>0.6929824561</v>
      </c>
      <c r="AH5" s="38">
        <v>95.0</v>
      </c>
      <c r="AI5" s="56">
        <f> ( IF(ISNUMBER(G5), VLOOKUP(G5/$AH5,F!$A1:$B101,2,1)*G5*$H5*$I5,0)+IF(ISNUMBER(K5), VLOOKUP(K5/$AH5,F!$A1:$B101,2,1)*K5*$L5*$M5,0)+IF(ISNUMBER(O5), VLOOKUP(O5/$AH5,F!$A1:$B101,2,1)*O5*$P5*$Q5,0)+IF(ISNUMBER(S5), VLOOKUP(S5/$AH5,F!$A1:$B101,2,1)*S5*$T5*$U5,0)+IF(ISNUMBER(W5), VLOOKUP(W5/$AH5,F!$A1:$B101,2,1)*W5*$X5*$Y5,0)+IF(ISNUMBER(AA5), VLOOKUP(AA5/$AH5,F!$A1:$B101,2,1)*AA5*$AB5*$AC5,0))*IF(ISNUMBER(F5),F5,1)*IF(ISNUMBER(E5),E5,1)</f>
        <v>587.25</v>
      </c>
      <c r="AJ5" s="57">
        <f t="shared" si="11"/>
        <v>9</v>
      </c>
      <c r="AK5" s="58">
        <f t="array" ref="AK5">IFERROR(I5*INDEX(F!$P$21:$AB$33, MATCH(G5/$AH5, F!$O$21:$O$33,1), MATCH(E5, F!$P$20:$AB$20,1)), 0 ) +IFERROR( M5*INDEX(F!$P$21:$AB$33, MATCH(K5/$AH5, F!$O$21:$O$33,1), MATCH(E5, F!$P$20:$AB$20,1)),0) +  IFERROR( Q5*INDEX(F!$P$21:$AB$33, MATCH(O5/$AH5, F!$O$21:$O$33,1), MATCH(E5, F!$P$20:$AB$20,1)), 0) + IFERROR( U5*INDEX(F!$P$21:$AB$33, MATCH(S5/$AH5, F!$O$21:$O$33,1), MATCH(E5, F!$P$20:$AB$20,1)),0)  + IFERROR(Y5*INDEX(F!$P$21:$AB$33, MATCH(W5/$AH5, F!$O$21:$O$33,1), MATCH(E5, F!$P$20:$AB$20,1)),0)  + IFERROR( AC5*INDEX(F!$P$21:$AB$33, MATCH(AA5/$AH5, F!$O$21:$O$33,1), MATCH(E5, F!$P$20:$AB$20,1)),)</f>
        <v>19</v>
      </c>
      <c r="AL5" s="59"/>
      <c r="AM5" s="43"/>
      <c r="AN5" s="43"/>
      <c r="AO5" s="43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>
      <c r="A6" s="59"/>
      <c r="B6" s="60" t="s">
        <v>19</v>
      </c>
      <c r="C6" s="61" t="s">
        <v>20</v>
      </c>
      <c r="D6" s="62" t="s">
        <v>21</v>
      </c>
      <c r="E6" s="48">
        <v>1.2</v>
      </c>
      <c r="F6" s="63"/>
      <c r="G6" s="64">
        <f t="shared" si="2"/>
        <v>80</v>
      </c>
      <c r="H6" s="34">
        <v>4.0</v>
      </c>
      <c r="I6" s="34">
        <v>1.0</v>
      </c>
      <c r="J6" s="65">
        <v>0.6</v>
      </c>
      <c r="K6" s="64">
        <f t="shared" si="3"/>
        <v>95</v>
      </c>
      <c r="L6" s="34">
        <v>4.0</v>
      </c>
      <c r="M6" s="34">
        <v>4.0</v>
      </c>
      <c r="N6" s="65">
        <v>0.7</v>
      </c>
      <c r="O6" s="64" t="str">
        <f t="shared" si="4"/>
        <v/>
      </c>
      <c r="P6" s="34"/>
      <c r="Q6" s="34"/>
      <c r="R6" s="65"/>
      <c r="S6" s="64" t="str">
        <f t="shared" si="5"/>
        <v/>
      </c>
      <c r="T6" s="34"/>
      <c r="U6" s="34"/>
      <c r="V6" s="65"/>
      <c r="W6" s="64" t="str">
        <f t="shared" si="6"/>
        <v/>
      </c>
      <c r="X6" s="34"/>
      <c r="Y6" s="34"/>
      <c r="Z6" s="65"/>
      <c r="AA6" s="64" t="str">
        <f t="shared" si="7"/>
        <v/>
      </c>
      <c r="AB6" s="34"/>
      <c r="AC6" s="34"/>
      <c r="AD6" s="65"/>
      <c r="AE6" s="66">
        <f t="shared" si="8"/>
        <v>1840</v>
      </c>
      <c r="AF6" s="67">
        <f t="shared" si="9"/>
        <v>92</v>
      </c>
      <c r="AG6" s="68">
        <f t="shared" si="10"/>
        <v>0.6814814815</v>
      </c>
      <c r="AH6" s="69">
        <f>AH4</f>
        <v>135</v>
      </c>
      <c r="AI6" s="70">
        <f> ( IF(ISNUMBER(G6), VLOOKUP(G6/$AH6,F!$A1:$B101,2,1)*G6*$H6*$I6,0)+IF(ISNUMBER(K6), VLOOKUP(K6/$AH6,F!$A1:$B101,2,1)*K6*$L6*$M6,0)+IF(ISNUMBER(O6), VLOOKUP(O6/$AH6,F!$A1:$B101,2,1)*O6*$P6*$Q6,0)+IF(ISNUMBER(S6), VLOOKUP(S6/$AH6,F!$A1:$B101,2,1)*S6*$T6*$U6,0)+IF(ISNUMBER(W6), VLOOKUP(W6/$AH6,F!$A1:$B101,2,1)*W6*$X6*$Y6,0)+IF(ISNUMBER(AA6), VLOOKUP(AA6/$AH6,F!$A1:$B101,2,1)*AA6*$AB6*$AC6,0))*IF(ISNUMBER(F6),F6,1)*IF(ISNUMBER(E6),E6,1)</f>
        <v>1902.72</v>
      </c>
      <c r="AJ6" s="71">
        <f t="shared" si="11"/>
        <v>20</v>
      </c>
      <c r="AK6" s="72">
        <f t="array" ref="AK6">IFERROR(I6*INDEX(F!$P$21:$AB$33, MATCH(G6/$AH6, F!$O$21:$O$33,1), MATCH(E6, F!$P$20:$AB$20,1)), 0 ) +IFERROR( M6*INDEX(F!$P$21:$AB$33, MATCH(K6/$AH6, F!$O$21:$O$33,1), MATCH(E6, F!$P$20:$AB$20,1)),0) +  IFERROR( Q6*INDEX(F!$P$21:$AB$33, MATCH(O6/$AH6, F!$O$21:$O$33,1), MATCH(E6, F!$P$20:$AB$20,1)), 0) + IFERROR( U6*INDEX(F!$P$21:$AB$33, MATCH(S6/$AH6, F!$O$21:$O$33,1), MATCH(E6, F!$P$20:$AB$20,1)),0)  + IFERROR(Y6*INDEX(F!$P$21:$AB$33, MATCH(W6/$AH6, F!$O$21:$O$33,1), MATCH(E6, F!$P$20:$AB$20,1)),0)  + IFERROR( AC6*INDEX(F!$P$21:$AB$33, MATCH(AA6/$AH6, F!$O$21:$O$33,1), MATCH(E6, F!$P$20:$AB$20,1)),)</f>
        <v>24</v>
      </c>
      <c r="AL6" s="59"/>
      <c r="AM6" s="43"/>
      <c r="AN6" s="43"/>
      <c r="AO6" s="43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ht="15.75" customHeight="1">
      <c r="A7" s="59"/>
      <c r="B7" s="45" t="s">
        <v>24</v>
      </c>
      <c r="C7" s="73" t="s">
        <v>22</v>
      </c>
      <c r="D7" s="47" t="s">
        <v>25</v>
      </c>
      <c r="E7" s="48">
        <v>1.0</v>
      </c>
      <c r="F7" s="74">
        <v>2.0</v>
      </c>
      <c r="G7" s="50">
        <f t="shared" si="2"/>
        <v>20</v>
      </c>
      <c r="H7" s="51">
        <v>5.0</v>
      </c>
      <c r="I7" s="51">
        <v>5.0</v>
      </c>
      <c r="J7" s="52">
        <v>0.65</v>
      </c>
      <c r="K7" s="50" t="str">
        <f t="shared" si="3"/>
        <v/>
      </c>
      <c r="L7" s="51"/>
      <c r="M7" s="51"/>
      <c r="N7" s="52"/>
      <c r="O7" s="50" t="str">
        <f t="shared" si="4"/>
        <v/>
      </c>
      <c r="P7" s="51"/>
      <c r="Q7" s="51"/>
      <c r="R7" s="52"/>
      <c r="S7" s="50" t="str">
        <f t="shared" si="5"/>
        <v/>
      </c>
      <c r="T7" s="51"/>
      <c r="U7" s="51"/>
      <c r="V7" s="52"/>
      <c r="W7" s="50" t="str">
        <f t="shared" si="6"/>
        <v/>
      </c>
      <c r="X7" s="51"/>
      <c r="Y7" s="51"/>
      <c r="Z7" s="52"/>
      <c r="AA7" s="50" t="str">
        <f t="shared" si="7"/>
        <v/>
      </c>
      <c r="AB7" s="51"/>
      <c r="AC7" s="51"/>
      <c r="AD7" s="52"/>
      <c r="AE7" s="53">
        <f t="shared" si="8"/>
        <v>1000</v>
      </c>
      <c r="AF7" s="54">
        <f t="shared" si="9"/>
        <v>40</v>
      </c>
      <c r="AG7" s="75">
        <f t="shared" si="10"/>
        <v>0.6578947368</v>
      </c>
      <c r="AH7" s="76">
        <f>AH5*0.32</f>
        <v>30.4</v>
      </c>
      <c r="AI7" s="77">
        <f> ( IF(ISNUMBER(G7), VLOOKUP(G7/$AH7,F!$A1:$B101,2,1)*G7*$H7*$I7,0)+IF(ISNUMBER(K7), VLOOKUP(K7/$AH7,F!$A1:$B101,2,1)*K7*$L7*$M7,0)+IF(ISNUMBER(O7), VLOOKUP(O7/$AH7,F!$A1:$B101,2,1)*O7*$P7*$Q7,0)+IF(ISNUMBER(S7), VLOOKUP(S7/$AH7,F!$A1:$B101,2,1)*S7*$T7*$U7,0)+IF(ISNUMBER(W7), VLOOKUP(W7/$AH7,F!$A1:$B101,2,1)*W7*$X7*$Y7,0)+IF(ISNUMBER(AA7), VLOOKUP(AA7/$AH7,F!$A1:$B101,2,1)*AA7*$AB7*$AC7,0))*IF(ISNUMBER(F7),F7,1)*IF(ISNUMBER(E7),E7,1)</f>
        <v>800</v>
      </c>
      <c r="AJ7" s="57">
        <f t="shared" si="11"/>
        <v>25</v>
      </c>
      <c r="AK7" s="58">
        <f t="array" ref="AK7">IFERROR(I7*INDEX(F!$P$21:$AB$33, MATCH(G7/$AH7, F!$O$21:$O$33,1), MATCH(E7, F!$P$20:$AB$20,1)), 0 ) +IFERROR( M7*INDEX(F!$P$21:$AB$33, MATCH(K7/$AH7, F!$O$21:$O$33,1), MATCH(E7, F!$P$20:$AB$20,1)),0) +  IFERROR( Q7*INDEX(F!$P$21:$AB$33, MATCH(O7/$AH7, F!$O$21:$O$33,1), MATCH(E7, F!$P$20:$AB$20,1)), 0) + IFERROR( U7*INDEX(F!$P$21:$AB$33, MATCH(S7/$AH7, F!$O$21:$O$33,1), MATCH(E7, F!$P$20:$AB$20,1)),0)  + IFERROR(Y7*INDEX(F!$P$21:$AB$33, MATCH(W7/$AH7, F!$O$21:$O$33,1), MATCH(E7, F!$P$20:$AB$20,1)),0)  + IFERROR( AC7*INDEX(F!$P$21:$AB$33, MATCH(AA7/$AH7, F!$O$21:$O$33,1), MATCH(E7, F!$P$20:$AB$20,1)),)</f>
        <v>15</v>
      </c>
      <c r="AL7" s="59"/>
      <c r="AM7" s="43"/>
      <c r="AN7" s="43"/>
      <c r="AO7" s="43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ht="15.0" customHeight="1">
      <c r="A8" s="59"/>
      <c r="B8" s="60" t="s">
        <v>26</v>
      </c>
      <c r="C8" s="78" t="s">
        <v>27</v>
      </c>
      <c r="D8" s="62" t="s">
        <v>28</v>
      </c>
      <c r="E8" s="48">
        <v>0.4</v>
      </c>
      <c r="F8" s="79"/>
      <c r="G8" s="64">
        <f t="shared" si="2"/>
        <v>20</v>
      </c>
      <c r="H8" s="34">
        <v>5.0</v>
      </c>
      <c r="I8" s="34">
        <v>5.0</v>
      </c>
      <c r="J8" s="65">
        <v>0.45</v>
      </c>
      <c r="K8" s="64" t="str">
        <f t="shared" si="3"/>
        <v/>
      </c>
      <c r="L8" s="34"/>
      <c r="M8" s="34"/>
      <c r="N8" s="65"/>
      <c r="O8" s="64" t="str">
        <f t="shared" si="4"/>
        <v/>
      </c>
      <c r="P8" s="34"/>
      <c r="Q8" s="34"/>
      <c r="R8" s="65"/>
      <c r="S8" s="64" t="str">
        <f t="shared" si="5"/>
        <v/>
      </c>
      <c r="T8" s="34"/>
      <c r="U8" s="34"/>
      <c r="V8" s="65"/>
      <c r="W8" s="64" t="str">
        <f t="shared" si="6"/>
        <v/>
      </c>
      <c r="X8" s="34"/>
      <c r="Y8" s="34"/>
      <c r="Z8" s="65"/>
      <c r="AA8" s="64" t="str">
        <f t="shared" si="7"/>
        <v/>
      </c>
      <c r="AB8" s="34"/>
      <c r="AC8" s="34"/>
      <c r="AD8" s="65"/>
      <c r="AE8" s="66">
        <f t="shared" si="8"/>
        <v>500</v>
      </c>
      <c r="AF8" s="67">
        <f t="shared" si="9"/>
        <v>20</v>
      </c>
      <c r="AG8" s="68">
        <f t="shared" si="10"/>
        <v>0.4576659039</v>
      </c>
      <c r="AH8" s="76">
        <f>AH5*0.46</f>
        <v>43.7</v>
      </c>
      <c r="AI8" s="70">
        <f> ( IF(ISNUMBER(G8), VLOOKUP(G8/$AH8,F!$A1:$B101,2,1)*G8*$H8*$I8,0)+IF(ISNUMBER(K8), VLOOKUP(K8/$AH8,F!$A1:$B101,2,1)*K8*$L8*$M8,0)+IF(ISNUMBER(O8), VLOOKUP(O8/$AH8,F!$A1:$B101,2,1)*O8*$P8*$Q8,0)+IF(ISNUMBER(S8), VLOOKUP(S8/$AH8,F!$A1:$B101,2,1)*S8*$T8*$U8,0)+IF(ISNUMBER(W8), VLOOKUP(W8/$AH8,F!$A1:$B101,2,1)*W8*$X8*$Y8,0)+IF(ISNUMBER(AA8), VLOOKUP(AA8/$AH8,F!$A1:$B101,2,1)*AA8*$AB8*$AC8,0))*IF(ISNUMBER(F8),F8,1)*IF(ISNUMBER(E8),E8,1)</f>
        <v>84</v>
      </c>
      <c r="AJ8" s="71">
        <f t="shared" si="11"/>
        <v>25</v>
      </c>
      <c r="AK8" s="72">
        <f t="array" ref="AK8">IFERROR(I8*INDEX(F!$P$21:$AB$33, MATCH(G8/$AH8, F!$O$21:$O$33,1), MATCH(E8, F!$P$20:$AB$20,1)), 0 ) +IFERROR( M8*INDEX(F!$P$21:$AB$33, MATCH(K8/$AH8, F!$O$21:$O$33,1), MATCH(E8, F!$P$20:$AB$20,1)),0) +  IFERROR( Q8*INDEX(F!$P$21:$AB$33, MATCH(O8/$AH8, F!$O$21:$O$33,1), MATCH(E8, F!$P$20:$AB$20,1)), 0) + IFERROR( U8*INDEX(F!$P$21:$AB$33, MATCH(S8/$AH8, F!$O$21:$O$33,1), MATCH(E8, F!$P$20:$AB$20,1)),0)  + IFERROR(Y8*INDEX(F!$P$21:$AB$33, MATCH(W8/$AH8, F!$O$21:$O$33,1), MATCH(E8, F!$P$20:$AB$20,1)),0)  + IFERROR( AC8*INDEX(F!$P$21:$AB$33, MATCH(AA8/$AH8, F!$O$21:$O$33,1), MATCH(E8, F!$P$20:$AB$20,1)),)</f>
        <v>7.5</v>
      </c>
      <c r="AL8" s="59"/>
      <c r="AM8" s="80"/>
      <c r="AN8" s="80"/>
      <c r="AO8" s="80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ht="15.0" hidden="1" customHeight="1">
      <c r="A9" s="59"/>
      <c r="B9" s="45"/>
      <c r="C9" s="46"/>
      <c r="D9" s="81"/>
      <c r="E9" s="82"/>
      <c r="F9" s="83"/>
      <c r="G9" s="84"/>
      <c r="H9" s="85"/>
      <c r="I9" s="85"/>
      <c r="J9" s="52"/>
      <c r="K9" s="50" t="str">
        <f t="shared" si="3"/>
        <v/>
      </c>
      <c r="L9" s="51"/>
      <c r="M9" s="51"/>
      <c r="N9" s="52"/>
      <c r="O9" s="50" t="str">
        <f t="shared" si="4"/>
        <v/>
      </c>
      <c r="P9" s="51"/>
      <c r="Q9" s="51"/>
      <c r="R9" s="52"/>
      <c r="S9" s="50" t="str">
        <f t="shared" si="5"/>
        <v/>
      </c>
      <c r="T9" s="51"/>
      <c r="U9" s="51"/>
      <c r="V9" s="52"/>
      <c r="W9" s="50" t="str">
        <f t="shared" si="6"/>
        <v/>
      </c>
      <c r="X9" s="51"/>
      <c r="Y9" s="51"/>
      <c r="Z9" s="52"/>
      <c r="AA9" s="50" t="str">
        <f t="shared" si="7"/>
        <v/>
      </c>
      <c r="AB9" s="51"/>
      <c r="AC9" s="51"/>
      <c r="AD9" s="52"/>
      <c r="AE9" s="53">
        <f t="shared" si="8"/>
        <v>0</v>
      </c>
      <c r="AF9" s="54">
        <f t="shared" si="9"/>
        <v>0</v>
      </c>
      <c r="AG9" s="75">
        <f t="shared" si="10"/>
        <v>0</v>
      </c>
      <c r="AH9" s="76"/>
      <c r="AI9" s="77">
        <f> ( IF(ISNUMBER(G9), VLOOKUP(G9/$AH9,F!$A1:$B101,2,1)*G9*$H9*$I9,0)+IF(ISNUMBER(K9), VLOOKUP(K9/$AH9,F!$A1:$B101,2,1)*K9*$L9*$M9,0)+IF(ISNUMBER(O9), VLOOKUP(O9/$AH9,F!$A1:$B101,2,1)*O9*$P9*$Q9,0)+IF(ISNUMBER(S9), VLOOKUP(S9/$AH9,F!$A1:$B101,2,1)*S9*$T9*$U9,0)+IF(ISNUMBER(W9), VLOOKUP(W9/$AH9,F!$A1:$B101,2,1)*W9*$X9*$Y9,0)+IF(ISNUMBER(AA9), VLOOKUP(AA9/$AH9,F!$A1:$B101,2,1)*AA9*$AB9*$AC9,0))*IF(ISNUMBER(F9),F9,1)*IF(ISNUMBER(E9),E9,1)</f>
        <v>0</v>
      </c>
      <c r="AJ9" s="86">
        <f t="shared" si="11"/>
        <v>0</v>
      </c>
      <c r="AK9" s="58">
        <f t="array" ref="AK9">IFERROR(I9*INDEX(F!$P$21:$AB$33, MATCH(G9/$AH9, F!$O$21:$O$33,1), MATCH(E9, F!$P$20:$AB$20,1)), 0 ) +IFERROR( M9*INDEX(F!$P$21:$AB$33, MATCH(K9/$AH9, F!$O$21:$O$33,1), MATCH(E9, F!$P$20:$AB$20,1)),0) +  IFERROR( Q9*INDEX(F!$P$21:$AB$33, MATCH(O9/$AH9, F!$O$21:$O$33,1), MATCH(E9, F!$P$20:$AB$20,1)), 0) + IFERROR( U9*INDEX(F!$P$21:$AB$33, MATCH(S9/$AH9, F!$O$21:$O$33,1), MATCH(E9, F!$P$20:$AB$20,1)),0)  + IFERROR(Y9*INDEX(F!$P$21:$AB$33, MATCH(W9/$AH9, F!$O$21:$O$33,1), MATCH(E9, F!$P$20:$AB$20,1)),0)  + IFERROR( AC9*INDEX(F!$P$21:$AB$33, MATCH(AA9/$AH9, F!$O$21:$O$33,1), MATCH(E9, F!$P$20:$AB$20,1)),)</f>
        <v>0</v>
      </c>
      <c r="AL9" s="59"/>
      <c r="AM9" s="80"/>
      <c r="AN9" s="80"/>
      <c r="AO9" s="80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ht="15.0" hidden="1" customHeight="1">
      <c r="A10" s="59"/>
      <c r="B10" s="60"/>
      <c r="C10" s="61"/>
      <c r="D10" s="87"/>
      <c r="E10" s="48"/>
      <c r="F10" s="79"/>
      <c r="G10" s="88"/>
      <c r="H10" s="89"/>
      <c r="I10" s="89"/>
      <c r="J10" s="65"/>
      <c r="K10" s="64" t="str">
        <f t="shared" si="3"/>
        <v/>
      </c>
      <c r="L10" s="34"/>
      <c r="M10" s="34"/>
      <c r="N10" s="65"/>
      <c r="O10" s="64" t="str">
        <f t="shared" si="4"/>
        <v/>
      </c>
      <c r="P10" s="34"/>
      <c r="Q10" s="34"/>
      <c r="R10" s="65"/>
      <c r="S10" s="64" t="str">
        <f t="shared" si="5"/>
        <v/>
      </c>
      <c r="T10" s="34"/>
      <c r="U10" s="34"/>
      <c r="V10" s="65"/>
      <c r="W10" s="64" t="str">
        <f t="shared" si="6"/>
        <v/>
      </c>
      <c r="X10" s="34"/>
      <c r="Y10" s="34"/>
      <c r="Z10" s="65"/>
      <c r="AA10" s="64" t="str">
        <f t="shared" si="7"/>
        <v/>
      </c>
      <c r="AB10" s="34"/>
      <c r="AC10" s="34"/>
      <c r="AD10" s="65"/>
      <c r="AE10" s="66">
        <f t="shared" si="8"/>
        <v>0</v>
      </c>
      <c r="AF10" s="67">
        <f t="shared" si="9"/>
        <v>0</v>
      </c>
      <c r="AG10" s="68">
        <f t="shared" si="10"/>
        <v>0</v>
      </c>
      <c r="AH10" s="76"/>
      <c r="AI10" s="90">
        <f> ( IF(ISNUMBER(G10), VLOOKUP(G10/$AH10,F!$A1:$B101,2,1)*G10*$H10*$I10,0)+IF(ISNUMBER(K10), VLOOKUP(K10/$AH10,F!$A1:$B101,2,1)*K10*$L10*$M10,0)+IF(ISNUMBER(O10), VLOOKUP(O10/$AH10,F!$A1:$B101,2,1)*O10*$P10*$Q10,0)+IF(ISNUMBER(S10), VLOOKUP(S10/$AH10,F!$A1:$B101,2,1)*S10*$T10*$U10,0)+IF(ISNUMBER(W10), VLOOKUP(W10/$AH10,F!$A1:$B101,2,1)*W10*$X10*$Y10,0)+IF(ISNUMBER(AA10), VLOOKUP(AA10/$AH10,F!$A1:$B101,2,1)*AA10*$AB10*$AC10,0))*IF(ISNUMBER(F10),F10,1)*IF(ISNUMBER(E10),E10,1)</f>
        <v>0</v>
      </c>
      <c r="AJ10" s="34">
        <f t="shared" si="11"/>
        <v>0</v>
      </c>
      <c r="AK10" s="91">
        <f t="array" ref="AK10">IFERROR(I10*INDEX(F!$P$21:$AB$33, MATCH(G10/$AH10, F!$O$21:$O$33,1), MATCH(E10, F!$P$20:$AB$20,1)), 0 ) +IFERROR( M10*INDEX(F!$P$21:$AB$33, MATCH(K10/$AH10, F!$O$21:$O$33,1), MATCH(E10, F!$P$20:$AB$20,1)),0) +  IFERROR( Q10*INDEX(F!$P$21:$AB$33, MATCH(O10/$AH10, F!$O$21:$O$33,1), MATCH(E10, F!$P$20:$AB$20,1)), 0) + IFERROR( U10*INDEX(F!$P$21:$AB$33, MATCH(S10/$AH10, F!$O$21:$O$33,1), MATCH(E10, F!$P$20:$AB$20,1)),0)  + IFERROR(Y10*INDEX(F!$P$21:$AB$33, MATCH(W10/$AH10, F!$O$21:$O$33,1), MATCH(E10, F!$P$20:$AB$20,1)),0)  + IFERROR( AC10*INDEX(F!$P$21:$AB$33, MATCH(AA10/$AH10, F!$O$21:$O$33,1), MATCH(E10, F!$P$20:$AB$20,1)),)</f>
        <v>0</v>
      </c>
      <c r="AL10" s="59"/>
      <c r="AM10" s="80"/>
      <c r="AN10" s="80"/>
      <c r="AO10" s="80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ht="15.0" hidden="1" customHeight="1">
      <c r="A11" s="59"/>
      <c r="B11" s="45"/>
      <c r="C11" s="46"/>
      <c r="D11" s="92"/>
      <c r="E11" s="48"/>
      <c r="F11" s="74"/>
      <c r="G11" s="50" t="str">
        <f>IF(J11&lt;&gt;0, IFERROR(IF( $F11=2,  MROUND($AH11*J11,1),    IF( OR($F11="",$F11=1),   MROUND($AH11*J11,2.5),  MROUND($AH11*J11, 0.1))), "" ), "")</f>
        <v/>
      </c>
      <c r="H11" s="51"/>
      <c r="I11" s="51"/>
      <c r="J11" s="52"/>
      <c r="K11" s="50" t="str">
        <f t="shared" si="3"/>
        <v/>
      </c>
      <c r="L11" s="51"/>
      <c r="M11" s="51"/>
      <c r="N11" s="52"/>
      <c r="O11" s="50" t="str">
        <f t="shared" si="4"/>
        <v/>
      </c>
      <c r="P11" s="51"/>
      <c r="Q11" s="51"/>
      <c r="R11" s="52"/>
      <c r="S11" s="50" t="str">
        <f t="shared" si="5"/>
        <v/>
      </c>
      <c r="T11" s="51"/>
      <c r="U11" s="51"/>
      <c r="V11" s="52"/>
      <c r="W11" s="50" t="str">
        <f t="shared" si="6"/>
        <v/>
      </c>
      <c r="X11" s="51"/>
      <c r="Y11" s="51"/>
      <c r="Z11" s="52"/>
      <c r="AA11" s="50" t="str">
        <f t="shared" si="7"/>
        <v/>
      </c>
      <c r="AB11" s="51"/>
      <c r="AC11" s="51"/>
      <c r="AD11" s="52"/>
      <c r="AE11" s="53">
        <f t="shared" si="8"/>
        <v>0</v>
      </c>
      <c r="AF11" s="93">
        <f t="shared" si="9"/>
        <v>0</v>
      </c>
      <c r="AG11" s="94">
        <f t="shared" si="10"/>
        <v>0</v>
      </c>
      <c r="AH11" s="76"/>
      <c r="AI11" s="95">
        <f> ( IF(ISNUMBER(G11), VLOOKUP(G11/$AH11,F!$A1:$B101,2,1)*G11*$H11*$I11,0)+IF(ISNUMBER(K11), VLOOKUP(K11/$AH11,F!$A1:$B101,2,1)*K11*$L11*$M11,0)+IF(ISNUMBER(O11), VLOOKUP(O11/$AH11,F!$A1:$B101,2,1)*O11*$P11*$Q11,0)+IF(ISNUMBER(S11), VLOOKUP(S11/$AH11,F!$A1:$B101,2,1)*S11*$T11*$U11,0)+IF(ISNUMBER(W11), VLOOKUP(W11/$AH11,F!$A1:$B101,2,1)*W11*$X11*$Y11,0)+IF(ISNUMBER(AA11), VLOOKUP(AA11/$AH11,F!$A1:$B101,2,1)*AA11*$AB11*$AC11,0))*IF(ISNUMBER(F11),F11,1)*IF(ISNUMBER(E11),E11,1)</f>
        <v>0</v>
      </c>
      <c r="AJ11" s="96">
        <f t="shared" si="11"/>
        <v>0</v>
      </c>
      <c r="AK11" s="97">
        <f t="array" ref="AK11">IFERROR(I11*INDEX(F!$P$21:$AB$33, MATCH(G11/$AH11, F!$O$21:$O$33,1), MATCH(E11, F!$P$20:$AB$20,1)), 0 ) +IFERROR( M11*INDEX(F!$P$21:$AB$33, MATCH(K11/$AH11, F!$O$21:$O$33,1), MATCH(E11, F!$P$20:$AB$20,1)),0) +  IFERROR( Q11*INDEX(F!$P$21:$AB$33, MATCH(O11/$AH11, F!$O$21:$O$33,1), MATCH(E11, F!$P$20:$AB$20,1)), 0) + IFERROR( U11*INDEX(F!$P$21:$AB$33, MATCH(S11/$AH11, F!$O$21:$O$33,1), MATCH(E11, F!$P$20:$AB$20,1)),0)  + IFERROR(Y11*INDEX(F!$P$21:$AB$33, MATCH(W11/$AH11, F!$O$21:$O$33,1), MATCH(E11, F!$P$20:$AB$20,1)),0)  + IFERROR( AC11*INDEX(F!$P$21:$AB$33, MATCH(AA11/$AH11, F!$O$21:$O$33,1), MATCH(E11, F!$P$20:$AB$20,1)),)</f>
        <v>0</v>
      </c>
      <c r="AL11" s="59"/>
      <c r="AM11" s="80"/>
      <c r="AN11" s="80"/>
      <c r="AO11" s="80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ht="15.75" customHeight="1">
      <c r="A12" s="98"/>
      <c r="B12" s="99"/>
      <c r="C12" s="100"/>
      <c r="D12" s="101"/>
      <c r="E12" s="102">
        <f>ROUND(IFERROR(SUMPRODUCT(AJ4:AJ11,E4:E11)/AJ12,0),3)</f>
        <v>0.927</v>
      </c>
      <c r="F12" s="103"/>
      <c r="G12" s="104"/>
      <c r="H12" s="105"/>
      <c r="I12" s="105"/>
      <c r="J12" s="106"/>
      <c r="K12" s="104"/>
      <c r="L12" s="105"/>
      <c r="M12" s="105"/>
      <c r="N12" s="106"/>
      <c r="O12" s="104"/>
      <c r="P12" s="105"/>
      <c r="Q12" s="105"/>
      <c r="R12" s="106"/>
      <c r="S12" s="104"/>
      <c r="T12" s="105"/>
      <c r="U12" s="105"/>
      <c r="V12" s="106"/>
      <c r="W12" s="104"/>
      <c r="X12" s="105"/>
      <c r="Y12" s="105"/>
      <c r="Z12" s="106"/>
      <c r="AA12" s="104"/>
      <c r="AB12" s="105"/>
      <c r="AC12" s="105"/>
      <c r="AD12" s="106"/>
      <c r="AE12" s="107">
        <f>SUM(AE4:AE11)</f>
        <v>5645</v>
      </c>
      <c r="AF12" s="108">
        <f t="shared" si="9"/>
        <v>57.60204082</v>
      </c>
      <c r="AG12" s="109">
        <f>IFERROR(  SUMPRODUCT(AG4:AG11,AJ4:AJ11)/AJ12,0)</f>
        <v>0.6167415606</v>
      </c>
      <c r="AH12" s="110"/>
      <c r="AI12" s="111">
        <f t="shared" ref="AI12:AJ12" si="12">SUM(AI4:AI11)</f>
        <v>5227.31</v>
      </c>
      <c r="AJ12" s="111">
        <f t="shared" si="12"/>
        <v>98</v>
      </c>
      <c r="AK12" s="112">
        <f>IF(SUM(AK4:AK11)=0,TIME(,0,),TIME(,SUM(AK4:AK11)+F!$V$37,))</f>
        <v>0.0875</v>
      </c>
      <c r="AL12" s="98"/>
      <c r="AM12" s="80"/>
      <c r="AN12" s="80"/>
      <c r="AO12" s="80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>
      <c r="A13" s="113">
        <f>A14</f>
        <v>43782</v>
      </c>
      <c r="B13" s="114" t="s">
        <v>19</v>
      </c>
      <c r="C13" s="115" t="s">
        <v>29</v>
      </c>
      <c r="D13" s="116" t="s">
        <v>30</v>
      </c>
      <c r="E13" s="29">
        <v>1.4</v>
      </c>
      <c r="F13" s="117"/>
      <c r="G13" s="118">
        <f t="shared" ref="G13:G17" si="13">IF(J13&lt;&gt;0, IFERROR(IF( $F13=2,  MROUND($AH13*J13,1),    IF( OR($F13="",$F13=1),   MROUND($AH13*J13,2.5),  MROUND($AH13*J13, 0.1))), "" ), "")</f>
        <v>110</v>
      </c>
      <c r="H13" s="119">
        <v>3.0</v>
      </c>
      <c r="I13" s="119">
        <v>1.0</v>
      </c>
      <c r="J13" s="120">
        <v>0.6</v>
      </c>
      <c r="K13" s="118">
        <f t="shared" ref="K13:K20" si="14">IF(N13&lt;&gt;0, IFERROR(IF( $F13=2,  MROUND($AH13*N13,1),    IF( OR($F13="",$F13=1),   MROUND($AH13*N13,2.5),  MROUND($AH13*N13, 0.1))), "" ), "")</f>
        <v>130</v>
      </c>
      <c r="L13" s="119">
        <v>2.0</v>
      </c>
      <c r="M13" s="119">
        <v>2.0</v>
      </c>
      <c r="N13" s="120">
        <v>0.7</v>
      </c>
      <c r="O13" s="118">
        <f t="shared" ref="O13:O20" si="15">IF(R13&lt;&gt;0, IFERROR(IF( $F13=2,  MROUND($AH13*R13,1),    IF( OR($F13="",$F13=1),   MROUND($AH13*R13,2.5),  MROUND($AH13*R13, 0.1))), "" ), "")</f>
        <v>147.5</v>
      </c>
      <c r="P13" s="119">
        <v>1.0</v>
      </c>
      <c r="Q13" s="119">
        <v>2.0</v>
      </c>
      <c r="R13" s="120">
        <v>0.8</v>
      </c>
      <c r="S13" s="118">
        <f t="shared" ref="S13:S20" si="16">IF(V13&lt;&gt;0, IFERROR(IF( $F13=2,  MROUND($AH13*V13,1),    IF( OR($F13="",$F13=1),   MROUND($AH13*V13,2.5),  MROUND($AH13*V13, 0.1))), "" ), "")</f>
        <v>152.5</v>
      </c>
      <c r="T13" s="119">
        <v>1.0</v>
      </c>
      <c r="U13" s="119">
        <v>2.0</v>
      </c>
      <c r="V13" s="120">
        <v>0.83</v>
      </c>
      <c r="W13" s="118" t="str">
        <f t="shared" ref="W13:W20" si="17">IF(Z13&lt;&gt;0, IFERROR(IF( $F13=2,  MROUND($AH13*Z13,1),    IF( OR($F13="",$F13=1),   MROUND($AH13*Z13,2.5),  MROUND($AH13*Z13, 0.1))), "" ), "")</f>
        <v/>
      </c>
      <c r="X13" s="119"/>
      <c r="Y13" s="119"/>
      <c r="Z13" s="120"/>
      <c r="AA13" s="118" t="str">
        <f t="shared" ref="AA13:AA20" si="18">IF(AD13&lt;&gt;0, IFERROR(IF( $F13=2,  MROUND($AH13*AD13,1),    IF( OR($F13="",$F13=1),   MROUND($AH13*AD13,2.5),  MROUND($AH13*AD13, 0.1))), "" ), "")</f>
        <v/>
      </c>
      <c r="AB13" s="119"/>
      <c r="AC13" s="119"/>
      <c r="AD13" s="120"/>
      <c r="AE13" s="121">
        <f t="shared" ref="AE13:AE20" si="19">(IF(ISNUMBER(G13),G13,0)*H13*I13+IF(ISNUMBER(K13),K13,1)*L13*M13+IF(ISNUMBER(O13),O13,1)*P13*Q13+IF(ISNUMBER(S13),S13,1)*T13*U13+IF(ISNUMBER(W13),W13,1)*X13*Y13+IF(ISNUMBER(AA13),AA13,1)*AB13*AC13)*IF(ISNUMBER(F13),F13,1)</f>
        <v>1450</v>
      </c>
      <c r="AF13" s="122">
        <f t="shared" si="9"/>
        <v>131.8181818</v>
      </c>
      <c r="AG13" s="123">
        <f t="shared" ref="AG13:AG20" si="20">IFERROR((AF13/(AH13*IF(ISNUMBER(F13),F13,1))),0)</f>
        <v>0.7125307125</v>
      </c>
      <c r="AH13" s="38">
        <v>185.0</v>
      </c>
      <c r="AI13" s="124">
        <f> ( IF(ISNUMBER(G13), VLOOKUP(G13/$AH13,F!$A1:$B101,2,1)*G13*$H13*$I13,0)+IF(ISNUMBER(K13), VLOOKUP(K13/$AH13,F!$A1:$B101,2,1)*K13*$L13*$M13,0)+IF(ISNUMBER(O13), VLOOKUP(O13/$AH13,F!$A1:$B101,2,1)*O13*$P13*$Q13,0)+IF(ISNUMBER(S13), VLOOKUP(S13/$AH13,F!$A1:$B101,2,1)*S13*$T13*$U13,0)+IF(ISNUMBER(W13), VLOOKUP(W13/$AH13,F!$A1:$B101,2,1)*W13*$X13*$Y13,0)+IF(ISNUMBER(AA13), VLOOKUP(AA13/$AH13,F!$A1:$B101,2,1)*AA13*$AB13*$AC13,0))*IF(ISNUMBER(F13),F13,1)*IF(ISNUMBER(E13),E13,1)</f>
        <v>2289.56</v>
      </c>
      <c r="AJ13" s="119">
        <f t="shared" ref="AJ13:AJ20" si="21">H13*I13+L13*M13+P13*Q13+T13*U13+X13*Y13+AB13*AC13</f>
        <v>11</v>
      </c>
      <c r="AK13" s="125">
        <f t="array" ref="AK13">IFERROR(I13*INDEX(F!$P$21:$AB$33, MATCH(G13/$AH13, F!$O$21:$O$33,1), MATCH(E13, F!$P$20:$AB$20,1)), 0 ) +IFERROR( M13*INDEX(F!$P$21:$AB$33, MATCH(K13/$AH13, F!$O$21:$O$33,1), MATCH(E13, F!$P$20:$AB$20,1)),0) +  IFERROR( Q13*INDEX(F!$P$21:$AB$33, MATCH(O13/$AH13, F!$O$21:$O$33,1), MATCH(E13, F!$P$20:$AB$20,1)), 0) + IFERROR( U13*INDEX(F!$P$21:$AB$33, MATCH(S13/$AH13, F!$O$21:$O$33,1), MATCH(E13, F!$P$20:$AB$20,1)),0)  + IFERROR(Y13*INDEX(F!$P$21:$AB$33, MATCH(W13/$AH13, F!$O$21:$O$33,1), MATCH(E13, F!$P$20:$AB$20,1)),0)  + IFERROR( AC13*INDEX(F!$P$21:$AB$33, MATCH(AA13/$AH13, F!$O$21:$O$33,1), MATCH(E13, F!$P$20:$AB$20,1)),)</f>
        <v>37.5</v>
      </c>
      <c r="AL13" s="42"/>
      <c r="AM13" s="43"/>
      <c r="AN13" s="43"/>
      <c r="AO13" s="43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ht="15.0" customHeight="1">
      <c r="A14" s="44">
        <v>43782.0</v>
      </c>
      <c r="B14" s="126" t="s">
        <v>19</v>
      </c>
      <c r="C14" s="127" t="s">
        <v>22</v>
      </c>
      <c r="D14" s="128" t="s">
        <v>23</v>
      </c>
      <c r="E14" s="48">
        <v>1.0</v>
      </c>
      <c r="F14" s="129"/>
      <c r="G14" s="130">
        <f t="shared" si="13"/>
        <v>57.5</v>
      </c>
      <c r="H14" s="34">
        <v>3.0</v>
      </c>
      <c r="I14" s="34">
        <v>1.0</v>
      </c>
      <c r="J14" s="65">
        <v>0.6</v>
      </c>
      <c r="K14" s="130">
        <f t="shared" si="14"/>
        <v>67.5</v>
      </c>
      <c r="L14" s="34">
        <v>3.0</v>
      </c>
      <c r="M14" s="34">
        <v>5.0</v>
      </c>
      <c r="N14" s="65">
        <v>0.7</v>
      </c>
      <c r="O14" s="130" t="str">
        <f t="shared" si="15"/>
        <v/>
      </c>
      <c r="P14" s="34"/>
      <c r="Q14" s="34"/>
      <c r="R14" s="65"/>
      <c r="S14" s="130" t="str">
        <f t="shared" si="16"/>
        <v/>
      </c>
      <c r="T14" s="34"/>
      <c r="U14" s="34"/>
      <c r="V14" s="65"/>
      <c r="W14" s="130" t="str">
        <f t="shared" si="17"/>
        <v/>
      </c>
      <c r="X14" s="34"/>
      <c r="Y14" s="34"/>
      <c r="Z14" s="65"/>
      <c r="AA14" s="130" t="str">
        <f t="shared" si="18"/>
        <v/>
      </c>
      <c r="AB14" s="34"/>
      <c r="AC14" s="34"/>
      <c r="AD14" s="65"/>
      <c r="AE14" s="131">
        <f t="shared" si="19"/>
        <v>1185</v>
      </c>
      <c r="AF14" s="132">
        <f t="shared" si="9"/>
        <v>65.83333333</v>
      </c>
      <c r="AG14" s="133">
        <f t="shared" si="20"/>
        <v>0.6929824561</v>
      </c>
      <c r="AH14" s="69">
        <f>AH5</f>
        <v>95</v>
      </c>
      <c r="AI14" s="132">
        <f> ( IF(ISNUMBER(G14), VLOOKUP(G14/$AH14,F!$A1:$B101,2,1)*G14*$H14*$I14,0)+IF(ISNUMBER(K14), VLOOKUP(K14/$AH14,F!$A1:$B101,2,1)*K14*$L14*$M14,0)+IF(ISNUMBER(O14), VLOOKUP(O14/$AH14,F!$A1:$B101,2,1)*O14*$P14*$Q14,0)+IF(ISNUMBER(S14), VLOOKUP(S14/$AH14,F!$A1:$B101,2,1)*S14*$T14*$U14,0)+IF(ISNUMBER(W14), VLOOKUP(W14/$AH14,F!$A1:$B101,2,1)*W14*$X14*$Y14,0)+IF(ISNUMBER(AA14), VLOOKUP(AA14/$AH14,F!$A1:$B101,2,1)*AA14*$AB14*$AC14,0))*IF(ISNUMBER(F14),F14,1)*IF(ISNUMBER(E14),E14,1)</f>
        <v>1082.625</v>
      </c>
      <c r="AJ14" s="34">
        <f t="shared" si="21"/>
        <v>18</v>
      </c>
      <c r="AK14" s="134">
        <f t="array" ref="AK14">IFERROR(I14*INDEX(F!$P$21:$AB$33, MATCH(G14/$AH14, F!$O$21:$O$33,1), MATCH(E14, F!$P$20:$AB$20,1)), 0 ) +IFERROR( M14*INDEX(F!$P$21:$AB$33, MATCH(K14/$AH14, F!$O$21:$O$33,1), MATCH(E14, F!$P$20:$AB$20,1)),0) +  IFERROR( Q14*INDEX(F!$P$21:$AB$33, MATCH(O14/$AH14, F!$O$21:$O$33,1), MATCH(E14, F!$P$20:$AB$20,1)), 0) + IFERROR( U14*INDEX(F!$P$21:$AB$33, MATCH(S14/$AH14, F!$O$21:$O$33,1), MATCH(E14, F!$P$20:$AB$20,1)),0)  + IFERROR(Y14*INDEX(F!$P$21:$AB$33, MATCH(W14/$AH14, F!$O$21:$O$33,1), MATCH(E14, F!$P$20:$AB$20,1)),0)  + IFERROR( AC14*INDEX(F!$P$21:$AB$33, MATCH(AA14/$AH14, F!$O$21:$O$33,1), MATCH(E14, F!$P$20:$AB$20,1)),)</f>
        <v>23</v>
      </c>
      <c r="AL14" s="59"/>
      <c r="AM14" s="43"/>
      <c r="AN14" s="43"/>
      <c r="AO14" s="43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ht="15.0" customHeight="1">
      <c r="A15" s="59"/>
      <c r="B15" s="135" t="s">
        <v>24</v>
      </c>
      <c r="C15" s="136" t="s">
        <v>27</v>
      </c>
      <c r="D15" s="137" t="s">
        <v>31</v>
      </c>
      <c r="E15" s="48">
        <v>0.8</v>
      </c>
      <c r="F15" s="138"/>
      <c r="G15" s="139">
        <f t="shared" si="13"/>
        <v>55</v>
      </c>
      <c r="H15" s="140">
        <v>5.0</v>
      </c>
      <c r="I15" s="140">
        <v>5.0</v>
      </c>
      <c r="J15" s="141">
        <v>0.55</v>
      </c>
      <c r="K15" s="139" t="str">
        <f t="shared" si="14"/>
        <v/>
      </c>
      <c r="L15" s="140"/>
      <c r="M15" s="140"/>
      <c r="N15" s="141"/>
      <c r="O15" s="139" t="str">
        <f t="shared" si="15"/>
        <v/>
      </c>
      <c r="P15" s="140"/>
      <c r="Q15" s="140"/>
      <c r="R15" s="141"/>
      <c r="S15" s="139" t="str">
        <f t="shared" si="16"/>
        <v/>
      </c>
      <c r="T15" s="140"/>
      <c r="U15" s="140"/>
      <c r="V15" s="141"/>
      <c r="W15" s="139" t="str">
        <f t="shared" si="17"/>
        <v/>
      </c>
      <c r="X15" s="140"/>
      <c r="Y15" s="140"/>
      <c r="Z15" s="141"/>
      <c r="AA15" s="139" t="str">
        <f t="shared" si="18"/>
        <v/>
      </c>
      <c r="AB15" s="140"/>
      <c r="AC15" s="140"/>
      <c r="AD15" s="141"/>
      <c r="AE15" s="142">
        <f t="shared" si="19"/>
        <v>1375</v>
      </c>
      <c r="AF15" s="143">
        <f t="shared" si="9"/>
        <v>55</v>
      </c>
      <c r="AG15" s="144">
        <f t="shared" si="20"/>
        <v>0.5405405405</v>
      </c>
      <c r="AH15" s="76">
        <f>AH13*0.55</f>
        <v>101.75</v>
      </c>
      <c r="AI15" s="143">
        <f> ( IF(ISNUMBER(G15), VLOOKUP(G15/$AH15,F!$A1:$B101,2,1)*G15*$H15*$I15,0)+IF(ISNUMBER(K15), VLOOKUP(K15/$AH15,F!$A1:$B101,2,1)*K15*$L15*$M15,0)+IF(ISNUMBER(O15), VLOOKUP(O15/$AH15,F!$A1:$B101,2,1)*O15*$P15*$Q15,0)+IF(ISNUMBER(S15), VLOOKUP(S15/$AH15,F!$A1:$B101,2,1)*S15*$T15*$U15,0)+IF(ISNUMBER(W15), VLOOKUP(W15/$AH15,F!$A1:$B101,2,1)*W15*$X15*$Y15,0)+IF(ISNUMBER(AA15), VLOOKUP(AA15/$AH15,F!$A1:$B101,2,1)*AA15*$AB15*$AC15,0))*IF(ISNUMBER(F15),F15,1)*IF(ISNUMBER(E15),E15,1)</f>
        <v>616</v>
      </c>
      <c r="AJ15" s="140">
        <f t="shared" si="21"/>
        <v>25</v>
      </c>
      <c r="AK15" s="145">
        <f t="array" ref="AK15">IFERROR(I15*INDEX(F!$P$21:$AB$33, MATCH(G15/$AH15, F!$O$21:$O$33,1), MATCH(E15, F!$P$20:$AB$20,1)), 0 ) +IFERROR( M15*INDEX(F!$P$21:$AB$33, MATCH(K15/$AH15, F!$O$21:$O$33,1), MATCH(E15, F!$P$20:$AB$20,1)),0) +  IFERROR( Q15*INDEX(F!$P$21:$AB$33, MATCH(O15/$AH15, F!$O$21:$O$33,1), MATCH(E15, F!$P$20:$AB$20,1)), 0) + IFERROR( U15*INDEX(F!$P$21:$AB$33, MATCH(S15/$AH15, F!$O$21:$O$33,1), MATCH(E15, F!$P$20:$AB$20,1)),0)  + IFERROR(Y15*INDEX(F!$P$21:$AB$33, MATCH(W15/$AH15, F!$O$21:$O$33,1), MATCH(E15, F!$P$20:$AB$20,1)),0)  + IFERROR( AC15*INDEX(F!$P$21:$AB$33, MATCH(AA15/$AH15, F!$O$21:$O$33,1), MATCH(E15, F!$P$20:$AB$20,1)),)</f>
        <v>9</v>
      </c>
      <c r="AL15" s="59"/>
      <c r="AM15" s="43"/>
      <c r="AN15" s="43"/>
      <c r="AO15" s="43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ht="15.75" customHeight="1">
      <c r="A16" s="59"/>
      <c r="B16" s="126" t="s">
        <v>26</v>
      </c>
      <c r="C16" s="127" t="s">
        <v>27</v>
      </c>
      <c r="D16" s="128" t="s">
        <v>32</v>
      </c>
      <c r="E16" s="48">
        <v>1.0</v>
      </c>
      <c r="F16" s="129"/>
      <c r="G16" s="130">
        <f t="shared" si="13"/>
        <v>22.5</v>
      </c>
      <c r="H16" s="34">
        <v>6.0</v>
      </c>
      <c r="I16" s="34">
        <v>4.0</v>
      </c>
      <c r="J16" s="65">
        <v>0.4</v>
      </c>
      <c r="K16" s="130">
        <f t="shared" si="14"/>
        <v>25</v>
      </c>
      <c r="L16" s="34">
        <v>5.0</v>
      </c>
      <c r="M16" s="34">
        <v>4.0</v>
      </c>
      <c r="N16" s="65">
        <v>0.45</v>
      </c>
      <c r="O16" s="130" t="str">
        <f t="shared" si="15"/>
        <v/>
      </c>
      <c r="P16" s="34"/>
      <c r="Q16" s="34"/>
      <c r="R16" s="65"/>
      <c r="S16" s="130" t="str">
        <f t="shared" si="16"/>
        <v/>
      </c>
      <c r="T16" s="34"/>
      <c r="U16" s="34"/>
      <c r="V16" s="65"/>
      <c r="W16" s="130" t="str">
        <f t="shared" si="17"/>
        <v/>
      </c>
      <c r="X16" s="34"/>
      <c r="Y16" s="34"/>
      <c r="Z16" s="65"/>
      <c r="AA16" s="130" t="str">
        <f t="shared" si="18"/>
        <v/>
      </c>
      <c r="AB16" s="34"/>
      <c r="AC16" s="34"/>
      <c r="AD16" s="65"/>
      <c r="AE16" s="131">
        <f t="shared" si="19"/>
        <v>1040</v>
      </c>
      <c r="AF16" s="132">
        <f t="shared" si="9"/>
        <v>23.63636364</v>
      </c>
      <c r="AG16" s="133">
        <f t="shared" si="20"/>
        <v>0.4146730463</v>
      </c>
      <c r="AH16" s="76">
        <f>AH14*0.6</f>
        <v>57</v>
      </c>
      <c r="AI16" s="132">
        <f> ( IF(ISNUMBER(G16), VLOOKUP(G16/$AH16,F!$A1:$B101,2,1)*G16*$H16*$I16,0)+IF(ISNUMBER(K16), VLOOKUP(K16/$AH16,F!$A1:$B101,2,1)*K16*$L16*$M16,0)+IF(ISNUMBER(O16), VLOOKUP(O16/$AH16,F!$A1:$B101,2,1)*O16*$P16*$Q16,0)+IF(ISNUMBER(S16), VLOOKUP(S16/$AH16,F!$A1:$B101,2,1)*S16*$T16*$U16,0)+IF(ISNUMBER(W16), VLOOKUP(W16/$AH16,F!$A1:$B101,2,1)*W16*$X16*$Y16,0)+IF(ISNUMBER(AA16), VLOOKUP(AA16/$AH16,F!$A1:$B101,2,1)*AA16*$AB16*$AC16,0))*IF(ISNUMBER(F16),F16,1)*IF(ISNUMBER(E16),E16,1)</f>
        <v>352</v>
      </c>
      <c r="AJ16" s="34">
        <f t="shared" si="21"/>
        <v>44</v>
      </c>
      <c r="AK16" s="134">
        <f t="array" ref="AK16">IFERROR(I16*INDEX(F!$P$21:$AB$33, MATCH(G16/$AH16, F!$O$21:$O$33,1), MATCH(E16, F!$P$20:$AB$20,1)), 0 ) +IFERROR( M16*INDEX(F!$P$21:$AB$33, MATCH(K16/$AH16, F!$O$21:$O$33,1), MATCH(E16, F!$P$20:$AB$20,1)),0) +  IFERROR( Q16*INDEX(F!$P$21:$AB$33, MATCH(O16/$AH16, F!$O$21:$O$33,1), MATCH(E16, F!$P$20:$AB$20,1)), 0) + IFERROR( U16*INDEX(F!$P$21:$AB$33, MATCH(S16/$AH16, F!$O$21:$O$33,1), MATCH(E16, F!$P$20:$AB$20,1)),0)  + IFERROR(Y16*INDEX(F!$P$21:$AB$33, MATCH(W16/$AH16, F!$O$21:$O$33,1), MATCH(E16, F!$P$20:$AB$20,1)),0)  + IFERROR( AC16*INDEX(F!$P$21:$AB$33, MATCH(AA16/$AH16, F!$O$21:$O$33,1), MATCH(E16, F!$P$20:$AB$20,1)),)</f>
        <v>16</v>
      </c>
      <c r="AL16" s="59"/>
      <c r="AM16" s="43"/>
      <c r="AN16" s="43"/>
      <c r="AO16" s="43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ht="15.0" customHeight="1">
      <c r="A17" s="59"/>
      <c r="B17" s="135" t="s">
        <v>19</v>
      </c>
      <c r="C17" s="136" t="s">
        <v>22</v>
      </c>
      <c r="D17" s="137" t="s">
        <v>33</v>
      </c>
      <c r="E17" s="48">
        <v>1.0</v>
      </c>
      <c r="F17" s="138"/>
      <c r="G17" s="139">
        <f t="shared" si="13"/>
        <v>45</v>
      </c>
      <c r="H17" s="140">
        <v>4.0</v>
      </c>
      <c r="I17" s="140">
        <v>1.0</v>
      </c>
      <c r="J17" s="141">
        <v>0.55</v>
      </c>
      <c r="K17" s="139">
        <f t="shared" si="14"/>
        <v>52.5</v>
      </c>
      <c r="L17" s="140">
        <v>3.0</v>
      </c>
      <c r="M17" s="140">
        <v>1.0</v>
      </c>
      <c r="N17" s="141">
        <v>0.65</v>
      </c>
      <c r="O17" s="139">
        <f t="shared" si="15"/>
        <v>60</v>
      </c>
      <c r="P17" s="140">
        <v>2.0</v>
      </c>
      <c r="Q17" s="140">
        <v>2.0</v>
      </c>
      <c r="R17" s="141">
        <v>0.75</v>
      </c>
      <c r="S17" s="139">
        <f t="shared" si="16"/>
        <v>67.5</v>
      </c>
      <c r="T17" s="140">
        <v>2.0</v>
      </c>
      <c r="U17" s="140">
        <v>2.0</v>
      </c>
      <c r="V17" s="141">
        <v>0.85</v>
      </c>
      <c r="W17" s="139" t="str">
        <f t="shared" si="17"/>
        <v/>
      </c>
      <c r="X17" s="140"/>
      <c r="Y17" s="140"/>
      <c r="Z17" s="141"/>
      <c r="AA17" s="139" t="str">
        <f t="shared" si="18"/>
        <v/>
      </c>
      <c r="AB17" s="140"/>
      <c r="AC17" s="140"/>
      <c r="AD17" s="141"/>
      <c r="AE17" s="142">
        <f t="shared" si="19"/>
        <v>847.5</v>
      </c>
      <c r="AF17" s="143">
        <f t="shared" si="9"/>
        <v>56.5</v>
      </c>
      <c r="AG17" s="144">
        <f t="shared" si="20"/>
        <v>0.6996904025</v>
      </c>
      <c r="AH17" s="76">
        <f>AH14*0.85</f>
        <v>80.75</v>
      </c>
      <c r="AI17" s="143">
        <f> ( IF(ISNUMBER(G17), VLOOKUP(G17/$AH17,F!$A1:$B101,2,1)*G17*$H17*$I17,0)+IF(ISNUMBER(K17), VLOOKUP(K17/$AH17,F!$A1:$B101,2,1)*K17*$L17*$M17,0)+IF(ISNUMBER(O17), VLOOKUP(O17/$AH17,F!$A1:$B101,2,1)*O17*$P17*$Q17,0)+IF(ISNUMBER(S17), VLOOKUP(S17/$AH17,F!$A1:$B101,2,1)*S17*$T17*$U17,0)+IF(ISNUMBER(W17), VLOOKUP(W17/$AH17,F!$A1:$B101,2,1)*W17*$X17*$Y17,0)+IF(ISNUMBER(AA17), VLOOKUP(AA17/$AH17,F!$A1:$B101,2,1)*AA17*$AB17*$AC17,0))*IF(ISNUMBER(F17),F17,1)*IF(ISNUMBER(E17),E17,1)</f>
        <v>973.8</v>
      </c>
      <c r="AJ17" s="140">
        <f t="shared" si="21"/>
        <v>15</v>
      </c>
      <c r="AK17" s="145">
        <f t="array" ref="AK17">IFERROR(I17*INDEX(F!$P$21:$AB$33, MATCH(G17/$AH17, F!$O$21:$O$33,1), MATCH(E17, F!$P$20:$AB$20,1)), 0 ) +IFERROR( M17*INDEX(F!$P$21:$AB$33, MATCH(K17/$AH17, F!$O$21:$O$33,1), MATCH(E17, F!$P$20:$AB$20,1)),0) +  IFERROR( Q17*INDEX(F!$P$21:$AB$33, MATCH(O17/$AH17, F!$O$21:$O$33,1), MATCH(E17, F!$P$20:$AB$20,1)), 0) + IFERROR( U17*INDEX(F!$P$21:$AB$33, MATCH(S17/$AH17, F!$O$21:$O$33,1), MATCH(E17, F!$P$20:$AB$20,1)),0)  + IFERROR(Y17*INDEX(F!$P$21:$AB$33, MATCH(W17/$AH17, F!$O$21:$O$33,1), MATCH(E17, F!$P$20:$AB$20,1)),0)  + IFERROR( AC17*INDEX(F!$P$21:$AB$33, MATCH(AA17/$AH17, F!$O$21:$O$33,1), MATCH(E17, F!$P$20:$AB$20,1)),)</f>
        <v>22</v>
      </c>
      <c r="AL17" s="59"/>
      <c r="AM17" s="80"/>
      <c r="AN17" s="80"/>
      <c r="AO17" s="80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ht="15.0" hidden="1" customHeight="1">
      <c r="A18" s="59"/>
      <c r="B18" s="126"/>
      <c r="C18" s="127"/>
      <c r="D18" s="146"/>
      <c r="E18" s="48"/>
      <c r="F18" s="129"/>
      <c r="G18" s="130"/>
      <c r="H18" s="89"/>
      <c r="I18" s="89"/>
      <c r="J18" s="65"/>
      <c r="K18" s="130" t="str">
        <f t="shared" si="14"/>
        <v/>
      </c>
      <c r="L18" s="34"/>
      <c r="M18" s="34"/>
      <c r="N18" s="65"/>
      <c r="O18" s="130" t="str">
        <f t="shared" si="15"/>
        <v/>
      </c>
      <c r="P18" s="34"/>
      <c r="Q18" s="34"/>
      <c r="R18" s="65"/>
      <c r="S18" s="130" t="str">
        <f t="shared" si="16"/>
        <v/>
      </c>
      <c r="T18" s="34"/>
      <c r="U18" s="34"/>
      <c r="V18" s="65"/>
      <c r="W18" s="130" t="str">
        <f t="shared" si="17"/>
        <v/>
      </c>
      <c r="X18" s="34"/>
      <c r="Y18" s="34"/>
      <c r="Z18" s="65"/>
      <c r="AA18" s="130" t="str">
        <f t="shared" si="18"/>
        <v/>
      </c>
      <c r="AB18" s="34"/>
      <c r="AC18" s="34"/>
      <c r="AD18" s="65"/>
      <c r="AE18" s="131">
        <f t="shared" si="19"/>
        <v>0</v>
      </c>
      <c r="AF18" s="132">
        <f t="shared" si="9"/>
        <v>0</v>
      </c>
      <c r="AG18" s="133">
        <f t="shared" si="20"/>
        <v>0</v>
      </c>
      <c r="AH18" s="76"/>
      <c r="AI18" s="132">
        <f> ( IF(ISNUMBER(G18), VLOOKUP(G18/$AH18,F!$A1:$B101,2,1)*G18*$H18*$I18,0)+IF(ISNUMBER(K18), VLOOKUP(K18/$AH18,F!$A1:$B101,2,1)*K18*$L18*$M18,0)+IF(ISNUMBER(O18), VLOOKUP(O18/$AH18,F!$A1:$B101,2,1)*O18*$P18*$Q18,0)+IF(ISNUMBER(S18), VLOOKUP(S18/$AH18,F!$A1:$B101,2,1)*S18*$T18*$U18,0)+IF(ISNUMBER(W18), VLOOKUP(W18/$AH18,F!$A1:$B101,2,1)*W18*$X18*$Y18,0)+IF(ISNUMBER(AA18), VLOOKUP(AA18/$AH18,F!$A1:$B101,2,1)*AA18*$AB18*$AC18,0))*IF(ISNUMBER(F18),F18,1)*IF(ISNUMBER(E18),E18,1)</f>
        <v>0</v>
      </c>
      <c r="AJ18" s="34">
        <f t="shared" si="21"/>
        <v>0</v>
      </c>
      <c r="AK18" s="134">
        <f t="array" ref="AK18">IFERROR(I18*INDEX(F!$P$21:$AB$33, MATCH(G18/$AH18, F!$O$21:$O$33,1), MATCH(E18, F!$P$20:$AB$20,1)), 0 ) +IFERROR( M18*INDEX(F!$P$21:$AB$33, MATCH(K18/$AH18, F!$O$21:$O$33,1), MATCH(E18, F!$P$20:$AB$20,1)),0) +  IFERROR( Q18*INDEX(F!$P$21:$AB$33, MATCH(O18/$AH18, F!$O$21:$O$33,1), MATCH(E18, F!$P$20:$AB$20,1)), 0) + IFERROR( U18*INDEX(F!$P$21:$AB$33, MATCH(S18/$AH18, F!$O$21:$O$33,1), MATCH(E18, F!$P$20:$AB$20,1)),0)  + IFERROR(Y18*INDEX(F!$P$21:$AB$33, MATCH(W18/$AH18, F!$O$21:$O$33,1), MATCH(E18, F!$P$20:$AB$20,1)),0)  + IFERROR( AC18*INDEX(F!$P$21:$AB$33, MATCH(AA18/$AH18, F!$O$21:$O$33,1), MATCH(E18, F!$P$20:$AB$20,1)),)</f>
        <v>0</v>
      </c>
      <c r="AL18" s="59"/>
      <c r="AM18" s="80"/>
      <c r="AN18" s="80"/>
      <c r="AO18" s="80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ht="15.0" hidden="1" customHeight="1">
      <c r="A19" s="59"/>
      <c r="B19" s="135"/>
      <c r="C19" s="136"/>
      <c r="D19" s="147"/>
      <c r="E19" s="48"/>
      <c r="F19" s="138"/>
      <c r="G19" s="148"/>
      <c r="H19" s="149"/>
      <c r="I19" s="149"/>
      <c r="J19" s="141"/>
      <c r="K19" s="139" t="str">
        <f t="shared" si="14"/>
        <v/>
      </c>
      <c r="L19" s="140"/>
      <c r="M19" s="140"/>
      <c r="N19" s="141"/>
      <c r="O19" s="139" t="str">
        <f t="shared" si="15"/>
        <v/>
      </c>
      <c r="P19" s="140"/>
      <c r="Q19" s="140"/>
      <c r="R19" s="141"/>
      <c r="S19" s="139" t="str">
        <f t="shared" si="16"/>
        <v/>
      </c>
      <c r="T19" s="140"/>
      <c r="U19" s="140"/>
      <c r="V19" s="141"/>
      <c r="W19" s="139" t="str">
        <f t="shared" si="17"/>
        <v/>
      </c>
      <c r="X19" s="140"/>
      <c r="Y19" s="140"/>
      <c r="Z19" s="141"/>
      <c r="AA19" s="139" t="str">
        <f t="shared" si="18"/>
        <v/>
      </c>
      <c r="AB19" s="140"/>
      <c r="AC19" s="140"/>
      <c r="AD19" s="141"/>
      <c r="AE19" s="142">
        <f t="shared" si="19"/>
        <v>0</v>
      </c>
      <c r="AF19" s="143">
        <f t="shared" si="9"/>
        <v>0</v>
      </c>
      <c r="AG19" s="144">
        <f t="shared" si="20"/>
        <v>0</v>
      </c>
      <c r="AH19" s="76"/>
      <c r="AI19" s="143">
        <f> ( IF(ISNUMBER(G19), VLOOKUP(G19/$AH19,F!$A1:$B101,2,1)*G19*$H19*$I19,0)+IF(ISNUMBER(K19), VLOOKUP(K19/$AH19,F!$A1:$B101,2,1)*K19*$L19*$M19,0)+IF(ISNUMBER(O19), VLOOKUP(O19/$AH19,F!$A1:$B101,2,1)*O19*$P19*$Q19,0)+IF(ISNUMBER(S19), VLOOKUP(S19/$AH19,F!$A1:$B101,2,1)*S19*$T19*$U19,0)+IF(ISNUMBER(W19), VLOOKUP(W19/$AH19,F!$A1:$B101,2,1)*W19*$X19*$Y19,0)+IF(ISNUMBER(AA19), VLOOKUP(AA19/$AH19,F!$A1:$B101,2,1)*AA19*$AB19*$AC19,0))*IF(ISNUMBER(F19),F19,1)*IF(ISNUMBER(E19),E19,1)</f>
        <v>0</v>
      </c>
      <c r="AJ19" s="140">
        <f t="shared" si="21"/>
        <v>0</v>
      </c>
      <c r="AK19" s="145">
        <f t="array" ref="AK19">IFERROR(I19*INDEX(F!$P$21:$AB$33, MATCH(G19/$AH19, F!$O$21:$O$33,1), MATCH(E19, F!$P$20:$AB$20,1)), 0 ) +IFERROR( M19*INDEX(F!$P$21:$AB$33, MATCH(K19/$AH19, F!$O$21:$O$33,1), MATCH(E19, F!$P$20:$AB$20,1)),0) +  IFERROR( Q19*INDEX(F!$P$21:$AB$33, MATCH(O19/$AH19, F!$O$21:$O$33,1), MATCH(E19, F!$P$20:$AB$20,1)), 0) + IFERROR( U19*INDEX(F!$P$21:$AB$33, MATCH(S19/$AH19, F!$O$21:$O$33,1), MATCH(E19, F!$P$20:$AB$20,1)),0)  + IFERROR(Y19*INDEX(F!$P$21:$AB$33, MATCH(W19/$AH19, F!$O$21:$O$33,1), MATCH(E19, F!$P$20:$AB$20,1)),0)  + IFERROR( AC19*INDEX(F!$P$21:$AB$33, MATCH(AA19/$AH19, F!$O$21:$O$33,1), MATCH(E19, F!$P$20:$AB$20,1)),)</f>
        <v>0</v>
      </c>
      <c r="AL19" s="59"/>
      <c r="AM19" s="80"/>
      <c r="AN19" s="80"/>
      <c r="AO19" s="80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ht="15.0" hidden="1" customHeight="1">
      <c r="A20" s="59"/>
      <c r="B20" s="126"/>
      <c r="C20" s="127"/>
      <c r="D20" s="128"/>
      <c r="E20" s="48"/>
      <c r="F20" s="129"/>
      <c r="G20" s="130" t="str">
        <f>IF(J20&lt;&gt;0, IFERROR(IF( $F20=2,  MROUND($AH20*J20,1),    IF( OR($F20="",$F20=1),   MROUND($AH20*J20,2.5),  MROUND($AH20*J20, 0.1))), "" ), "")</f>
        <v/>
      </c>
      <c r="H20" s="34"/>
      <c r="I20" s="34"/>
      <c r="J20" s="65"/>
      <c r="K20" s="130" t="str">
        <f t="shared" si="14"/>
        <v/>
      </c>
      <c r="L20" s="34"/>
      <c r="M20" s="34"/>
      <c r="N20" s="65"/>
      <c r="O20" s="130" t="str">
        <f t="shared" si="15"/>
        <v/>
      </c>
      <c r="P20" s="34"/>
      <c r="Q20" s="34"/>
      <c r="R20" s="65"/>
      <c r="S20" s="130" t="str">
        <f t="shared" si="16"/>
        <v/>
      </c>
      <c r="T20" s="34"/>
      <c r="U20" s="34"/>
      <c r="V20" s="65"/>
      <c r="W20" s="130" t="str">
        <f t="shared" si="17"/>
        <v/>
      </c>
      <c r="X20" s="34"/>
      <c r="Y20" s="34"/>
      <c r="Z20" s="65"/>
      <c r="AA20" s="130" t="str">
        <f t="shared" si="18"/>
        <v/>
      </c>
      <c r="AB20" s="34"/>
      <c r="AC20" s="34"/>
      <c r="AD20" s="65"/>
      <c r="AE20" s="131">
        <f t="shared" si="19"/>
        <v>0</v>
      </c>
      <c r="AF20" s="132">
        <f t="shared" si="9"/>
        <v>0</v>
      </c>
      <c r="AG20" s="133">
        <f t="shared" si="20"/>
        <v>0</v>
      </c>
      <c r="AH20" s="76"/>
      <c r="AI20" s="132">
        <f> ( IF(ISNUMBER(G20), VLOOKUP(G20/$AH20,F!$A1:$B101,2,1)*G20*$H20*$I20,0)+IF(ISNUMBER(K20), VLOOKUP(K20/$AH20,F!$A1:$B101,2,1)*K20*$L20*$M20,0)+IF(ISNUMBER(O20), VLOOKUP(O20/$AH20,F!$A1:$B101,2,1)*O20*$P20*$Q20,0)+IF(ISNUMBER(S20), VLOOKUP(S20/$AH20,F!$A1:$B101,2,1)*S20*$T20*$U20,0)+IF(ISNUMBER(W20), VLOOKUP(W20/$AH20,F!$A1:$B101,2,1)*W20*$X20*$Y20,0)+IF(ISNUMBER(AA20), VLOOKUP(AA20/$AH20,F!$A1:$B101,2,1)*AA20*$AB20*$AC20,0))*IF(ISNUMBER(F20),F20,1)*IF(ISNUMBER(E20),E20,1)</f>
        <v>0</v>
      </c>
      <c r="AJ20" s="34">
        <f t="shared" si="21"/>
        <v>0</v>
      </c>
      <c r="AK20" s="134">
        <f t="array" ref="AK20">IFERROR(I20*INDEX(F!$P$21:$AB$33, MATCH(G20/$AH20, F!$O$21:$O$33,1), MATCH(E20, F!$P$20:$AB$20,1)), 0 ) +IFERROR( M20*INDEX(F!$P$21:$AB$33, MATCH(K20/$AH20, F!$O$21:$O$33,1), MATCH(E20, F!$P$20:$AB$20,1)),0) +  IFERROR( Q20*INDEX(F!$P$21:$AB$33, MATCH(O20/$AH20, F!$O$21:$O$33,1), MATCH(E20, F!$P$20:$AB$20,1)), 0) + IFERROR( U20*INDEX(F!$P$21:$AB$33, MATCH(S20/$AH20, F!$O$21:$O$33,1), MATCH(E20, F!$P$20:$AB$20,1)),0)  + IFERROR(Y20*INDEX(F!$P$21:$AB$33, MATCH(W20/$AH20, F!$O$21:$O$33,1), MATCH(E20, F!$P$20:$AB$20,1)),0)  + IFERROR( AC20*INDEX(F!$P$21:$AB$33, MATCH(AA20/$AH20, F!$O$21:$O$33,1), MATCH(E20, F!$P$20:$AB$20,1)),)</f>
        <v>0</v>
      </c>
      <c r="AL20" s="59"/>
      <c r="AM20" s="80"/>
      <c r="AN20" s="80"/>
      <c r="AO20" s="80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ht="15.75" customHeight="1">
      <c r="A21" s="98"/>
      <c r="B21" s="150"/>
      <c r="C21" s="151"/>
      <c r="D21" s="152"/>
      <c r="E21" s="102">
        <f>ROUND(IFERROR(SUMPRODUCT(AJ13:AJ20,E13:E20)/AJ21,0),3)</f>
        <v>0.995</v>
      </c>
      <c r="F21" s="153"/>
      <c r="G21" s="154"/>
      <c r="H21" s="155"/>
      <c r="I21" s="155"/>
      <c r="J21" s="156"/>
      <c r="K21" s="154"/>
      <c r="L21" s="155"/>
      <c r="M21" s="155"/>
      <c r="N21" s="156"/>
      <c r="O21" s="154"/>
      <c r="P21" s="155"/>
      <c r="Q21" s="155"/>
      <c r="R21" s="156"/>
      <c r="S21" s="154"/>
      <c r="T21" s="155"/>
      <c r="U21" s="155"/>
      <c r="V21" s="156"/>
      <c r="W21" s="154"/>
      <c r="X21" s="155"/>
      <c r="Y21" s="155"/>
      <c r="Z21" s="156"/>
      <c r="AA21" s="154"/>
      <c r="AB21" s="155"/>
      <c r="AC21" s="155"/>
      <c r="AD21" s="156"/>
      <c r="AE21" s="107">
        <f>SUM(AE13:AE20)</f>
        <v>5897.5</v>
      </c>
      <c r="AF21" s="108">
        <f t="shared" si="9"/>
        <v>52.19026549</v>
      </c>
      <c r="AG21" s="109">
        <f>IFERROR(  SUMPRODUCT(AG13:AG20,AJ13:AJ20)/AJ21,0)</f>
        <v>0.5536814658</v>
      </c>
      <c r="AH21" s="157"/>
      <c r="AI21" s="111">
        <f t="shared" ref="AI21:AJ21" si="22">SUM(AI13:AI20)</f>
        <v>5313.985</v>
      </c>
      <c r="AJ21" s="111">
        <f t="shared" si="22"/>
        <v>113</v>
      </c>
      <c r="AK21" s="112">
        <f>IF(SUM(AK13:AK20)=0,TIME(,0,),TIME(,SUM(AK13:AK20)+F!$V$37,))</f>
        <v>0.09513888889</v>
      </c>
      <c r="AL21" s="98"/>
      <c r="AM21" s="80"/>
      <c r="AN21" s="80"/>
      <c r="AO21" s="80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ht="15.75" customHeight="1">
      <c r="A22" s="158">
        <f>A23</f>
        <v>43784</v>
      </c>
      <c r="B22" s="159" t="s">
        <v>19</v>
      </c>
      <c r="C22" s="160" t="s">
        <v>20</v>
      </c>
      <c r="D22" s="161" t="s">
        <v>21</v>
      </c>
      <c r="E22" s="29">
        <v>1.2</v>
      </c>
      <c r="F22" s="162"/>
      <c r="G22" s="163">
        <f t="shared" ref="G22:G26" si="23">IF(J22&lt;&gt;0, IFERROR(IF( $F22=2,  MROUND($AH22*J22,1),    IF( OR($F22="",$F22=1),   MROUND($AH22*J22,2.5),  MROUND($AH22*J22, 0.1))), "" ), "")</f>
        <v>87.5</v>
      </c>
      <c r="H22" s="164">
        <v>3.0</v>
      </c>
      <c r="I22" s="164">
        <v>1.0</v>
      </c>
      <c r="J22" s="165">
        <v>0.65</v>
      </c>
      <c r="K22" s="163">
        <f t="shared" ref="K22:K29" si="24">IF(N22&lt;&gt;0, IFERROR(IF( $F22=2,  MROUND($AH22*N22,1),    IF( OR($F22="",$F22=1),   MROUND($AH22*N22,2.5),  MROUND($AH22*N22, 0.1))), "" ), "")</f>
        <v>102.5</v>
      </c>
      <c r="L22" s="164">
        <v>2.0</v>
      </c>
      <c r="M22" s="164">
        <v>2.0</v>
      </c>
      <c r="N22" s="165">
        <v>0.75</v>
      </c>
      <c r="O22" s="163">
        <f t="shared" ref="O22:O29" si="25">IF(R22&lt;&gt;0, IFERROR(IF( $F22=2,  MROUND($AH22*R22,1),    IF( OR($F22="",$F22=1),   MROUND($AH22*R22,2.5),  MROUND($AH22*R22, 0.1))), "" ), "")</f>
        <v>115</v>
      </c>
      <c r="P22" s="164">
        <v>1.0</v>
      </c>
      <c r="Q22" s="164">
        <v>2.0</v>
      </c>
      <c r="R22" s="165">
        <v>0.85</v>
      </c>
      <c r="S22" s="163" t="str">
        <f t="shared" ref="S22:S29" si="26">IF(V22&lt;&gt;0, IFERROR(IF( $F22=2,  MROUND($AH22*V22,1),    IF( OR($F22="",$F22=1),   MROUND($AH22*V22,2.5),  MROUND($AH22*V22, 0.1))), "" ), "")</f>
        <v/>
      </c>
      <c r="T22" s="164"/>
      <c r="U22" s="164"/>
      <c r="V22" s="165"/>
      <c r="W22" s="163" t="str">
        <f t="shared" ref="W22:W29" si="27">IF(Z22&lt;&gt;0, IFERROR(IF( $F22=2,  MROUND($AH22*Z22,1),    IF( OR($F22="",$F22=1),   MROUND($AH22*Z22,2.5),  MROUND($AH22*Z22, 0.1))), "" ), "")</f>
        <v/>
      </c>
      <c r="X22" s="164"/>
      <c r="Y22" s="164"/>
      <c r="Z22" s="165"/>
      <c r="AA22" s="163" t="str">
        <f t="shared" ref="AA22:AA29" si="28">IF(AD22&lt;&gt;0, IFERROR(IF( $F22=2,  MROUND($AH22*AD22,1),    IF( OR($F22="",$F22=1),   MROUND($AH22*AD22,2.5),  MROUND($AH22*AD22, 0.1))), "" ), "")</f>
        <v/>
      </c>
      <c r="AB22" s="164"/>
      <c r="AC22" s="164"/>
      <c r="AD22" s="165"/>
      <c r="AE22" s="166">
        <f t="shared" ref="AE22:AE29" si="29">(IF(ISNUMBER(G22),G22,0)*H22*I22+IF(ISNUMBER(K22),K22,1)*L22*M22+IF(ISNUMBER(O22),O22,1)*P22*Q22+IF(ISNUMBER(S22),S22,1)*T22*U22+IF(ISNUMBER(W22),W22,1)*X22*Y22+IF(ISNUMBER(AA22),AA22,1)*AB22*AC22)*IF(ISNUMBER(F22),F22,1)</f>
        <v>902.5</v>
      </c>
      <c r="AF22" s="167">
        <f t="shared" si="9"/>
        <v>100.2777778</v>
      </c>
      <c r="AG22" s="168">
        <f t="shared" ref="AG22:AG29" si="30">IFERROR((AF22/(AH22*IF(ISNUMBER(F22),F22,1))),0)</f>
        <v>0.7427983539</v>
      </c>
      <c r="AH22" s="169">
        <f t="shared" ref="AH22:AH23" si="31">AH4</f>
        <v>135</v>
      </c>
      <c r="AI22" s="167">
        <f> ( IF(ISNUMBER(G22), VLOOKUP(G22/$AH22,F!$A1:$B101,2,1)*G22*$H22*$I22,0)+IF(ISNUMBER(K22), VLOOKUP(K22/$AH22,F!$A1:$B101,2,1)*K22*$L22*$M22,0)+IF(ISNUMBER(O22), VLOOKUP(O22/$AH22,F!$A1:$B101,2,1)*O22*$P22*$Q22,0)+IF(ISNUMBER(S22), VLOOKUP(S22/$AH22,F!$A1:$B101,2,1)*S22*$T22*$U22,0)+IF(ISNUMBER(W22), VLOOKUP(W22/$AH22,F!$A1:$B101,2,1)*W22*$X22*$Y22,0)+IF(ISNUMBER(AA22), VLOOKUP(AA22/$AH22,F!$A1:$B101,2,1)*AA22*$AB22*$AC22,0))*IF(ISNUMBER(F22),F22,1)*IF(ISNUMBER(E22),E22,1)</f>
        <v>1360.5</v>
      </c>
      <c r="AJ22" s="164">
        <f t="shared" ref="AJ22:AJ29" si="32">H22*I22+L22*M22+P22*Q22+T22*U22+X22*Y22+AB22*AC22</f>
        <v>9</v>
      </c>
      <c r="AK22" s="170">
        <f t="array" ref="AK22">IFERROR(I22*INDEX(F!$P$21:$AB$33, MATCH(G22/$AH22, F!$O$21:$O$33,1), MATCH(E22, F!$P$20:$AB$20,1)), 0 ) +IFERROR( M22*INDEX(F!$P$21:$AB$33, MATCH(K22/$AH22, F!$O$21:$O$33,1), MATCH(E22, F!$P$20:$AB$20,1)),0) +  IFERROR( Q22*INDEX(F!$P$21:$AB$33, MATCH(O22/$AH22, F!$O$21:$O$33,1), MATCH(E22, F!$P$20:$AB$20,1)), 0) + IFERROR( U22*INDEX(F!$P$21:$AB$33, MATCH(S22/$AH22, F!$O$21:$O$33,1), MATCH(E22, F!$P$20:$AB$20,1)),0)  + IFERROR(Y22*INDEX(F!$P$21:$AB$33, MATCH(W22/$AH22, F!$O$21:$O$33,1), MATCH(E22, F!$P$20:$AB$20,1)),0)  + IFERROR( AC22*INDEX(F!$P$21:$AB$33, MATCH(AA22/$AH22, F!$O$21:$O$33,1), MATCH(E22, F!$P$20:$AB$20,1)),)</f>
        <v>27</v>
      </c>
      <c r="AL22" s="42"/>
      <c r="AM22" s="43"/>
      <c r="AN22" s="43"/>
      <c r="AO22" s="43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ht="15.0" customHeight="1">
      <c r="A23" s="171">
        <v>43784.0</v>
      </c>
      <c r="B23" s="135" t="s">
        <v>19</v>
      </c>
      <c r="C23" s="136" t="s">
        <v>22</v>
      </c>
      <c r="D23" s="137" t="s">
        <v>23</v>
      </c>
      <c r="E23" s="48">
        <v>1.0</v>
      </c>
      <c r="F23" s="138"/>
      <c r="G23" s="139">
        <f t="shared" si="23"/>
        <v>57.5</v>
      </c>
      <c r="H23" s="140">
        <v>3.0</v>
      </c>
      <c r="I23" s="140">
        <v>1.0</v>
      </c>
      <c r="J23" s="141">
        <v>0.6</v>
      </c>
      <c r="K23" s="139">
        <f t="shared" si="24"/>
        <v>72.5</v>
      </c>
      <c r="L23" s="140">
        <v>3.0</v>
      </c>
      <c r="M23" s="140">
        <v>4.0</v>
      </c>
      <c r="N23" s="141">
        <v>0.75</v>
      </c>
      <c r="O23" s="139" t="str">
        <f t="shared" si="25"/>
        <v/>
      </c>
      <c r="P23" s="140"/>
      <c r="Q23" s="140"/>
      <c r="R23" s="141"/>
      <c r="S23" s="139" t="str">
        <f t="shared" si="26"/>
        <v/>
      </c>
      <c r="T23" s="140"/>
      <c r="U23" s="140"/>
      <c r="V23" s="141"/>
      <c r="W23" s="139" t="str">
        <f t="shared" si="27"/>
        <v/>
      </c>
      <c r="X23" s="140"/>
      <c r="Y23" s="140"/>
      <c r="Z23" s="141"/>
      <c r="AA23" s="139" t="str">
        <f t="shared" si="28"/>
        <v/>
      </c>
      <c r="AB23" s="140"/>
      <c r="AC23" s="140"/>
      <c r="AD23" s="141"/>
      <c r="AE23" s="142">
        <f t="shared" si="29"/>
        <v>1042.5</v>
      </c>
      <c r="AF23" s="143">
        <f t="shared" si="9"/>
        <v>69.5</v>
      </c>
      <c r="AG23" s="144">
        <f t="shared" si="30"/>
        <v>0.7315789474</v>
      </c>
      <c r="AH23" s="76">
        <f t="shared" si="31"/>
        <v>95</v>
      </c>
      <c r="AI23" s="143">
        <f> ( IF(ISNUMBER(G23), VLOOKUP(G23/$AH23,F!$A1:$B101,2,1)*G23*$H23*$I23,0)+IF(ISNUMBER(K23), VLOOKUP(K23/$AH23,F!$A1:$B101,2,1)*K23*$L23*$M23,0)+IF(ISNUMBER(O23), VLOOKUP(O23/$AH23,F!$A1:$B101,2,1)*O23*$P23*$Q23,0)+IF(ISNUMBER(S23), VLOOKUP(S23/$AH23,F!$A1:$B101,2,1)*S23*$T23*$U23,0)+IF(ISNUMBER(W23), VLOOKUP(W23/$AH23,F!$A1:$B101,2,1)*W23*$X23*$Y23,0)+IF(ISNUMBER(AA23), VLOOKUP(AA23/$AH23,F!$A1:$B101,2,1)*AA23*$AB23*$AC23,0))*IF(ISNUMBER(F23),F23,1)*IF(ISNUMBER(E23),E23,1)</f>
        <v>1225.65</v>
      </c>
      <c r="AJ23" s="140">
        <f t="shared" si="32"/>
        <v>15</v>
      </c>
      <c r="AK23" s="145">
        <f t="array" ref="AK23">IFERROR(I23*INDEX(F!$P$21:$AB$33, MATCH(G23/$AH23, F!$O$21:$O$33,1), MATCH(E23, F!$P$20:$AB$20,1)), 0 ) +IFERROR( M23*INDEX(F!$P$21:$AB$33, MATCH(K23/$AH23, F!$O$21:$O$33,1), MATCH(E23, F!$P$20:$AB$20,1)),0) +  IFERROR( Q23*INDEX(F!$P$21:$AB$33, MATCH(O23/$AH23, F!$O$21:$O$33,1), MATCH(E23, F!$P$20:$AB$20,1)), 0) + IFERROR( U23*INDEX(F!$P$21:$AB$33, MATCH(S23/$AH23, F!$O$21:$O$33,1), MATCH(E23, F!$P$20:$AB$20,1)),0)  + IFERROR(Y23*INDEX(F!$P$21:$AB$33, MATCH(W23/$AH23, F!$O$21:$O$33,1), MATCH(E23, F!$P$20:$AB$20,1)),0)  + IFERROR( AC23*INDEX(F!$P$21:$AB$33, MATCH(AA23/$AH23, F!$O$21:$O$33,1), MATCH(E23, F!$P$20:$AB$20,1)),)</f>
        <v>19</v>
      </c>
      <c r="AL23" s="59"/>
      <c r="AM23" s="43"/>
      <c r="AN23" s="43"/>
      <c r="AO23" s="43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ht="15.75" customHeight="1">
      <c r="A24" s="172"/>
      <c r="B24" s="173" t="s">
        <v>24</v>
      </c>
      <c r="C24" s="174" t="s">
        <v>20</v>
      </c>
      <c r="D24" s="175" t="s">
        <v>21</v>
      </c>
      <c r="E24" s="48">
        <v>1.2</v>
      </c>
      <c r="F24" s="176"/>
      <c r="G24" s="177">
        <f t="shared" si="23"/>
        <v>80</v>
      </c>
      <c r="H24" s="178">
        <v>4.0</v>
      </c>
      <c r="I24" s="178">
        <v>4.0</v>
      </c>
      <c r="J24" s="179">
        <v>0.6</v>
      </c>
      <c r="K24" s="177" t="str">
        <f t="shared" si="24"/>
        <v/>
      </c>
      <c r="L24" s="178"/>
      <c r="M24" s="178"/>
      <c r="N24" s="179"/>
      <c r="O24" s="177" t="str">
        <f t="shared" si="25"/>
        <v/>
      </c>
      <c r="P24" s="178"/>
      <c r="Q24" s="178"/>
      <c r="R24" s="179"/>
      <c r="S24" s="177" t="str">
        <f t="shared" si="26"/>
        <v/>
      </c>
      <c r="T24" s="178"/>
      <c r="U24" s="178"/>
      <c r="V24" s="179"/>
      <c r="W24" s="177" t="str">
        <f t="shared" si="27"/>
        <v/>
      </c>
      <c r="X24" s="178"/>
      <c r="Y24" s="178"/>
      <c r="Z24" s="179"/>
      <c r="AA24" s="177" t="str">
        <f t="shared" si="28"/>
        <v/>
      </c>
      <c r="AB24" s="178"/>
      <c r="AC24" s="178"/>
      <c r="AD24" s="179"/>
      <c r="AE24" s="180">
        <f t="shared" si="29"/>
        <v>1280</v>
      </c>
      <c r="AF24" s="181">
        <f t="shared" si="9"/>
        <v>80</v>
      </c>
      <c r="AG24" s="182">
        <f t="shared" si="30"/>
        <v>0.5925925926</v>
      </c>
      <c r="AH24" s="76">
        <f>AH22</f>
        <v>135</v>
      </c>
      <c r="AI24" s="181">
        <f> ( IF(ISNUMBER(G24), VLOOKUP(G24/$AH24,F!$A1:$B101,2,1)*G24*$H24*$I24,0)+IF(ISNUMBER(K24), VLOOKUP(K24/$AH24,F!$A1:$B101,2,1)*K24*$L24*$M24,0)+IF(ISNUMBER(O24), VLOOKUP(O24/$AH24,F!$A1:$B101,2,1)*O24*$P24*$Q24,0)+IF(ISNUMBER(S24), VLOOKUP(S24/$AH24,F!$A1:$B101,2,1)*S24*$T24*$U24,0)+IF(ISNUMBER(W24), VLOOKUP(W24/$AH24,F!$A1:$B101,2,1)*W24*$X24*$Y24,0)+IF(ISNUMBER(AA24), VLOOKUP(AA24/$AH24,F!$A1:$B101,2,1)*AA24*$AB24*$AC24,0))*IF(ISNUMBER(F24),F24,1)*IF(ISNUMBER(E24),E24,1)</f>
        <v>1044.48</v>
      </c>
      <c r="AJ24" s="178">
        <f t="shared" si="32"/>
        <v>16</v>
      </c>
      <c r="AK24" s="183">
        <f t="array" ref="AK24">IFERROR(I24*INDEX(F!$P$21:$AB$33, MATCH(G24/$AH24, F!$O$21:$O$33,1), MATCH(E24, F!$P$20:$AB$20,1)), 0 ) +IFERROR( M24*INDEX(F!$P$21:$AB$33, MATCH(K24/$AH24, F!$O$21:$O$33,1), MATCH(E24, F!$P$20:$AB$20,1)),0) +  IFERROR( Q24*INDEX(F!$P$21:$AB$33, MATCH(O24/$AH24, F!$O$21:$O$33,1), MATCH(E24, F!$P$20:$AB$20,1)), 0) + IFERROR( U24*INDEX(F!$P$21:$AB$33, MATCH(S24/$AH24, F!$O$21:$O$33,1), MATCH(E24, F!$P$20:$AB$20,1)),0)  + IFERROR(Y24*INDEX(F!$P$21:$AB$33, MATCH(W24/$AH24, F!$O$21:$O$33,1), MATCH(E24, F!$P$20:$AB$20,1)),0)  + IFERROR( AC24*INDEX(F!$P$21:$AB$33, MATCH(AA24/$AH24, F!$O$21:$O$33,1), MATCH(E24, F!$P$20:$AB$20,1)),)</f>
        <v>16</v>
      </c>
      <c r="AL24" s="59"/>
      <c r="AM24" s="43"/>
      <c r="AN24" s="43"/>
      <c r="AO24" s="43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ht="15.75" customHeight="1">
      <c r="A25" s="172"/>
      <c r="B25" s="135" t="s">
        <v>19</v>
      </c>
      <c r="C25" s="136" t="s">
        <v>22</v>
      </c>
      <c r="D25" s="137" t="s">
        <v>34</v>
      </c>
      <c r="E25" s="48">
        <v>1.0</v>
      </c>
      <c r="F25" s="138"/>
      <c r="G25" s="139">
        <f t="shared" si="23"/>
        <v>45</v>
      </c>
      <c r="H25" s="140">
        <v>4.0</v>
      </c>
      <c r="I25" s="140">
        <v>1.0</v>
      </c>
      <c r="J25" s="141">
        <v>0.6</v>
      </c>
      <c r="K25" s="139">
        <f t="shared" si="24"/>
        <v>52.5</v>
      </c>
      <c r="L25" s="140">
        <v>4.0</v>
      </c>
      <c r="M25" s="140">
        <v>4.0</v>
      </c>
      <c r="N25" s="141">
        <v>0.7</v>
      </c>
      <c r="O25" s="139" t="str">
        <f t="shared" si="25"/>
        <v/>
      </c>
      <c r="P25" s="140"/>
      <c r="Q25" s="140"/>
      <c r="R25" s="141"/>
      <c r="S25" s="139" t="str">
        <f t="shared" si="26"/>
        <v/>
      </c>
      <c r="T25" s="140"/>
      <c r="U25" s="140"/>
      <c r="V25" s="141"/>
      <c r="W25" s="139" t="str">
        <f t="shared" si="27"/>
        <v/>
      </c>
      <c r="X25" s="140"/>
      <c r="Y25" s="140"/>
      <c r="Z25" s="141"/>
      <c r="AA25" s="139" t="str">
        <f t="shared" si="28"/>
        <v/>
      </c>
      <c r="AB25" s="140"/>
      <c r="AC25" s="140"/>
      <c r="AD25" s="141"/>
      <c r="AE25" s="142">
        <f t="shared" si="29"/>
        <v>1020</v>
      </c>
      <c r="AF25" s="143">
        <f t="shared" si="9"/>
        <v>51</v>
      </c>
      <c r="AG25" s="144">
        <f t="shared" si="30"/>
        <v>0.6710526316</v>
      </c>
      <c r="AH25" s="76">
        <f>AH23*0.8</f>
        <v>76</v>
      </c>
      <c r="AI25" s="143">
        <f> ( IF(ISNUMBER(G25), VLOOKUP(G25/$AH25,F!$A1:$B101,2,1)*G25*$H25*$I25,0)+IF(ISNUMBER(K25), VLOOKUP(K25/$AH25,F!$A1:$B101,2,1)*K25*$L25*$M25,0)+IF(ISNUMBER(O25), VLOOKUP(O25/$AH25,F!$A1:$B101,2,1)*O25*$P25*$Q25,0)+IF(ISNUMBER(S25), VLOOKUP(S25/$AH25,F!$A1:$B101,2,1)*S25*$T25*$U25,0)+IF(ISNUMBER(W25), VLOOKUP(W25/$AH25,F!$A1:$B101,2,1)*W25*$X25*$Y25,0)+IF(ISNUMBER(AA25), VLOOKUP(AA25/$AH25,F!$A1:$B101,2,1)*AA25*$AB25*$AC25,0))*IF(ISNUMBER(F25),F25,1)*IF(ISNUMBER(E25),E25,1)</f>
        <v>870</v>
      </c>
      <c r="AJ25" s="140">
        <f t="shared" si="32"/>
        <v>20</v>
      </c>
      <c r="AK25" s="145">
        <f t="array" ref="AK25">IFERROR(I25*INDEX(F!$P$21:$AB$33, MATCH(G25/$AH25, F!$O$21:$O$33,1), MATCH(E25, F!$P$20:$AB$20,1)), 0 ) +IFERROR( M25*INDEX(F!$P$21:$AB$33, MATCH(K25/$AH25, F!$O$21:$O$33,1), MATCH(E25, F!$P$20:$AB$20,1)),0) +  IFERROR( Q25*INDEX(F!$P$21:$AB$33, MATCH(O25/$AH25, F!$O$21:$O$33,1), MATCH(E25, F!$P$20:$AB$20,1)), 0) + IFERROR( U25*INDEX(F!$P$21:$AB$33, MATCH(S25/$AH25, F!$O$21:$O$33,1), MATCH(E25, F!$P$20:$AB$20,1)),0)  + IFERROR(Y25*INDEX(F!$P$21:$AB$33, MATCH(W25/$AH25, F!$O$21:$O$33,1), MATCH(E25, F!$P$20:$AB$20,1)),0)  + IFERROR( AC25*INDEX(F!$P$21:$AB$33, MATCH(AA25/$AH25, F!$O$21:$O$33,1), MATCH(E25, F!$P$20:$AB$20,1)),)</f>
        <v>15</v>
      </c>
      <c r="AL25" s="59"/>
      <c r="AM25" s="43"/>
      <c r="AN25" s="43"/>
      <c r="AO25" s="43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ht="15.75" customHeight="1">
      <c r="A26" s="172"/>
      <c r="B26" s="173" t="s">
        <v>24</v>
      </c>
      <c r="C26" s="174" t="s">
        <v>27</v>
      </c>
      <c r="D26" s="175" t="s">
        <v>35</v>
      </c>
      <c r="E26" s="48">
        <v>0.5</v>
      </c>
      <c r="F26" s="176"/>
      <c r="G26" s="177" t="str">
        <f t="shared" si="23"/>
        <v/>
      </c>
      <c r="H26" s="178">
        <v>5.0</v>
      </c>
      <c r="I26" s="178">
        <v>1.0</v>
      </c>
      <c r="J26" s="179">
        <v>0.5</v>
      </c>
      <c r="K26" s="177" t="str">
        <f t="shared" si="24"/>
        <v/>
      </c>
      <c r="L26" s="178">
        <v>5.0</v>
      </c>
      <c r="M26" s="178">
        <v>5.0</v>
      </c>
      <c r="N26" s="179">
        <v>0.6</v>
      </c>
      <c r="O26" s="177" t="str">
        <f t="shared" si="25"/>
        <v/>
      </c>
      <c r="P26" s="178"/>
      <c r="Q26" s="178"/>
      <c r="R26" s="179"/>
      <c r="S26" s="177" t="str">
        <f t="shared" si="26"/>
        <v/>
      </c>
      <c r="T26" s="178"/>
      <c r="U26" s="178"/>
      <c r="V26" s="179"/>
      <c r="W26" s="177" t="str">
        <f t="shared" si="27"/>
        <v/>
      </c>
      <c r="X26" s="178"/>
      <c r="Y26" s="178"/>
      <c r="Z26" s="179"/>
      <c r="AA26" s="177" t="str">
        <f t="shared" si="28"/>
        <v/>
      </c>
      <c r="AB26" s="178"/>
      <c r="AC26" s="178"/>
      <c r="AD26" s="179"/>
      <c r="AE26" s="180">
        <f t="shared" si="29"/>
        <v>25</v>
      </c>
      <c r="AF26" s="181">
        <f t="shared" si="9"/>
        <v>0.8333333333</v>
      </c>
      <c r="AG26" s="182">
        <f t="shared" si="30"/>
        <v>0</v>
      </c>
      <c r="AH26" s="184" t="s">
        <v>36</v>
      </c>
      <c r="AI26" s="181">
        <f> ( IF(ISNUMBER(G26), VLOOKUP(G26/$AH26,F!$A1:$B101,2,1)*G26*$H26*$I26,0)+IF(ISNUMBER(K26), VLOOKUP(K26/$AH26,F!$A1:$B101,2,1)*K26*$L26*$M26,0)+IF(ISNUMBER(O26), VLOOKUP(O26/$AH26,F!$A1:$B101,2,1)*O26*$P26*$Q26,0)+IF(ISNUMBER(S26), VLOOKUP(S26/$AH26,F!$A1:$B101,2,1)*S26*$T26*$U26,0)+IF(ISNUMBER(W26), VLOOKUP(W26/$AH26,F!$A1:$B101,2,1)*W26*$X26*$Y26,0)+IF(ISNUMBER(AA26), VLOOKUP(AA26/$AH26,F!$A1:$B101,2,1)*AA26*$AB26*$AC26,0))*IF(ISNUMBER(F26),F26,1)*IF(ISNUMBER(E26),E26,1)</f>
        <v>0</v>
      </c>
      <c r="AJ26" s="178">
        <f t="shared" si="32"/>
        <v>30</v>
      </c>
      <c r="AK26" s="183">
        <f t="array" ref="AK26">IFERROR(I26*INDEX(F!$P$21:$AB$33, MATCH(G26/$AH26, F!$O$21:$O$33,1), MATCH(E26, F!$P$20:$AB$20,1)), 0 ) +IFERROR( M26*INDEX(F!$P$21:$AB$33, MATCH(K26/$AH26, F!$O$21:$O$33,1), MATCH(E26, F!$P$20:$AB$20,1)),0) +  IFERROR( Q26*INDEX(F!$P$21:$AB$33, MATCH(O26/$AH26, F!$O$21:$O$33,1), MATCH(E26, F!$P$20:$AB$20,1)), 0) + IFERROR( U26*INDEX(F!$P$21:$AB$33, MATCH(S26/$AH26, F!$O$21:$O$33,1), MATCH(E26, F!$P$20:$AB$20,1)),0)  + IFERROR(Y26*INDEX(F!$P$21:$AB$33, MATCH(W26/$AH26, F!$O$21:$O$33,1), MATCH(E26, F!$P$20:$AB$20,1)),0)  + IFERROR( AC26*INDEX(F!$P$21:$AB$33, MATCH(AA26/$AH26, F!$O$21:$O$33,1), MATCH(E26, F!$P$20:$AB$20,1)),)</f>
        <v>0</v>
      </c>
      <c r="AL26" s="59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ht="15.75" hidden="1" customHeight="1">
      <c r="A27" s="172"/>
      <c r="B27" s="135"/>
      <c r="C27" s="136"/>
      <c r="D27" s="147"/>
      <c r="E27" s="48"/>
      <c r="F27" s="138"/>
      <c r="G27" s="148"/>
      <c r="H27" s="149"/>
      <c r="I27" s="149"/>
      <c r="J27" s="141"/>
      <c r="K27" s="139" t="str">
        <f t="shared" si="24"/>
        <v/>
      </c>
      <c r="L27" s="140"/>
      <c r="M27" s="140"/>
      <c r="N27" s="141"/>
      <c r="O27" s="139" t="str">
        <f t="shared" si="25"/>
        <v/>
      </c>
      <c r="P27" s="140"/>
      <c r="Q27" s="140"/>
      <c r="R27" s="141"/>
      <c r="S27" s="139" t="str">
        <f t="shared" si="26"/>
        <v/>
      </c>
      <c r="T27" s="140"/>
      <c r="U27" s="140"/>
      <c r="V27" s="141"/>
      <c r="W27" s="139" t="str">
        <f t="shared" si="27"/>
        <v/>
      </c>
      <c r="X27" s="140"/>
      <c r="Y27" s="140"/>
      <c r="Z27" s="141"/>
      <c r="AA27" s="139" t="str">
        <f t="shared" si="28"/>
        <v/>
      </c>
      <c r="AB27" s="140"/>
      <c r="AC27" s="140"/>
      <c r="AD27" s="141"/>
      <c r="AE27" s="142">
        <f t="shared" si="29"/>
        <v>0</v>
      </c>
      <c r="AF27" s="143">
        <f t="shared" si="9"/>
        <v>0</v>
      </c>
      <c r="AG27" s="144">
        <f t="shared" si="30"/>
        <v>0</v>
      </c>
      <c r="AH27" s="76"/>
      <c r="AI27" s="143">
        <f> ( IF(ISNUMBER(G27), VLOOKUP(G27/$AH27,F!$A1:$B101,2,1)*G27*$H27*$I27,0)+IF(ISNUMBER(K27), VLOOKUP(K27/$AH27,F!$A1:$B101,2,1)*K27*$L27*$M27,0)+IF(ISNUMBER(O27), VLOOKUP(O27/$AH27,F!$A1:$B101,2,1)*O27*$P27*$Q27,0)+IF(ISNUMBER(S27), VLOOKUP(S27/$AH27,F!$A1:$B101,2,1)*S27*$T27*$U27,0)+IF(ISNUMBER(W27), VLOOKUP(W27/$AH27,F!$A1:$B101,2,1)*W27*$X27*$Y27,0)+IF(ISNUMBER(AA27), VLOOKUP(AA27/$AH27,F!$A1:$B101,2,1)*AA27*$AB27*$AC27,0))*IF(ISNUMBER(F27),F27,1)*IF(ISNUMBER(E27),E27,1)</f>
        <v>0</v>
      </c>
      <c r="AJ27" s="140">
        <f t="shared" si="32"/>
        <v>0</v>
      </c>
      <c r="AK27" s="145">
        <f t="array" ref="AK27">IFERROR(I27*INDEX(F!$P$21:$AB$33, MATCH(G27/$AH27, F!$O$21:$O$33,1), MATCH(E27, F!$P$20:$AB$20,1)), 0 ) +IFERROR( M27*INDEX(F!$P$21:$AB$33, MATCH(K27/$AH27, F!$O$21:$O$33,1), MATCH(E27, F!$P$20:$AB$20,1)),0) +  IFERROR( Q27*INDEX(F!$P$21:$AB$33, MATCH(O27/$AH27, F!$O$21:$O$33,1), MATCH(E27, F!$P$20:$AB$20,1)), 0) + IFERROR( U27*INDEX(F!$P$21:$AB$33, MATCH(S27/$AH27, F!$O$21:$O$33,1), MATCH(E27, F!$P$20:$AB$20,1)),0)  + IFERROR(Y27*INDEX(F!$P$21:$AB$33, MATCH(W27/$AH27, F!$O$21:$O$33,1), MATCH(E27, F!$P$20:$AB$20,1)),0)  + IFERROR( AC27*INDEX(F!$P$21:$AB$33, MATCH(AA27/$AH27, F!$O$21:$O$33,1), MATCH(E27, F!$P$20:$AB$20,1)),)</f>
        <v>0</v>
      </c>
      <c r="AL27" s="59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ht="15.75" hidden="1" customHeight="1">
      <c r="A28" s="172"/>
      <c r="B28" s="173"/>
      <c r="C28" s="174"/>
      <c r="D28" s="185"/>
      <c r="E28" s="48"/>
      <c r="F28" s="176"/>
      <c r="G28" s="177"/>
      <c r="H28" s="186"/>
      <c r="I28" s="186"/>
      <c r="J28" s="179"/>
      <c r="K28" s="177" t="str">
        <f t="shared" si="24"/>
        <v/>
      </c>
      <c r="L28" s="178"/>
      <c r="M28" s="178"/>
      <c r="N28" s="179"/>
      <c r="O28" s="177" t="str">
        <f t="shared" si="25"/>
        <v/>
      </c>
      <c r="P28" s="178"/>
      <c r="Q28" s="178"/>
      <c r="R28" s="179"/>
      <c r="S28" s="177" t="str">
        <f t="shared" si="26"/>
        <v/>
      </c>
      <c r="T28" s="178"/>
      <c r="U28" s="178"/>
      <c r="V28" s="179"/>
      <c r="W28" s="177" t="str">
        <f t="shared" si="27"/>
        <v/>
      </c>
      <c r="X28" s="178"/>
      <c r="Y28" s="178"/>
      <c r="Z28" s="179"/>
      <c r="AA28" s="177" t="str">
        <f t="shared" si="28"/>
        <v/>
      </c>
      <c r="AB28" s="178"/>
      <c r="AC28" s="178"/>
      <c r="AD28" s="179"/>
      <c r="AE28" s="180">
        <f t="shared" si="29"/>
        <v>0</v>
      </c>
      <c r="AF28" s="181">
        <f t="shared" si="9"/>
        <v>0</v>
      </c>
      <c r="AG28" s="182">
        <f t="shared" si="30"/>
        <v>0</v>
      </c>
      <c r="AH28" s="76"/>
      <c r="AI28" s="181">
        <f> ( IF(ISNUMBER(G28), VLOOKUP(G28/$AH28,F!$A1:$B101,2,1)*G28*$H28*$I28,0)+IF(ISNUMBER(K28), VLOOKUP(K28/$AH28,F!$A1:$B101,2,1)*K28*$L28*$M28,0)+IF(ISNUMBER(O28), VLOOKUP(O28/$AH28,F!$A1:$B101,2,1)*O28*$P28*$Q28,0)+IF(ISNUMBER(S28), VLOOKUP(S28/$AH28,F!$A1:$B101,2,1)*S28*$T28*$U28,0)+IF(ISNUMBER(W28), VLOOKUP(W28/$AH28,F!$A1:$B101,2,1)*W28*$X28*$Y28,0)+IF(ISNUMBER(AA28), VLOOKUP(AA28/$AH28,F!$A1:$B101,2,1)*AA28*$AB28*$AC28,0))*IF(ISNUMBER(F28),F28,1)*IF(ISNUMBER(E28),E28,1)</f>
        <v>0</v>
      </c>
      <c r="AJ28" s="178">
        <f t="shared" si="32"/>
        <v>0</v>
      </c>
      <c r="AK28" s="183">
        <f t="array" ref="AK28">IFERROR(I28*INDEX(F!$P$21:$AB$33, MATCH(G28/$AH28, F!$O$21:$O$33,1), MATCH(E28, F!$P$20:$AB$20,1)), 0 ) +IFERROR( M28*INDEX(F!$P$21:$AB$33, MATCH(K28/$AH28, F!$O$21:$O$33,1), MATCH(E28, F!$P$20:$AB$20,1)),0) +  IFERROR( Q28*INDEX(F!$P$21:$AB$33, MATCH(O28/$AH28, F!$O$21:$O$33,1), MATCH(E28, F!$P$20:$AB$20,1)), 0) + IFERROR( U28*INDEX(F!$P$21:$AB$33, MATCH(S28/$AH28, F!$O$21:$O$33,1), MATCH(E28, F!$P$20:$AB$20,1)),0)  + IFERROR(Y28*INDEX(F!$P$21:$AB$33, MATCH(W28/$AH28, F!$O$21:$O$33,1), MATCH(E28, F!$P$20:$AB$20,1)),0)  + IFERROR( AC28*INDEX(F!$P$21:$AB$33, MATCH(AA28/$AH28, F!$O$21:$O$33,1), MATCH(E28, F!$P$20:$AB$20,1)),)</f>
        <v>0</v>
      </c>
      <c r="AL28" s="59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ht="15.75" hidden="1" customHeight="1">
      <c r="A29" s="172"/>
      <c r="B29" s="135"/>
      <c r="C29" s="136"/>
      <c r="D29" s="137"/>
      <c r="E29" s="48"/>
      <c r="F29" s="138"/>
      <c r="G29" s="139" t="str">
        <f>IF(J29&lt;&gt;0, IFERROR(IF( $F29=2,  MROUND($AH29*J29,1),    IF( OR($F29="",$F29=1),   MROUND($AH29*J29,2.5),  MROUND($AH29*J29, 0.1))), "" ), "")</f>
        <v/>
      </c>
      <c r="H29" s="140"/>
      <c r="I29" s="140"/>
      <c r="J29" s="141"/>
      <c r="K29" s="139" t="str">
        <f t="shared" si="24"/>
        <v/>
      </c>
      <c r="L29" s="140"/>
      <c r="M29" s="140"/>
      <c r="N29" s="141"/>
      <c r="O29" s="139" t="str">
        <f t="shared" si="25"/>
        <v/>
      </c>
      <c r="P29" s="140"/>
      <c r="Q29" s="140"/>
      <c r="R29" s="141"/>
      <c r="S29" s="139" t="str">
        <f t="shared" si="26"/>
        <v/>
      </c>
      <c r="T29" s="140"/>
      <c r="U29" s="140"/>
      <c r="V29" s="141"/>
      <c r="W29" s="139" t="str">
        <f t="shared" si="27"/>
        <v/>
      </c>
      <c r="X29" s="140"/>
      <c r="Y29" s="140"/>
      <c r="Z29" s="141"/>
      <c r="AA29" s="139" t="str">
        <f t="shared" si="28"/>
        <v/>
      </c>
      <c r="AB29" s="140"/>
      <c r="AC29" s="140"/>
      <c r="AD29" s="141"/>
      <c r="AE29" s="142">
        <f t="shared" si="29"/>
        <v>0</v>
      </c>
      <c r="AF29" s="143">
        <f t="shared" si="9"/>
        <v>0</v>
      </c>
      <c r="AG29" s="144">
        <f t="shared" si="30"/>
        <v>0</v>
      </c>
      <c r="AH29" s="76"/>
      <c r="AI29" s="143">
        <f> ( IF(ISNUMBER(G29), VLOOKUP(G29/$AH29,F!$A1:$B101,2,1)*G29*$H29*$I29,0)+IF(ISNUMBER(K29), VLOOKUP(K29/$AH29,F!$A1:$B101,2,1)*K29*$L29*$M29,0)+IF(ISNUMBER(O29), VLOOKUP(O29/$AH29,F!$A1:$B101,2,1)*O29*$P29*$Q29,0)+IF(ISNUMBER(S29), VLOOKUP(S29/$AH29,F!$A1:$B101,2,1)*S29*$T29*$U29,0)+IF(ISNUMBER(W29), VLOOKUP(W29/$AH29,F!$A1:$B101,2,1)*W29*$X29*$Y29,0)+IF(ISNUMBER(AA29), VLOOKUP(AA29/$AH29,F!$A1:$B101,2,1)*AA29*$AB29*$AC29,0))*IF(ISNUMBER(F29),F29,1)*IF(ISNUMBER(E29),E29,1)</f>
        <v>0</v>
      </c>
      <c r="AJ29" s="140">
        <f t="shared" si="32"/>
        <v>0</v>
      </c>
      <c r="AK29" s="145">
        <f t="array" ref="AK29">IFERROR(I29*INDEX(F!$P$21:$AB$33, MATCH(G29/$AH29, F!$O$21:$O$33,1), MATCH(E29, F!$P$20:$AB$20,1)), 0 ) +IFERROR( M29*INDEX(F!$P$21:$AB$33, MATCH(K29/$AH29, F!$O$21:$O$33,1), MATCH(E29, F!$P$20:$AB$20,1)),0) +  IFERROR( Q29*INDEX(F!$P$21:$AB$33, MATCH(O29/$AH29, F!$O$21:$O$33,1), MATCH(E29, F!$P$20:$AB$20,1)), 0) + IFERROR( U29*INDEX(F!$P$21:$AB$33, MATCH(S29/$AH29, F!$O$21:$O$33,1), MATCH(E29, F!$P$20:$AB$20,1)),0)  + IFERROR(Y29*INDEX(F!$P$21:$AB$33, MATCH(W29/$AH29, F!$O$21:$O$33,1), MATCH(E29, F!$P$20:$AB$20,1)),0)  + IFERROR( AC29*INDEX(F!$P$21:$AB$33, MATCH(AA29/$AH29, F!$O$21:$O$33,1), MATCH(E29, F!$P$20:$AB$20,1)),)</f>
        <v>0</v>
      </c>
      <c r="AL29" s="59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ht="15.75" customHeight="1">
      <c r="A30" s="187"/>
      <c r="B30" s="188"/>
      <c r="C30" s="189"/>
      <c r="D30" s="190"/>
      <c r="E30" s="102">
        <f>ROUND(IFERROR(SUMPRODUCT(AJ22:AJ29,E22:E29)/AJ30,0),3)</f>
        <v>0.889</v>
      </c>
      <c r="F30" s="191"/>
      <c r="G30" s="192"/>
      <c r="H30" s="193"/>
      <c r="I30" s="193"/>
      <c r="J30" s="194"/>
      <c r="K30" s="192"/>
      <c r="L30" s="193"/>
      <c r="M30" s="193"/>
      <c r="N30" s="194"/>
      <c r="O30" s="192"/>
      <c r="P30" s="193"/>
      <c r="Q30" s="193"/>
      <c r="R30" s="194"/>
      <c r="S30" s="192"/>
      <c r="T30" s="193"/>
      <c r="U30" s="193"/>
      <c r="V30" s="194"/>
      <c r="W30" s="192"/>
      <c r="X30" s="193"/>
      <c r="Y30" s="193"/>
      <c r="Z30" s="194"/>
      <c r="AA30" s="192"/>
      <c r="AB30" s="193"/>
      <c r="AC30" s="193"/>
      <c r="AD30" s="194"/>
      <c r="AE30" s="107">
        <f>SUM(AE22:AE29)</f>
        <v>4270</v>
      </c>
      <c r="AF30" s="108">
        <f t="shared" si="9"/>
        <v>47.44444444</v>
      </c>
      <c r="AG30" s="109">
        <f>IFERROR(  SUMPRODUCT(AG22:AG29,AJ22:AJ29)/AJ30,0)</f>
        <v>0.4506822612</v>
      </c>
      <c r="AH30" s="157"/>
      <c r="AI30" s="111">
        <f t="shared" ref="AI30:AJ30" si="33">SUM(AI22:AI29)</f>
        <v>4500.63</v>
      </c>
      <c r="AJ30" s="111">
        <f t="shared" si="33"/>
        <v>90</v>
      </c>
      <c r="AK30" s="112">
        <f>IF(SUM(AK22:AK29)=0,TIME(,0,),TIME(,SUM(AK22:AK29)+F!$V$37,))</f>
        <v>0.07430555556</v>
      </c>
      <c r="AL30" s="98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ht="15.75" hidden="1" customHeight="1">
      <c r="A31" s="25">
        <f>A32</f>
        <v>43785</v>
      </c>
      <c r="B31" s="26"/>
      <c r="C31" s="27"/>
      <c r="D31" s="28"/>
      <c r="E31" s="29"/>
      <c r="F31" s="30"/>
      <c r="G31" s="31" t="str">
        <f t="shared" ref="G31:G38" si="34">IF(J31&lt;&gt;0, IFERROR(IF( $F31=2,  MROUND($AH31*J31,1),    IF( OR($F31="",$F31=1),   MROUND($AH31*J31,2.5),  MROUND($AH31*J31, 0.1))), "" ), "")</f>
        <v/>
      </c>
      <c r="H31" s="32"/>
      <c r="I31" s="32"/>
      <c r="J31" s="33"/>
      <c r="K31" s="31" t="str">
        <f t="shared" ref="K31:K38" si="35">IF(N31&lt;&gt;0, IFERROR(IF( $F31=2,  MROUND($AH31*N31,1),    IF( OR($F31="",$F31=1),   MROUND($AH31*N31,2.5),  MROUND($AH31*N31, 0.1))), "" ), "")</f>
        <v/>
      </c>
      <c r="L31" s="32"/>
      <c r="M31" s="32"/>
      <c r="N31" s="33"/>
      <c r="O31" s="31" t="str">
        <f t="shared" ref="O31:O38" si="36">IF(R31&lt;&gt;0, IFERROR(IF( $F31=2,  MROUND($AH31*R31,1),    IF( OR($F31="",$F31=1),   MROUND($AH31*R31,2.5),  MROUND($AH31*R31, 0.1))), "" ), "")</f>
        <v/>
      </c>
      <c r="P31" s="32"/>
      <c r="Q31" s="32"/>
      <c r="R31" s="33"/>
      <c r="S31" s="31" t="str">
        <f t="shared" ref="S31:S38" si="37">IF(V31&lt;&gt;0, IFERROR(IF( $F31=2,  MROUND($AH31*V31,1),    IF( OR($F31="",$F31=1),   MROUND($AH31*V31,2.5),  MROUND($AH31*V31, 0.1))), "" ), "")</f>
        <v/>
      </c>
      <c r="T31" s="32"/>
      <c r="U31" s="32"/>
      <c r="V31" s="33"/>
      <c r="W31" s="31" t="str">
        <f t="shared" ref="W31:W38" si="38">IF(Z31&lt;&gt;0, IFERROR(IF( $F31=2,  MROUND($AH31*Z31,1),    IF( OR($F31="",$F31=1),   MROUND($AH31*Z31,2.5),  MROUND($AH31*Z31, 0.1))), "" ), "")</f>
        <v/>
      </c>
      <c r="X31" s="32"/>
      <c r="Y31" s="32"/>
      <c r="Z31" s="33"/>
      <c r="AA31" s="31" t="str">
        <f t="shared" ref="AA31:AA38" si="39">IF(AD31&lt;&gt;0, IFERROR(IF( $F31=2,  MROUND($AH31*AD31,1),    IF( OR($F31="",$F31=1),   MROUND($AH31*AD31,2.5),  MROUND($AH31*AD31, 0.1))), "" ), "")</f>
        <v/>
      </c>
      <c r="AB31" s="32"/>
      <c r="AC31" s="32"/>
      <c r="AD31" s="33"/>
      <c r="AE31" s="35">
        <f t="shared" ref="AE31:AE38" si="40">(IF(ISNUMBER(G31),G31,0)*H31*I31+IF(ISNUMBER(K31),K31,1)*L31*M31+IF(ISNUMBER(O31),O31,1)*P31*Q31+IF(ISNUMBER(S31),S31,1)*T31*U31+IF(ISNUMBER(W31),W31,1)*X31*Y31+IF(ISNUMBER(AA31),AA31,1)*AB31*AC31)*IF(ISNUMBER(F31),F31,1)</f>
        <v>0</v>
      </c>
      <c r="AF31" s="36">
        <f t="shared" si="9"/>
        <v>0</v>
      </c>
      <c r="AG31" s="195">
        <f t="shared" ref="AG31:AG38" si="41">IFERROR((AF31/(AH31*IF(ISNUMBER(F31),F31,1))),0)</f>
        <v>0</v>
      </c>
      <c r="AH31" s="169"/>
      <c r="AI31" s="196">
        <f> ( IF(ISNUMBER(G31), VLOOKUP(G31/$AH31,F!$A1:$B101,2,1)*G31*$H31*$I31,0)+IF(ISNUMBER(K31), VLOOKUP(K31/$AH31,F!$A1:$B101,2,1)*K31*$L31*$M31,0)+IF(ISNUMBER(O31), VLOOKUP(O31/$AH31,F!$A1:$B101,2,1)*O31*$P31*$Q31,0)+IF(ISNUMBER(S31), VLOOKUP(S31/$AH31,F!$A1:$B101,2,1)*S31*$T31*$U31,0)+IF(ISNUMBER(W31), VLOOKUP(W31/$AH31,F!$A1:$B101,2,1)*W31*$X31*$Y31,0)+IF(ISNUMBER(AA31), VLOOKUP(AA31/$AH31,F!$A1:$B101,2,1)*AA31*$AB31*$AC31,0))*IF(ISNUMBER(F31),F31,1)*IF(ISNUMBER(E31),E31,1)</f>
        <v>0</v>
      </c>
      <c r="AJ31" s="40">
        <f t="shared" ref="AJ31:AJ38" si="42">H31*I31+L31*M31+P31*Q31+T31*U31+X31*Y31+AB31*AC31</f>
        <v>0</v>
      </c>
      <c r="AK31" s="41">
        <f t="array" ref="AK31">IFERROR(I31*INDEX(F!$P$21:$AB$33, MATCH(G31/$AH31, F!$O$21:$O$33,1), MATCH(E31, F!$P$20:$AB$20,1)), 0 ) +IFERROR( M31*INDEX(F!$P$21:$AB$33, MATCH(K31/$AH31, F!$O$21:$O$33,1), MATCH(E31, F!$P$20:$AB$20,1)),0) +  IFERROR( Q31*INDEX(F!$P$21:$AB$33, MATCH(O31/$AH31, F!$O$21:$O$33,1), MATCH(E31, F!$P$20:$AB$20,1)), 0) + IFERROR( U31*INDEX(F!$P$21:$AB$33, MATCH(S31/$AH31, F!$O$21:$O$33,1), MATCH(E31, F!$P$20:$AB$20,1)),0)  + IFERROR(Y31*INDEX(F!$P$21:$AB$33, MATCH(W31/$AH31, F!$O$21:$O$33,1), MATCH(E31, F!$P$20:$AB$20,1)),0)  + IFERROR( AC31*INDEX(F!$P$21:$AB$33, MATCH(AA31/$AH31, F!$O$21:$O$33,1), MATCH(E31, F!$P$20:$AB$20,1)),)</f>
        <v>0</v>
      </c>
      <c r="AL31" s="42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ht="15.0" hidden="1" customHeight="1">
      <c r="A32" s="44">
        <v>43785.0</v>
      </c>
      <c r="B32" s="45"/>
      <c r="C32" s="73"/>
      <c r="D32" s="47"/>
      <c r="E32" s="48"/>
      <c r="F32" s="49"/>
      <c r="G32" s="50" t="str">
        <f t="shared" si="34"/>
        <v/>
      </c>
      <c r="H32" s="51"/>
      <c r="I32" s="51"/>
      <c r="J32" s="52"/>
      <c r="K32" s="50" t="str">
        <f t="shared" si="35"/>
        <v/>
      </c>
      <c r="L32" s="51"/>
      <c r="M32" s="51"/>
      <c r="N32" s="52"/>
      <c r="O32" s="50" t="str">
        <f t="shared" si="36"/>
        <v/>
      </c>
      <c r="P32" s="51"/>
      <c r="Q32" s="51"/>
      <c r="R32" s="52"/>
      <c r="S32" s="50" t="str">
        <f t="shared" si="37"/>
        <v/>
      </c>
      <c r="T32" s="51"/>
      <c r="U32" s="51"/>
      <c r="V32" s="52"/>
      <c r="W32" s="50" t="str">
        <f t="shared" si="38"/>
        <v/>
      </c>
      <c r="X32" s="51"/>
      <c r="Y32" s="51"/>
      <c r="Z32" s="52"/>
      <c r="AA32" s="50" t="str">
        <f t="shared" si="39"/>
        <v/>
      </c>
      <c r="AB32" s="51"/>
      <c r="AC32" s="51"/>
      <c r="AD32" s="52"/>
      <c r="AE32" s="53">
        <f t="shared" si="40"/>
        <v>0</v>
      </c>
      <c r="AF32" s="54">
        <f t="shared" si="9"/>
        <v>0</v>
      </c>
      <c r="AG32" s="75">
        <f t="shared" si="41"/>
        <v>0</v>
      </c>
      <c r="AH32" s="76"/>
      <c r="AI32" s="77">
        <f> ( IF(ISNUMBER(G32), VLOOKUP(G32/$AH32,F!$A1:$B101,2,1)*G32*$H32*$I32,0)+IF(ISNUMBER(K32), VLOOKUP(K32/$AH32,F!$A1:$B101,2,1)*K32*$L32*$M32,0)+IF(ISNUMBER(O32), VLOOKUP(O32/$AH32,F!$A1:$B101,2,1)*O32*$P32*$Q32,0)+IF(ISNUMBER(S32), VLOOKUP(S32/$AH32,F!$A1:$B101,2,1)*S32*$T32*$U32,0)+IF(ISNUMBER(W32), VLOOKUP(W32/$AH32,F!$A1:$B101,2,1)*W32*$X32*$Y32,0)+IF(ISNUMBER(AA32), VLOOKUP(AA32/$AH32,F!$A1:$B101,2,1)*AA32*$AB32*$AC32,0))*IF(ISNUMBER(F32),F32,1)*IF(ISNUMBER(E32),E32,1)</f>
        <v>0</v>
      </c>
      <c r="AJ32" s="57">
        <f t="shared" si="42"/>
        <v>0</v>
      </c>
      <c r="AK32" s="58">
        <f t="array" ref="AK32">IFERROR(I32*INDEX(F!$P$21:$AB$33, MATCH(G32/$AH32, F!$O$21:$O$33,1), MATCH(E32, F!$P$20:$AB$20,1)), 0 ) +IFERROR( M32*INDEX(F!$P$21:$AB$33, MATCH(K32/$AH32, F!$O$21:$O$33,1), MATCH(E32, F!$P$20:$AB$20,1)),0) +  IFERROR( Q32*INDEX(F!$P$21:$AB$33, MATCH(O32/$AH32, F!$O$21:$O$33,1), MATCH(E32, F!$P$20:$AB$20,1)), 0) + IFERROR( U32*INDEX(F!$P$21:$AB$33, MATCH(S32/$AH32, F!$O$21:$O$33,1), MATCH(E32, F!$P$20:$AB$20,1)),0)  + IFERROR(Y32*INDEX(F!$P$21:$AB$33, MATCH(W32/$AH32, F!$O$21:$O$33,1), MATCH(E32, F!$P$20:$AB$20,1)),0)  + IFERROR( AC32*INDEX(F!$P$21:$AB$33, MATCH(AA32/$AH32, F!$O$21:$O$33,1), MATCH(E32, F!$P$20:$AB$20,1)),)</f>
        <v>0</v>
      </c>
      <c r="AL32" s="59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ht="15.75" hidden="1" customHeight="1">
      <c r="A33" s="59"/>
      <c r="B33" s="60"/>
      <c r="C33" s="78"/>
      <c r="D33" s="62"/>
      <c r="E33" s="48"/>
      <c r="F33" s="63"/>
      <c r="G33" s="64" t="str">
        <f t="shared" si="34"/>
        <v/>
      </c>
      <c r="H33" s="34"/>
      <c r="I33" s="34"/>
      <c r="J33" s="65"/>
      <c r="K33" s="64" t="str">
        <f t="shared" si="35"/>
        <v/>
      </c>
      <c r="L33" s="34"/>
      <c r="M33" s="34"/>
      <c r="N33" s="65"/>
      <c r="O33" s="64" t="str">
        <f t="shared" si="36"/>
        <v/>
      </c>
      <c r="P33" s="34"/>
      <c r="Q33" s="34"/>
      <c r="R33" s="65"/>
      <c r="S33" s="64" t="str">
        <f t="shared" si="37"/>
        <v/>
      </c>
      <c r="T33" s="34"/>
      <c r="U33" s="34"/>
      <c r="V33" s="65"/>
      <c r="W33" s="64" t="str">
        <f t="shared" si="38"/>
        <v/>
      </c>
      <c r="X33" s="34"/>
      <c r="Y33" s="34"/>
      <c r="Z33" s="65"/>
      <c r="AA33" s="64" t="str">
        <f t="shared" si="39"/>
        <v/>
      </c>
      <c r="AB33" s="34"/>
      <c r="AC33" s="34"/>
      <c r="AD33" s="65"/>
      <c r="AE33" s="66">
        <f t="shared" si="40"/>
        <v>0</v>
      </c>
      <c r="AF33" s="67">
        <f t="shared" si="9"/>
        <v>0</v>
      </c>
      <c r="AG33" s="68">
        <f t="shared" si="41"/>
        <v>0</v>
      </c>
      <c r="AH33" s="76"/>
      <c r="AI33" s="70">
        <f> ( IF(ISNUMBER(G33), VLOOKUP(G33/$AH33,F!$A1:$B101,2,1)*G33*$H33*$I33,0)+IF(ISNUMBER(K33), VLOOKUP(K33/$AH33,F!$A1:$B101,2,1)*K33*$L33*$M33,0)+IF(ISNUMBER(O33), VLOOKUP(O33/$AH33,F!$A1:$B101,2,1)*O33*$P33*$Q33,0)+IF(ISNUMBER(S33), VLOOKUP(S33/$AH33,F!$A1:$B101,2,1)*S33*$T33*$U33,0)+IF(ISNUMBER(W33), VLOOKUP(W33/$AH33,F!$A1:$B101,2,1)*W33*$X33*$Y33,0)+IF(ISNUMBER(AA33), VLOOKUP(AA33/$AH33,F!$A1:$B101,2,1)*AA33*$AB33*$AC33,0))*IF(ISNUMBER(F33),F33,1)*IF(ISNUMBER(E33),E33,1)</f>
        <v>0</v>
      </c>
      <c r="AJ33" s="71">
        <f t="shared" si="42"/>
        <v>0</v>
      </c>
      <c r="AK33" s="72">
        <f t="array" ref="AK33">IFERROR(I33*INDEX(F!$P$21:$AB$33, MATCH(G33/$AH33, F!$O$21:$O$33,1), MATCH(E33, F!$P$20:$AB$20,1)), 0 ) +IFERROR( M33*INDEX(F!$P$21:$AB$33, MATCH(K33/$AH33, F!$O$21:$O$33,1), MATCH(E33, F!$P$20:$AB$20,1)),0) +  IFERROR( Q33*INDEX(F!$P$21:$AB$33, MATCH(O33/$AH33, F!$O$21:$O$33,1), MATCH(E33, F!$P$20:$AB$20,1)), 0) + IFERROR( U33*INDEX(F!$P$21:$AB$33, MATCH(S33/$AH33, F!$O$21:$O$33,1), MATCH(E33, F!$P$20:$AB$20,1)),0)  + IFERROR(Y33*INDEX(F!$P$21:$AB$33, MATCH(W33/$AH33, F!$O$21:$O$33,1), MATCH(E33, F!$P$20:$AB$20,1)),0)  + IFERROR( AC33*INDEX(F!$P$21:$AB$33, MATCH(AA33/$AH33, F!$O$21:$O$33,1), MATCH(E33, F!$P$20:$AB$20,1)),)</f>
        <v>0</v>
      </c>
      <c r="AL33" s="59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ht="15.75" hidden="1" customHeight="1">
      <c r="A34" s="59"/>
      <c r="B34" s="45"/>
      <c r="C34" s="73"/>
      <c r="D34" s="47"/>
      <c r="E34" s="48"/>
      <c r="F34" s="74"/>
      <c r="G34" s="50" t="str">
        <f t="shared" si="34"/>
        <v/>
      </c>
      <c r="H34" s="51"/>
      <c r="I34" s="51"/>
      <c r="J34" s="52"/>
      <c r="K34" s="50" t="str">
        <f t="shared" si="35"/>
        <v/>
      </c>
      <c r="L34" s="51"/>
      <c r="M34" s="51"/>
      <c r="N34" s="52"/>
      <c r="O34" s="50" t="str">
        <f t="shared" si="36"/>
        <v/>
      </c>
      <c r="P34" s="51"/>
      <c r="Q34" s="51"/>
      <c r="R34" s="52"/>
      <c r="S34" s="50" t="str">
        <f t="shared" si="37"/>
        <v/>
      </c>
      <c r="T34" s="51"/>
      <c r="U34" s="51"/>
      <c r="V34" s="52"/>
      <c r="W34" s="50" t="str">
        <f t="shared" si="38"/>
        <v/>
      </c>
      <c r="X34" s="51"/>
      <c r="Y34" s="51"/>
      <c r="Z34" s="52"/>
      <c r="AA34" s="50" t="str">
        <f t="shared" si="39"/>
        <v/>
      </c>
      <c r="AB34" s="51"/>
      <c r="AC34" s="51"/>
      <c r="AD34" s="52"/>
      <c r="AE34" s="53">
        <f t="shared" si="40"/>
        <v>0</v>
      </c>
      <c r="AF34" s="54">
        <f t="shared" si="9"/>
        <v>0</v>
      </c>
      <c r="AG34" s="75">
        <f t="shared" si="41"/>
        <v>0</v>
      </c>
      <c r="AH34" s="76"/>
      <c r="AI34" s="77">
        <f> ( IF(ISNUMBER(G34), VLOOKUP(G34/$AH34,F!$A1:$B101,2,1)*G34*$H34*$I34,0)+IF(ISNUMBER(K34), VLOOKUP(K34/$AH34,F!$A1:$B101,2,1)*K34*$L34*$M34,0)+IF(ISNUMBER(O34), VLOOKUP(O34/$AH34,F!$A1:$B101,2,1)*O34*$P34*$Q34,0)+IF(ISNUMBER(S34), VLOOKUP(S34/$AH34,F!$A1:$B101,2,1)*S34*$T34*$U34,0)+IF(ISNUMBER(W34), VLOOKUP(W34/$AH34,F!$A1:$B101,2,1)*W34*$X34*$Y34,0)+IF(ISNUMBER(AA34), VLOOKUP(AA34/$AH34,F!$A1:$B101,2,1)*AA34*$AB34*$AC34,0))*IF(ISNUMBER(F34),F34,1)*IF(ISNUMBER(E34),E34,1)</f>
        <v>0</v>
      </c>
      <c r="AJ34" s="57">
        <f t="shared" si="42"/>
        <v>0</v>
      </c>
      <c r="AK34" s="58">
        <f t="array" ref="AK34">IFERROR(I34*INDEX(F!$P$21:$AB$33, MATCH(G34/$AH34, F!$O$21:$O$33,1), MATCH(E34, F!$P$20:$AB$20,1)), 0 ) +IFERROR( M34*INDEX(F!$P$21:$AB$33, MATCH(K34/$AH34, F!$O$21:$O$33,1), MATCH(E34, F!$P$20:$AB$20,1)),0) +  IFERROR( Q34*INDEX(F!$P$21:$AB$33, MATCH(O34/$AH34, F!$O$21:$O$33,1), MATCH(E34, F!$P$20:$AB$20,1)), 0) + IFERROR( U34*INDEX(F!$P$21:$AB$33, MATCH(S34/$AH34, F!$O$21:$O$33,1), MATCH(E34, F!$P$20:$AB$20,1)),0)  + IFERROR(Y34*INDEX(F!$P$21:$AB$33, MATCH(W34/$AH34, F!$O$21:$O$33,1), MATCH(E34, F!$P$20:$AB$20,1)),0)  + IFERROR( AC34*INDEX(F!$P$21:$AB$33, MATCH(AA34/$AH34, F!$O$21:$O$33,1), MATCH(E34, F!$P$20:$AB$20,1)),)</f>
        <v>0</v>
      </c>
      <c r="AL34" s="59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ht="15.75" hidden="1" customHeight="1">
      <c r="A35" s="59"/>
      <c r="B35" s="60"/>
      <c r="C35" s="78"/>
      <c r="D35" s="62"/>
      <c r="E35" s="48"/>
      <c r="F35" s="79"/>
      <c r="G35" s="64" t="str">
        <f t="shared" si="34"/>
        <v/>
      </c>
      <c r="H35" s="34"/>
      <c r="I35" s="34"/>
      <c r="J35" s="65"/>
      <c r="K35" s="64" t="str">
        <f t="shared" si="35"/>
        <v/>
      </c>
      <c r="L35" s="34"/>
      <c r="M35" s="34"/>
      <c r="N35" s="65"/>
      <c r="O35" s="64" t="str">
        <f t="shared" si="36"/>
        <v/>
      </c>
      <c r="P35" s="34"/>
      <c r="Q35" s="34"/>
      <c r="R35" s="65"/>
      <c r="S35" s="64" t="str">
        <f t="shared" si="37"/>
        <v/>
      </c>
      <c r="T35" s="34"/>
      <c r="U35" s="34"/>
      <c r="V35" s="65"/>
      <c r="W35" s="64" t="str">
        <f t="shared" si="38"/>
        <v/>
      </c>
      <c r="X35" s="34"/>
      <c r="Y35" s="34"/>
      <c r="Z35" s="65"/>
      <c r="AA35" s="64" t="str">
        <f t="shared" si="39"/>
        <v/>
      </c>
      <c r="AB35" s="34"/>
      <c r="AC35" s="34"/>
      <c r="AD35" s="65"/>
      <c r="AE35" s="66">
        <f t="shared" si="40"/>
        <v>0</v>
      </c>
      <c r="AF35" s="67">
        <f t="shared" si="9"/>
        <v>0</v>
      </c>
      <c r="AG35" s="68">
        <f t="shared" si="41"/>
        <v>0</v>
      </c>
      <c r="AH35" s="76"/>
      <c r="AI35" s="70">
        <f> ( IF(ISNUMBER(G35), VLOOKUP(G35/$AH35,F!$A1:$B101,2,1)*G35*$H35*$I35,0)+IF(ISNUMBER(K35), VLOOKUP(K35/$AH35,F!$A1:$B101,2,1)*K35*$L35*$M35,0)+IF(ISNUMBER(O35), VLOOKUP(O35/$AH35,F!$A1:$B101,2,1)*O35*$P35*$Q35,0)+IF(ISNUMBER(S35), VLOOKUP(S35/$AH35,F!$A1:$B101,2,1)*S35*$T35*$U35,0)+IF(ISNUMBER(W35), VLOOKUP(W35/$AH35,F!$A1:$B101,2,1)*W35*$X35*$Y35,0)+IF(ISNUMBER(AA35), VLOOKUP(AA35/$AH35,F!$A1:$B101,2,1)*AA35*$AB35*$AC35,0))*IF(ISNUMBER(F35),F35,1)*IF(ISNUMBER(E35),E35,1)</f>
        <v>0</v>
      </c>
      <c r="AJ35" s="71">
        <f t="shared" si="42"/>
        <v>0</v>
      </c>
      <c r="AK35" s="72">
        <f t="array" ref="AK35">IFERROR(I35*INDEX(F!$P$21:$AB$33, MATCH(G35/$AH35, F!$O$21:$O$33,1), MATCH(E35, F!$P$20:$AB$20,1)), 0 ) +IFERROR( M35*INDEX(F!$P$21:$AB$33, MATCH(K35/$AH35, F!$O$21:$O$33,1), MATCH(E35, F!$P$20:$AB$20,1)),0) +  IFERROR( Q35*INDEX(F!$P$21:$AB$33, MATCH(O35/$AH35, F!$O$21:$O$33,1), MATCH(E35, F!$P$20:$AB$20,1)), 0) + IFERROR( U35*INDEX(F!$P$21:$AB$33, MATCH(S35/$AH35, F!$O$21:$O$33,1), MATCH(E35, F!$P$20:$AB$20,1)),0)  + IFERROR(Y35*INDEX(F!$P$21:$AB$33, MATCH(W35/$AH35, F!$O$21:$O$33,1), MATCH(E35, F!$P$20:$AB$20,1)),0)  + IFERROR( AC35*INDEX(F!$P$21:$AB$33, MATCH(AA35/$AH35, F!$O$21:$O$33,1), MATCH(E35, F!$P$20:$AB$20,1)),)</f>
        <v>0</v>
      </c>
      <c r="AL35" s="59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ht="15.75" hidden="1" customHeight="1">
      <c r="A36" s="59"/>
      <c r="B36" s="45"/>
      <c r="C36" s="46"/>
      <c r="D36" s="197"/>
      <c r="E36" s="48"/>
      <c r="F36" s="83"/>
      <c r="G36" s="50" t="str">
        <f t="shared" si="34"/>
        <v/>
      </c>
      <c r="H36" s="51"/>
      <c r="I36" s="51"/>
      <c r="J36" s="52"/>
      <c r="K36" s="50" t="str">
        <f t="shared" si="35"/>
        <v/>
      </c>
      <c r="L36" s="51"/>
      <c r="M36" s="51"/>
      <c r="N36" s="52"/>
      <c r="O36" s="50" t="str">
        <f t="shared" si="36"/>
        <v/>
      </c>
      <c r="P36" s="51"/>
      <c r="Q36" s="51"/>
      <c r="R36" s="52"/>
      <c r="S36" s="50" t="str">
        <f t="shared" si="37"/>
        <v/>
      </c>
      <c r="T36" s="51"/>
      <c r="U36" s="51"/>
      <c r="V36" s="52"/>
      <c r="W36" s="50" t="str">
        <f t="shared" si="38"/>
        <v/>
      </c>
      <c r="X36" s="51"/>
      <c r="Y36" s="51"/>
      <c r="Z36" s="52"/>
      <c r="AA36" s="50" t="str">
        <f t="shared" si="39"/>
        <v/>
      </c>
      <c r="AB36" s="51"/>
      <c r="AC36" s="51"/>
      <c r="AD36" s="52"/>
      <c r="AE36" s="53">
        <f t="shared" si="40"/>
        <v>0</v>
      </c>
      <c r="AF36" s="54">
        <f t="shared" si="9"/>
        <v>0</v>
      </c>
      <c r="AG36" s="75">
        <f t="shared" si="41"/>
        <v>0</v>
      </c>
      <c r="AH36" s="76"/>
      <c r="AI36" s="77">
        <f> ( IF(ISNUMBER(G36), VLOOKUP(G36/$AH36,F!$A1:$B101,2,1)*G36*$H36*$I36,0)+IF(ISNUMBER(K36), VLOOKUP(K36/$AH36,F!$A1:$B101,2,1)*K36*$L36*$M36,0)+IF(ISNUMBER(O36), VLOOKUP(O36/$AH36,F!$A1:$B101,2,1)*O36*$P36*$Q36,0)+IF(ISNUMBER(S36), VLOOKUP(S36/$AH36,F!$A1:$B101,2,1)*S36*$T36*$U36,0)+IF(ISNUMBER(W36), VLOOKUP(W36/$AH36,F!$A1:$B101,2,1)*W36*$X36*$Y36,0)+IF(ISNUMBER(AA36), VLOOKUP(AA36/$AH36,F!$A1:$B101,2,1)*AA36*$AB36*$AC36,0))*IF(ISNUMBER(F36),F36,1)*IF(ISNUMBER(E36),E36,1)</f>
        <v>0</v>
      </c>
      <c r="AJ36" s="86">
        <f t="shared" si="42"/>
        <v>0</v>
      </c>
      <c r="AK36" s="58">
        <f t="array" ref="AK36">IFERROR(I36*INDEX(F!$P$21:$AB$33, MATCH(G36/$AH36, F!$O$21:$O$33,1), MATCH(E36, F!$P$20:$AB$20,1)), 0 ) +IFERROR( M36*INDEX(F!$P$21:$AB$33, MATCH(K36/$AH36, F!$O$21:$O$33,1), MATCH(E36, F!$P$20:$AB$20,1)),0) +  IFERROR( Q36*INDEX(F!$P$21:$AB$33, MATCH(O36/$AH36, F!$O$21:$O$33,1), MATCH(E36, F!$P$20:$AB$20,1)), 0) + IFERROR( U36*INDEX(F!$P$21:$AB$33, MATCH(S36/$AH36, F!$O$21:$O$33,1), MATCH(E36, F!$P$20:$AB$20,1)),0)  + IFERROR(Y36*INDEX(F!$P$21:$AB$33, MATCH(W36/$AH36, F!$O$21:$O$33,1), MATCH(E36, F!$P$20:$AB$20,1)),0)  + IFERROR( AC36*INDEX(F!$P$21:$AB$33, MATCH(AA36/$AH36, F!$O$21:$O$33,1), MATCH(E36, F!$P$20:$AB$20,1)),)</f>
        <v>0</v>
      </c>
      <c r="AL36" s="59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ht="15.75" hidden="1" customHeight="1">
      <c r="A37" s="59"/>
      <c r="B37" s="60"/>
      <c r="C37" s="61"/>
      <c r="D37" s="198"/>
      <c r="E37" s="48"/>
      <c r="F37" s="79"/>
      <c r="G37" s="64" t="str">
        <f t="shared" si="34"/>
        <v/>
      </c>
      <c r="H37" s="34"/>
      <c r="I37" s="34"/>
      <c r="J37" s="65"/>
      <c r="K37" s="64" t="str">
        <f t="shared" si="35"/>
        <v/>
      </c>
      <c r="L37" s="34"/>
      <c r="M37" s="34"/>
      <c r="N37" s="65"/>
      <c r="O37" s="64" t="str">
        <f t="shared" si="36"/>
        <v/>
      </c>
      <c r="P37" s="34"/>
      <c r="Q37" s="34"/>
      <c r="R37" s="65"/>
      <c r="S37" s="64" t="str">
        <f t="shared" si="37"/>
        <v/>
      </c>
      <c r="T37" s="34"/>
      <c r="U37" s="34"/>
      <c r="V37" s="65"/>
      <c r="W37" s="64" t="str">
        <f t="shared" si="38"/>
        <v/>
      </c>
      <c r="X37" s="34"/>
      <c r="Y37" s="34"/>
      <c r="Z37" s="65"/>
      <c r="AA37" s="64" t="str">
        <f t="shared" si="39"/>
        <v/>
      </c>
      <c r="AB37" s="34"/>
      <c r="AC37" s="34"/>
      <c r="AD37" s="65"/>
      <c r="AE37" s="66">
        <f t="shared" si="40"/>
        <v>0</v>
      </c>
      <c r="AF37" s="67">
        <f t="shared" si="9"/>
        <v>0</v>
      </c>
      <c r="AG37" s="68">
        <f t="shared" si="41"/>
        <v>0</v>
      </c>
      <c r="AH37" s="76"/>
      <c r="AI37" s="90">
        <f> ( IF(ISNUMBER(G37), VLOOKUP(G37/$AH37,F!$A1:$B101,2,1)*G37*$H37*$I37,0)+IF(ISNUMBER(K37), VLOOKUP(K37/$AH37,F!$A1:$B101,2,1)*K37*$L37*$M37,0)+IF(ISNUMBER(O37), VLOOKUP(O37/$AH37,F!$A1:$B101,2,1)*O37*$P37*$Q37,0)+IF(ISNUMBER(S37), VLOOKUP(S37/$AH37,F!$A1:$B101,2,1)*S37*$T37*$U37,0)+IF(ISNUMBER(W37), VLOOKUP(W37/$AH37,F!$A1:$B101,2,1)*W37*$X37*$Y37,0)+IF(ISNUMBER(AA37), VLOOKUP(AA37/$AH37,F!$A1:$B101,2,1)*AA37*$AB37*$AC37,0))*IF(ISNUMBER(F37),F37,1)*IF(ISNUMBER(E37),E37,1)</f>
        <v>0</v>
      </c>
      <c r="AJ37" s="34">
        <f t="shared" si="42"/>
        <v>0</v>
      </c>
      <c r="AK37" s="91">
        <f t="array" ref="AK37">IFERROR(I37*INDEX(F!$P$21:$AB$33, MATCH(G37/$AH37, F!$O$21:$O$33,1), MATCH(E37, F!$P$20:$AB$20,1)), 0 ) +IFERROR( M37*INDEX(F!$P$21:$AB$33, MATCH(K37/$AH37, F!$O$21:$O$33,1), MATCH(E37, F!$P$20:$AB$20,1)),0) +  IFERROR( Q37*INDEX(F!$P$21:$AB$33, MATCH(O37/$AH37, F!$O$21:$O$33,1), MATCH(E37, F!$P$20:$AB$20,1)), 0) + IFERROR( U37*INDEX(F!$P$21:$AB$33, MATCH(S37/$AH37, F!$O$21:$O$33,1), MATCH(E37, F!$P$20:$AB$20,1)),0)  + IFERROR(Y37*INDEX(F!$P$21:$AB$33, MATCH(W37/$AH37, F!$O$21:$O$33,1), MATCH(E37, F!$P$20:$AB$20,1)),0)  + IFERROR( AC37*INDEX(F!$P$21:$AB$33, MATCH(AA37/$AH37, F!$O$21:$O$33,1), MATCH(E37, F!$P$20:$AB$20,1)),)</f>
        <v>0</v>
      </c>
      <c r="AL37" s="59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ht="15.75" hidden="1" customHeight="1">
      <c r="A38" s="59"/>
      <c r="B38" s="45"/>
      <c r="C38" s="46"/>
      <c r="D38" s="92"/>
      <c r="E38" s="48"/>
      <c r="F38" s="74"/>
      <c r="G38" s="50" t="str">
        <f t="shared" si="34"/>
        <v/>
      </c>
      <c r="H38" s="51"/>
      <c r="I38" s="51"/>
      <c r="J38" s="52"/>
      <c r="K38" s="50" t="str">
        <f t="shared" si="35"/>
        <v/>
      </c>
      <c r="L38" s="51"/>
      <c r="M38" s="51"/>
      <c r="N38" s="52"/>
      <c r="O38" s="50" t="str">
        <f t="shared" si="36"/>
        <v/>
      </c>
      <c r="P38" s="51"/>
      <c r="Q38" s="51"/>
      <c r="R38" s="52"/>
      <c r="S38" s="50" t="str">
        <f t="shared" si="37"/>
        <v/>
      </c>
      <c r="T38" s="51"/>
      <c r="U38" s="51"/>
      <c r="V38" s="52"/>
      <c r="W38" s="50" t="str">
        <f t="shared" si="38"/>
        <v/>
      </c>
      <c r="X38" s="51"/>
      <c r="Y38" s="51"/>
      <c r="Z38" s="52"/>
      <c r="AA38" s="50" t="str">
        <f t="shared" si="39"/>
        <v/>
      </c>
      <c r="AB38" s="51"/>
      <c r="AC38" s="51"/>
      <c r="AD38" s="52"/>
      <c r="AE38" s="53">
        <f t="shared" si="40"/>
        <v>0</v>
      </c>
      <c r="AF38" s="93">
        <f t="shared" si="9"/>
        <v>0</v>
      </c>
      <c r="AG38" s="94">
        <f t="shared" si="41"/>
        <v>0</v>
      </c>
      <c r="AH38" s="76"/>
      <c r="AI38" s="95">
        <f> ( IF(ISNUMBER(G38), VLOOKUP(G38/$AH38,F!$A1:$B101,2,1)*G38*$H38*$I38,0)+IF(ISNUMBER(K38), VLOOKUP(K38/$AH38,F!$A1:$B101,2,1)*K38*$L38*$M38,0)+IF(ISNUMBER(O38), VLOOKUP(O38/$AH38,F!$A1:$B101,2,1)*O38*$P38*$Q38,0)+IF(ISNUMBER(S38), VLOOKUP(S38/$AH38,F!$A1:$B101,2,1)*S38*$T38*$U38,0)+IF(ISNUMBER(W38), VLOOKUP(W38/$AH38,F!$A1:$B101,2,1)*W38*$X38*$Y38,0)+IF(ISNUMBER(AA38), VLOOKUP(AA38/$AH38,F!$A1:$B101,2,1)*AA38*$AB38*$AC38,0))*IF(ISNUMBER(F38),F38,1)*IF(ISNUMBER(E38),E38,1)</f>
        <v>0</v>
      </c>
      <c r="AJ38" s="96">
        <f t="shared" si="42"/>
        <v>0</v>
      </c>
      <c r="AK38" s="97">
        <f t="array" ref="AK38">IFERROR(I38*INDEX(F!$P$21:$AB$33, MATCH(G38/$AH38, F!$O$21:$O$33,1), MATCH(E38, F!$P$20:$AB$20,1)), 0 ) +IFERROR( M38*INDEX(F!$P$21:$AB$33, MATCH(K38/$AH38, F!$O$21:$O$33,1), MATCH(E38, F!$P$20:$AB$20,1)),0) +  IFERROR( Q38*INDEX(F!$P$21:$AB$33, MATCH(O38/$AH38, F!$O$21:$O$33,1), MATCH(E38, F!$P$20:$AB$20,1)), 0) + IFERROR( U38*INDEX(F!$P$21:$AB$33, MATCH(S38/$AH38, F!$O$21:$O$33,1), MATCH(E38, F!$P$20:$AB$20,1)),0)  + IFERROR(Y38*INDEX(F!$P$21:$AB$33, MATCH(W38/$AH38, F!$O$21:$O$33,1), MATCH(E38, F!$P$20:$AB$20,1)),0)  + IFERROR( AC38*INDEX(F!$P$21:$AB$33, MATCH(AA38/$AH38, F!$O$21:$O$33,1), MATCH(E38, F!$P$20:$AB$20,1)),)</f>
        <v>0</v>
      </c>
      <c r="AL38" s="59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ht="15.75" hidden="1" customHeight="1">
      <c r="A39" s="98"/>
      <c r="B39" s="99"/>
      <c r="C39" s="100"/>
      <c r="D39" s="101"/>
      <c r="E39" s="102">
        <f>ROUND(IFERROR(SUMPRODUCT(AJ31:AJ38,E31:E38)/AJ39,0),3)</f>
        <v>0</v>
      </c>
      <c r="F39" s="199"/>
      <c r="G39" s="104"/>
      <c r="H39" s="105"/>
      <c r="I39" s="105"/>
      <c r="J39" s="106"/>
      <c r="K39" s="104"/>
      <c r="L39" s="105"/>
      <c r="M39" s="105"/>
      <c r="N39" s="106"/>
      <c r="O39" s="104"/>
      <c r="P39" s="105"/>
      <c r="Q39" s="105"/>
      <c r="R39" s="106"/>
      <c r="S39" s="104"/>
      <c r="T39" s="105"/>
      <c r="U39" s="105"/>
      <c r="V39" s="106"/>
      <c r="W39" s="104"/>
      <c r="X39" s="105"/>
      <c r="Y39" s="105"/>
      <c r="Z39" s="106"/>
      <c r="AA39" s="104"/>
      <c r="AB39" s="105"/>
      <c r="AC39" s="105"/>
      <c r="AD39" s="106"/>
      <c r="AE39" s="107">
        <f>SUM(AE31:AE38)</f>
        <v>0</v>
      </c>
      <c r="AF39" s="108">
        <f t="shared" si="9"/>
        <v>0</v>
      </c>
      <c r="AG39" s="109">
        <f>IFERROR(  SUMPRODUCT(AG31:AG38,AJ31:AJ38)/AJ39,0)</f>
        <v>0</v>
      </c>
      <c r="AH39" s="157"/>
      <c r="AI39" s="111">
        <f t="shared" ref="AI39:AJ39" si="43">SUM(AI31:AI38)</f>
        <v>0</v>
      </c>
      <c r="AJ39" s="111">
        <f t="shared" si="43"/>
        <v>0</v>
      </c>
      <c r="AK39" s="112">
        <f>IF(SUM(AK31:AK38)=0,TIME(,0,),TIME(,SUM(AK31:AK38)+F!$V$37,))</f>
        <v>0</v>
      </c>
      <c r="AL39" s="98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ht="15.75" hidden="1" customHeight="1">
      <c r="A40" s="113">
        <f>A41</f>
        <v>43786</v>
      </c>
      <c r="B40" s="114"/>
      <c r="C40" s="115"/>
      <c r="D40" s="116"/>
      <c r="E40" s="29"/>
      <c r="F40" s="117"/>
      <c r="G40" s="118" t="str">
        <f t="shared" ref="G40:G47" si="44">IF(J40&lt;&gt;0, IFERROR(IF( $F40=2,  MROUND($AH40*J40,1),    IF( OR($F40="",$F40=1),   MROUND($AH40*J40,2.5),  MROUND($AH40*J40, 0.1))), "" ), "")</f>
        <v/>
      </c>
      <c r="H40" s="119"/>
      <c r="I40" s="119"/>
      <c r="J40" s="120"/>
      <c r="K40" s="118" t="str">
        <f t="shared" ref="K40:K47" si="45">IF(N40&lt;&gt;0, IFERROR(IF( $F40=2,  MROUND($AH40*N40,1),    IF( OR($F40="",$F40=1),   MROUND($AH40*N40,2.5),  MROUND($AH40*N40, 0.1))), "" ), "")</f>
        <v/>
      </c>
      <c r="L40" s="119"/>
      <c r="M40" s="119"/>
      <c r="N40" s="120"/>
      <c r="O40" s="118" t="str">
        <f t="shared" ref="O40:O47" si="46">IF(R40&lt;&gt;0, IFERROR(IF( $F40=2,  MROUND($AH40*R40,1),    IF( OR($F40="",$F40=1),   MROUND($AH40*R40,2.5),  MROUND($AH40*R40, 0.1))), "" ), "")</f>
        <v/>
      </c>
      <c r="P40" s="119"/>
      <c r="Q40" s="119"/>
      <c r="R40" s="120"/>
      <c r="S40" s="118" t="str">
        <f t="shared" ref="S40:S47" si="47">IF(V40&lt;&gt;0, IFERROR(IF( $F40=2,  MROUND($AH40*V40,1),    IF( OR($F40="",$F40=1),   MROUND($AH40*V40,2.5),  MROUND($AH40*V40, 0.1))), "" ), "")</f>
        <v/>
      </c>
      <c r="T40" s="119"/>
      <c r="U40" s="119"/>
      <c r="V40" s="120"/>
      <c r="W40" s="118" t="str">
        <f t="shared" ref="W40:W47" si="48">IF(Z40&lt;&gt;0, IFERROR(IF( $F40=2,  MROUND($AH40*Z40,1),    IF( OR($F40="",$F40=1),   MROUND($AH40*Z40,2.5),  MROUND($AH40*Z40, 0.1))), "" ), "")</f>
        <v/>
      </c>
      <c r="X40" s="119"/>
      <c r="Y40" s="119"/>
      <c r="Z40" s="120"/>
      <c r="AA40" s="118" t="str">
        <f t="shared" ref="AA40:AA47" si="49">IF(AD40&lt;&gt;0, IFERROR(IF( $F40=2,  MROUND($AH40*AD40,1),    IF( OR($F40="",$F40=1),   MROUND($AH40*AD40,2.5),  MROUND($AH40*AD40, 0.1))), "" ), "")</f>
        <v/>
      </c>
      <c r="AB40" s="119"/>
      <c r="AC40" s="119"/>
      <c r="AD40" s="120"/>
      <c r="AE40" s="121">
        <f t="shared" ref="AE40:AE47" si="50">(IF(ISNUMBER(G40),G40,0)*H40*I40+IF(ISNUMBER(K40),K40,1)*L40*M40+IF(ISNUMBER(O40),O40,1)*P40*Q40+IF(ISNUMBER(S40),S40,1)*T40*U40+IF(ISNUMBER(W40),W40,1)*X40*Y40+IF(ISNUMBER(AA40),AA40,1)*AB40*AC40)*IF(ISNUMBER(F40),F40,1)</f>
        <v>0</v>
      </c>
      <c r="AF40" s="122">
        <f t="shared" si="9"/>
        <v>0</v>
      </c>
      <c r="AG40" s="200">
        <f t="shared" ref="AG40:AG47" si="51">IFERROR((AF40/(AH40*IF(ISNUMBER(F40),F40,1))),0)</f>
        <v>0</v>
      </c>
      <c r="AH40" s="169"/>
      <c r="AI40" s="122">
        <f> ( IF(ISNUMBER(G40), VLOOKUP(G40/$AH40,F!$A1:$B101,2,1)*G40*$H40*$I40,0)+IF(ISNUMBER(K40), VLOOKUP(K40/$AH40,F!$A1:$B101,2,1)*K40*$L40*$M40,0)+IF(ISNUMBER(O40), VLOOKUP(O40/$AH40,F!$A1:$B101,2,1)*O40*$P40*$Q40,0)+IF(ISNUMBER(S40), VLOOKUP(S40/$AH40,F!$A1:$B101,2,1)*S40*$T40*$U40,0)+IF(ISNUMBER(W40), VLOOKUP(W40/$AH40,F!$A1:$B101,2,1)*W40*$X40*$Y40,0)+IF(ISNUMBER(AA40), VLOOKUP(AA40/$AH40,F!$A1:$B101,2,1)*AA40*$AB40*$AC40,0))*IF(ISNUMBER(F40),F40,1)*IF(ISNUMBER(E40),E40,1)</f>
        <v>0</v>
      </c>
      <c r="AJ40" s="119">
        <f t="shared" ref="AJ40:AJ47" si="52">H40*I40+L40*M40+P40*Q40+T40*U40+X40*Y40+AB40*AC40</f>
        <v>0</v>
      </c>
      <c r="AK40" s="125">
        <f t="array" ref="AK40">IFERROR(I40*INDEX(F!$P$21:$AB$33, MATCH(G40/$AH40, F!$O$21:$O$33,1), MATCH(E40, F!$P$20:$AB$20,1)), 0 ) +IFERROR( M40*INDEX(F!$P$21:$AB$33, MATCH(K40/$AH40, F!$O$21:$O$33,1), MATCH(E40, F!$P$20:$AB$20,1)),0) +  IFERROR( Q40*INDEX(F!$P$21:$AB$33, MATCH(O40/$AH40, F!$O$21:$O$33,1), MATCH(E40, F!$P$20:$AB$20,1)), 0) + IFERROR( U40*INDEX(F!$P$21:$AB$33, MATCH(S40/$AH40, F!$O$21:$O$33,1), MATCH(E40, F!$P$20:$AB$20,1)),0)  + IFERROR(Y40*INDEX(F!$P$21:$AB$33, MATCH(W40/$AH40, F!$O$21:$O$33,1), MATCH(E40, F!$P$20:$AB$20,1)),0)  + IFERROR( AC40*INDEX(F!$P$21:$AB$33, MATCH(AA40/$AH40, F!$O$21:$O$33,1), MATCH(E40, F!$P$20:$AB$20,1)),)</f>
        <v>0</v>
      </c>
      <c r="AL40" s="42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ht="15.0" hidden="1" customHeight="1">
      <c r="A41" s="44">
        <f>A32+1</f>
        <v>43786</v>
      </c>
      <c r="B41" s="126"/>
      <c r="C41" s="127"/>
      <c r="D41" s="128"/>
      <c r="E41" s="48"/>
      <c r="F41" s="129"/>
      <c r="G41" s="130" t="str">
        <f t="shared" si="44"/>
        <v/>
      </c>
      <c r="H41" s="34"/>
      <c r="I41" s="34"/>
      <c r="J41" s="65"/>
      <c r="K41" s="130" t="str">
        <f t="shared" si="45"/>
        <v/>
      </c>
      <c r="L41" s="34"/>
      <c r="M41" s="34"/>
      <c r="N41" s="65"/>
      <c r="O41" s="130" t="str">
        <f t="shared" si="46"/>
        <v/>
      </c>
      <c r="P41" s="34"/>
      <c r="Q41" s="34"/>
      <c r="R41" s="65"/>
      <c r="S41" s="130" t="str">
        <f t="shared" si="47"/>
        <v/>
      </c>
      <c r="T41" s="34"/>
      <c r="U41" s="34"/>
      <c r="V41" s="65"/>
      <c r="W41" s="130" t="str">
        <f t="shared" si="48"/>
        <v/>
      </c>
      <c r="X41" s="34"/>
      <c r="Y41" s="34"/>
      <c r="Z41" s="65"/>
      <c r="AA41" s="130" t="str">
        <f t="shared" si="49"/>
        <v/>
      </c>
      <c r="AB41" s="34"/>
      <c r="AC41" s="34"/>
      <c r="AD41" s="65"/>
      <c r="AE41" s="131">
        <f t="shared" si="50"/>
        <v>0</v>
      </c>
      <c r="AF41" s="132">
        <f t="shared" si="9"/>
        <v>0</v>
      </c>
      <c r="AG41" s="133">
        <f t="shared" si="51"/>
        <v>0</v>
      </c>
      <c r="AH41" s="76"/>
      <c r="AI41" s="132">
        <f> ( IF(ISNUMBER(G41), VLOOKUP(G41/$AH41,F!$A1:$B101,2,1)*G41*$H41*$I41,0)+IF(ISNUMBER(K41), VLOOKUP(K41/$AH41,F!$A1:$B101,2,1)*K41*$L41*$M41,0)+IF(ISNUMBER(O41), VLOOKUP(O41/$AH41,F!$A1:$B101,2,1)*O41*$P41*$Q41,0)+IF(ISNUMBER(S41), VLOOKUP(S41/$AH41,F!$A1:$B101,2,1)*S41*$T41*$U41,0)+IF(ISNUMBER(W41), VLOOKUP(W41/$AH41,F!$A1:$B101,2,1)*W41*$X41*$Y41,0)+IF(ISNUMBER(AA41), VLOOKUP(AA41/$AH41,F!$A1:$B101,2,1)*AA41*$AB41*$AC41,0))*IF(ISNUMBER(F41),F41,1)*IF(ISNUMBER(E41),E41,1)</f>
        <v>0</v>
      </c>
      <c r="AJ41" s="34">
        <f t="shared" si="52"/>
        <v>0</v>
      </c>
      <c r="AK41" s="134">
        <f t="array" ref="AK41">IFERROR(I41*INDEX(F!$P$21:$AB$33, MATCH(G41/$AH41, F!$O$21:$O$33,1), MATCH(E41, F!$P$20:$AB$20,1)), 0 ) +IFERROR( M41*INDEX(F!$P$21:$AB$33, MATCH(K41/$AH41, F!$O$21:$O$33,1), MATCH(E41, F!$P$20:$AB$20,1)),0) +  IFERROR( Q41*INDEX(F!$P$21:$AB$33, MATCH(O41/$AH41, F!$O$21:$O$33,1), MATCH(E41, F!$P$20:$AB$20,1)), 0) + IFERROR( U41*INDEX(F!$P$21:$AB$33, MATCH(S41/$AH41, F!$O$21:$O$33,1), MATCH(E41, F!$P$20:$AB$20,1)),0)  + IFERROR(Y41*INDEX(F!$P$21:$AB$33, MATCH(W41/$AH41, F!$O$21:$O$33,1), MATCH(E41, F!$P$20:$AB$20,1)),0)  + IFERROR( AC41*INDEX(F!$P$21:$AB$33, MATCH(AA41/$AH41, F!$O$21:$O$33,1), MATCH(E41, F!$P$20:$AB$20,1)),)</f>
        <v>0</v>
      </c>
      <c r="AL41" s="59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ht="15.75" hidden="1" customHeight="1">
      <c r="A42" s="59"/>
      <c r="B42" s="135"/>
      <c r="C42" s="136"/>
      <c r="D42" s="137"/>
      <c r="E42" s="48"/>
      <c r="F42" s="138"/>
      <c r="G42" s="139" t="str">
        <f t="shared" si="44"/>
        <v/>
      </c>
      <c r="H42" s="140"/>
      <c r="I42" s="140"/>
      <c r="J42" s="141"/>
      <c r="K42" s="139" t="str">
        <f t="shared" si="45"/>
        <v/>
      </c>
      <c r="L42" s="140"/>
      <c r="M42" s="140"/>
      <c r="N42" s="141"/>
      <c r="O42" s="139" t="str">
        <f t="shared" si="46"/>
        <v/>
      </c>
      <c r="P42" s="140"/>
      <c r="Q42" s="140"/>
      <c r="R42" s="141"/>
      <c r="S42" s="139" t="str">
        <f t="shared" si="47"/>
        <v/>
      </c>
      <c r="T42" s="140"/>
      <c r="U42" s="140"/>
      <c r="V42" s="141"/>
      <c r="W42" s="139" t="str">
        <f t="shared" si="48"/>
        <v/>
      </c>
      <c r="X42" s="140"/>
      <c r="Y42" s="140"/>
      <c r="Z42" s="141"/>
      <c r="AA42" s="139" t="str">
        <f t="shared" si="49"/>
        <v/>
      </c>
      <c r="AB42" s="140"/>
      <c r="AC42" s="140"/>
      <c r="AD42" s="141"/>
      <c r="AE42" s="142">
        <f t="shared" si="50"/>
        <v>0</v>
      </c>
      <c r="AF42" s="143">
        <f t="shared" si="9"/>
        <v>0</v>
      </c>
      <c r="AG42" s="144">
        <f t="shared" si="51"/>
        <v>0</v>
      </c>
      <c r="AH42" s="76"/>
      <c r="AI42" s="143">
        <f> ( IF(ISNUMBER(G42), VLOOKUP(G42/$AH42,F!$A1:$B101,2,1)*G42*$H42*$I42,0)+IF(ISNUMBER(K42), VLOOKUP(K42/$AH42,F!$A1:$B101,2,1)*K42*$L42*$M42,0)+IF(ISNUMBER(O42), VLOOKUP(O42/$AH42,F!$A1:$B101,2,1)*O42*$P42*$Q42,0)+IF(ISNUMBER(S42), VLOOKUP(S42/$AH42,F!$A1:$B101,2,1)*S42*$T42*$U42,0)+IF(ISNUMBER(W42), VLOOKUP(W42/$AH42,F!$A1:$B101,2,1)*W42*$X42*$Y42,0)+IF(ISNUMBER(AA42), VLOOKUP(AA42/$AH42,F!$A1:$B101,2,1)*AA42*$AB42*$AC42,0))*IF(ISNUMBER(F42),F42,1)*IF(ISNUMBER(E42),E42,1)</f>
        <v>0</v>
      </c>
      <c r="AJ42" s="140">
        <f t="shared" si="52"/>
        <v>0</v>
      </c>
      <c r="AK42" s="145">
        <f t="array" ref="AK42">IFERROR(I42*INDEX(F!$P$21:$AB$33, MATCH(G42/$AH42, F!$O$21:$O$33,1), MATCH(E42, F!$P$20:$AB$20,1)), 0 ) +IFERROR( M42*INDEX(F!$P$21:$AB$33, MATCH(K42/$AH42, F!$O$21:$O$33,1), MATCH(E42, F!$P$20:$AB$20,1)),0) +  IFERROR( Q42*INDEX(F!$P$21:$AB$33, MATCH(O42/$AH42, F!$O$21:$O$33,1), MATCH(E42, F!$P$20:$AB$20,1)), 0) + IFERROR( U42*INDEX(F!$P$21:$AB$33, MATCH(S42/$AH42, F!$O$21:$O$33,1), MATCH(E42, F!$P$20:$AB$20,1)),0)  + IFERROR(Y42*INDEX(F!$P$21:$AB$33, MATCH(W42/$AH42, F!$O$21:$O$33,1), MATCH(E42, F!$P$20:$AB$20,1)),0)  + IFERROR( AC42*INDEX(F!$P$21:$AB$33, MATCH(AA42/$AH42, F!$O$21:$O$33,1), MATCH(E42, F!$P$20:$AB$20,1)),)</f>
        <v>0</v>
      </c>
      <c r="AL42" s="59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ht="15.75" hidden="1" customHeight="1">
      <c r="A43" s="59"/>
      <c r="B43" s="126"/>
      <c r="C43" s="127"/>
      <c r="D43" s="128"/>
      <c r="E43" s="48"/>
      <c r="F43" s="129"/>
      <c r="G43" s="130" t="str">
        <f t="shared" si="44"/>
        <v/>
      </c>
      <c r="H43" s="34"/>
      <c r="I43" s="34"/>
      <c r="J43" s="65"/>
      <c r="K43" s="130" t="str">
        <f t="shared" si="45"/>
        <v/>
      </c>
      <c r="L43" s="34"/>
      <c r="M43" s="34"/>
      <c r="N43" s="65"/>
      <c r="O43" s="130" t="str">
        <f t="shared" si="46"/>
        <v/>
      </c>
      <c r="P43" s="34"/>
      <c r="Q43" s="34"/>
      <c r="R43" s="65"/>
      <c r="S43" s="130" t="str">
        <f t="shared" si="47"/>
        <v/>
      </c>
      <c r="T43" s="34"/>
      <c r="U43" s="34"/>
      <c r="V43" s="65"/>
      <c r="W43" s="130" t="str">
        <f t="shared" si="48"/>
        <v/>
      </c>
      <c r="X43" s="34"/>
      <c r="Y43" s="34"/>
      <c r="Z43" s="65"/>
      <c r="AA43" s="130" t="str">
        <f t="shared" si="49"/>
        <v/>
      </c>
      <c r="AB43" s="34"/>
      <c r="AC43" s="34"/>
      <c r="AD43" s="65"/>
      <c r="AE43" s="131">
        <f t="shared" si="50"/>
        <v>0</v>
      </c>
      <c r="AF43" s="132">
        <f t="shared" si="9"/>
        <v>0</v>
      </c>
      <c r="AG43" s="133">
        <f t="shared" si="51"/>
        <v>0</v>
      </c>
      <c r="AH43" s="76"/>
      <c r="AI43" s="132">
        <f> ( IF(ISNUMBER(G43), VLOOKUP(G43/$AH43,F!$A1:$B101,2,1)*G43*$H43*$I43,0)+IF(ISNUMBER(K43), VLOOKUP(K43/$AH43,F!$A1:$B101,2,1)*K43*$L43*$M43,0)+IF(ISNUMBER(O43), VLOOKUP(O43/$AH43,F!$A1:$B101,2,1)*O43*$P43*$Q43,0)+IF(ISNUMBER(S43), VLOOKUP(S43/$AH43,F!$A1:$B101,2,1)*S43*$T43*$U43,0)+IF(ISNUMBER(W43), VLOOKUP(W43/$AH43,F!$A1:$B101,2,1)*W43*$X43*$Y43,0)+IF(ISNUMBER(AA43), VLOOKUP(AA43/$AH43,F!$A1:$B101,2,1)*AA43*$AB43*$AC43,0))*IF(ISNUMBER(F43),F43,1)*IF(ISNUMBER(E43),E43,1)</f>
        <v>0</v>
      </c>
      <c r="AJ43" s="34">
        <f t="shared" si="52"/>
        <v>0</v>
      </c>
      <c r="AK43" s="134">
        <f t="array" ref="AK43">IFERROR(I43*INDEX(F!$P$21:$AB$33, MATCH(G43/$AH43, F!$O$21:$O$33,1), MATCH(E43, F!$P$20:$AB$20,1)), 0 ) +IFERROR( M43*INDEX(F!$P$21:$AB$33, MATCH(K43/$AH43, F!$O$21:$O$33,1), MATCH(E43, F!$P$20:$AB$20,1)),0) +  IFERROR( Q43*INDEX(F!$P$21:$AB$33, MATCH(O43/$AH43, F!$O$21:$O$33,1), MATCH(E43, F!$P$20:$AB$20,1)), 0) + IFERROR( U43*INDEX(F!$P$21:$AB$33, MATCH(S43/$AH43, F!$O$21:$O$33,1), MATCH(E43, F!$P$20:$AB$20,1)),0)  + IFERROR(Y43*INDEX(F!$P$21:$AB$33, MATCH(W43/$AH43, F!$O$21:$O$33,1), MATCH(E43, F!$P$20:$AB$20,1)),0)  + IFERROR( AC43*INDEX(F!$P$21:$AB$33, MATCH(AA43/$AH43, F!$O$21:$O$33,1), MATCH(E43, F!$P$20:$AB$20,1)),)</f>
        <v>0</v>
      </c>
      <c r="AL43" s="59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ht="15.75" hidden="1" customHeight="1">
      <c r="A44" s="59"/>
      <c r="B44" s="135"/>
      <c r="C44" s="136"/>
      <c r="D44" s="137"/>
      <c r="E44" s="48"/>
      <c r="F44" s="138"/>
      <c r="G44" s="139" t="str">
        <f t="shared" si="44"/>
        <v/>
      </c>
      <c r="H44" s="140"/>
      <c r="I44" s="140"/>
      <c r="J44" s="141"/>
      <c r="K44" s="139" t="str">
        <f t="shared" si="45"/>
        <v/>
      </c>
      <c r="L44" s="140"/>
      <c r="M44" s="140"/>
      <c r="N44" s="141"/>
      <c r="O44" s="139" t="str">
        <f t="shared" si="46"/>
        <v/>
      </c>
      <c r="P44" s="140"/>
      <c r="Q44" s="140"/>
      <c r="R44" s="141"/>
      <c r="S44" s="139" t="str">
        <f t="shared" si="47"/>
        <v/>
      </c>
      <c r="T44" s="140"/>
      <c r="U44" s="140"/>
      <c r="V44" s="141"/>
      <c r="W44" s="139" t="str">
        <f t="shared" si="48"/>
        <v/>
      </c>
      <c r="X44" s="140"/>
      <c r="Y44" s="140"/>
      <c r="Z44" s="141"/>
      <c r="AA44" s="139" t="str">
        <f t="shared" si="49"/>
        <v/>
      </c>
      <c r="AB44" s="140"/>
      <c r="AC44" s="140"/>
      <c r="AD44" s="141"/>
      <c r="AE44" s="142">
        <f t="shared" si="50"/>
        <v>0</v>
      </c>
      <c r="AF44" s="143">
        <f t="shared" si="9"/>
        <v>0</v>
      </c>
      <c r="AG44" s="144">
        <f t="shared" si="51"/>
        <v>0</v>
      </c>
      <c r="AH44" s="76"/>
      <c r="AI44" s="143">
        <f> ( IF(ISNUMBER(G44), VLOOKUP(G44/$AH44,F!$A1:$B101,2,1)*G44*$H44*$I44,0)+IF(ISNUMBER(K44), VLOOKUP(K44/$AH44,F!$A1:$B101,2,1)*K44*$L44*$M44,0)+IF(ISNUMBER(O44), VLOOKUP(O44/$AH44,F!$A1:$B101,2,1)*O44*$P44*$Q44,0)+IF(ISNUMBER(S44), VLOOKUP(S44/$AH44,F!$A1:$B101,2,1)*S44*$T44*$U44,0)+IF(ISNUMBER(W44), VLOOKUP(W44/$AH44,F!$A1:$B101,2,1)*W44*$X44*$Y44,0)+IF(ISNUMBER(AA44), VLOOKUP(AA44/$AH44,F!$A1:$B101,2,1)*AA44*$AB44*$AC44,0))*IF(ISNUMBER(F44),F44,1)*IF(ISNUMBER(E44),E44,1)</f>
        <v>0</v>
      </c>
      <c r="AJ44" s="140">
        <f t="shared" si="52"/>
        <v>0</v>
      </c>
      <c r="AK44" s="145">
        <f t="array" ref="AK44">IFERROR(I44*INDEX(F!$P$21:$AB$33, MATCH(G44/$AH44, F!$O$21:$O$33,1), MATCH(E44, F!$P$20:$AB$20,1)), 0 ) +IFERROR( M44*INDEX(F!$P$21:$AB$33, MATCH(K44/$AH44, F!$O$21:$O$33,1), MATCH(E44, F!$P$20:$AB$20,1)),0) +  IFERROR( Q44*INDEX(F!$P$21:$AB$33, MATCH(O44/$AH44, F!$O$21:$O$33,1), MATCH(E44, F!$P$20:$AB$20,1)), 0) + IFERROR( U44*INDEX(F!$P$21:$AB$33, MATCH(S44/$AH44, F!$O$21:$O$33,1), MATCH(E44, F!$P$20:$AB$20,1)),0)  + IFERROR(Y44*INDEX(F!$P$21:$AB$33, MATCH(W44/$AH44, F!$O$21:$O$33,1), MATCH(E44, F!$P$20:$AB$20,1)),0)  + IFERROR( AC44*INDEX(F!$P$21:$AB$33, MATCH(AA44/$AH44, F!$O$21:$O$33,1), MATCH(E44, F!$P$20:$AB$20,1)),)</f>
        <v>0</v>
      </c>
      <c r="AL44" s="59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ht="15.75" hidden="1" customHeight="1">
      <c r="A45" s="59"/>
      <c r="B45" s="126"/>
      <c r="C45" s="127"/>
      <c r="D45" s="128"/>
      <c r="E45" s="48"/>
      <c r="F45" s="129"/>
      <c r="G45" s="130" t="str">
        <f t="shared" si="44"/>
        <v/>
      </c>
      <c r="H45" s="34"/>
      <c r="I45" s="34"/>
      <c r="J45" s="65"/>
      <c r="K45" s="130" t="str">
        <f t="shared" si="45"/>
        <v/>
      </c>
      <c r="L45" s="34"/>
      <c r="M45" s="34"/>
      <c r="N45" s="65"/>
      <c r="O45" s="130" t="str">
        <f t="shared" si="46"/>
        <v/>
      </c>
      <c r="P45" s="34"/>
      <c r="Q45" s="34"/>
      <c r="R45" s="65"/>
      <c r="S45" s="130" t="str">
        <f t="shared" si="47"/>
        <v/>
      </c>
      <c r="T45" s="34"/>
      <c r="U45" s="34"/>
      <c r="V45" s="65"/>
      <c r="W45" s="130" t="str">
        <f t="shared" si="48"/>
        <v/>
      </c>
      <c r="X45" s="34"/>
      <c r="Y45" s="34"/>
      <c r="Z45" s="65"/>
      <c r="AA45" s="130" t="str">
        <f t="shared" si="49"/>
        <v/>
      </c>
      <c r="AB45" s="34"/>
      <c r="AC45" s="34"/>
      <c r="AD45" s="65"/>
      <c r="AE45" s="131">
        <f t="shared" si="50"/>
        <v>0</v>
      </c>
      <c r="AF45" s="132">
        <f t="shared" si="9"/>
        <v>0</v>
      </c>
      <c r="AG45" s="133">
        <f t="shared" si="51"/>
        <v>0</v>
      </c>
      <c r="AH45" s="76"/>
      <c r="AI45" s="132">
        <f> ( IF(ISNUMBER(G45), VLOOKUP(G45/$AH45,F!$A1:$B101,2,1)*G45*$H45*$I45,0)+IF(ISNUMBER(K45), VLOOKUP(K45/$AH45,F!$A1:$B101,2,1)*K45*$L45*$M45,0)+IF(ISNUMBER(O45), VLOOKUP(O45/$AH45,F!$A1:$B101,2,1)*O45*$P45*$Q45,0)+IF(ISNUMBER(S45), VLOOKUP(S45/$AH45,F!$A1:$B101,2,1)*S45*$T45*$U45,0)+IF(ISNUMBER(W45), VLOOKUP(W45/$AH45,F!$A1:$B101,2,1)*W45*$X45*$Y45,0)+IF(ISNUMBER(AA45), VLOOKUP(AA45/$AH45,F!$A1:$B101,2,1)*AA45*$AB45*$AC45,0))*IF(ISNUMBER(F45),F45,1)*IF(ISNUMBER(E45),E45,1)</f>
        <v>0</v>
      </c>
      <c r="AJ45" s="34">
        <f t="shared" si="52"/>
        <v>0</v>
      </c>
      <c r="AK45" s="134">
        <f t="array" ref="AK45">IFERROR(I45*INDEX(F!$P$21:$AB$33, MATCH(G45/$AH45, F!$O$21:$O$33,1), MATCH(E45, F!$P$20:$AB$20,1)), 0 ) +IFERROR( M45*INDEX(F!$P$21:$AB$33, MATCH(K45/$AH45, F!$O$21:$O$33,1), MATCH(E45, F!$P$20:$AB$20,1)),0) +  IFERROR( Q45*INDEX(F!$P$21:$AB$33, MATCH(O45/$AH45, F!$O$21:$O$33,1), MATCH(E45, F!$P$20:$AB$20,1)), 0) + IFERROR( U45*INDEX(F!$P$21:$AB$33, MATCH(S45/$AH45, F!$O$21:$O$33,1), MATCH(E45, F!$P$20:$AB$20,1)),0)  + IFERROR(Y45*INDEX(F!$P$21:$AB$33, MATCH(W45/$AH45, F!$O$21:$O$33,1), MATCH(E45, F!$P$20:$AB$20,1)),0)  + IFERROR( AC45*INDEX(F!$P$21:$AB$33, MATCH(AA45/$AH45, F!$O$21:$O$33,1), MATCH(E45, F!$P$20:$AB$20,1)),)</f>
        <v>0</v>
      </c>
      <c r="AL45" s="59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ht="15.75" hidden="1" customHeight="1">
      <c r="A46" s="59"/>
      <c r="B46" s="135"/>
      <c r="C46" s="136"/>
      <c r="D46" s="137"/>
      <c r="E46" s="48"/>
      <c r="F46" s="138"/>
      <c r="G46" s="139" t="str">
        <f t="shared" si="44"/>
        <v/>
      </c>
      <c r="H46" s="140"/>
      <c r="I46" s="140"/>
      <c r="J46" s="141"/>
      <c r="K46" s="139" t="str">
        <f t="shared" si="45"/>
        <v/>
      </c>
      <c r="L46" s="140"/>
      <c r="M46" s="140"/>
      <c r="N46" s="141"/>
      <c r="O46" s="139" t="str">
        <f t="shared" si="46"/>
        <v/>
      </c>
      <c r="P46" s="140"/>
      <c r="Q46" s="140"/>
      <c r="R46" s="141"/>
      <c r="S46" s="139" t="str">
        <f t="shared" si="47"/>
        <v/>
      </c>
      <c r="T46" s="140"/>
      <c r="U46" s="140"/>
      <c r="V46" s="141"/>
      <c r="W46" s="139" t="str">
        <f t="shared" si="48"/>
        <v/>
      </c>
      <c r="X46" s="140"/>
      <c r="Y46" s="140"/>
      <c r="Z46" s="141"/>
      <c r="AA46" s="139" t="str">
        <f t="shared" si="49"/>
        <v/>
      </c>
      <c r="AB46" s="140"/>
      <c r="AC46" s="140"/>
      <c r="AD46" s="141"/>
      <c r="AE46" s="142">
        <f t="shared" si="50"/>
        <v>0</v>
      </c>
      <c r="AF46" s="143">
        <f t="shared" si="9"/>
        <v>0</v>
      </c>
      <c r="AG46" s="144">
        <f t="shared" si="51"/>
        <v>0</v>
      </c>
      <c r="AH46" s="76"/>
      <c r="AI46" s="143">
        <f> ( IF(ISNUMBER(G46), VLOOKUP(G46/$AH46,F!$A1:$B101,2,1)*G46*$H46*$I46,0)+IF(ISNUMBER(K46), VLOOKUP(K46/$AH46,F!$A1:$B101,2,1)*K46*$L46*$M46,0)+IF(ISNUMBER(O46), VLOOKUP(O46/$AH46,F!$A1:$B101,2,1)*O46*$P46*$Q46,0)+IF(ISNUMBER(S46), VLOOKUP(S46/$AH46,F!$A1:$B101,2,1)*S46*$T46*$U46,0)+IF(ISNUMBER(W46), VLOOKUP(W46/$AH46,F!$A1:$B101,2,1)*W46*$X46*$Y46,0)+IF(ISNUMBER(AA46), VLOOKUP(AA46/$AH46,F!$A1:$B101,2,1)*AA46*$AB46*$AC46,0))*IF(ISNUMBER(F46),F46,1)*IF(ISNUMBER(E46),E46,1)</f>
        <v>0</v>
      </c>
      <c r="AJ46" s="140">
        <f t="shared" si="52"/>
        <v>0</v>
      </c>
      <c r="AK46" s="145">
        <f t="array" ref="AK46">IFERROR(I46*INDEX(F!$P$21:$AB$33, MATCH(G46/$AH46, F!$O$21:$O$33,1), MATCH(E46, F!$P$20:$AB$20,1)), 0 ) +IFERROR( M46*INDEX(F!$P$21:$AB$33, MATCH(K46/$AH46, F!$O$21:$O$33,1), MATCH(E46, F!$P$20:$AB$20,1)),0) +  IFERROR( Q46*INDEX(F!$P$21:$AB$33, MATCH(O46/$AH46, F!$O$21:$O$33,1), MATCH(E46, F!$P$20:$AB$20,1)), 0) + IFERROR( U46*INDEX(F!$P$21:$AB$33, MATCH(S46/$AH46, F!$O$21:$O$33,1), MATCH(E46, F!$P$20:$AB$20,1)),0)  + IFERROR(Y46*INDEX(F!$P$21:$AB$33, MATCH(W46/$AH46, F!$O$21:$O$33,1), MATCH(E46, F!$P$20:$AB$20,1)),0)  + IFERROR( AC46*INDEX(F!$P$21:$AB$33, MATCH(AA46/$AH46, F!$O$21:$O$33,1), MATCH(E46, F!$P$20:$AB$20,1)),)</f>
        <v>0</v>
      </c>
      <c r="AL46" s="59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ht="15.75" hidden="1" customHeight="1">
      <c r="A47" s="59"/>
      <c r="B47" s="126"/>
      <c r="C47" s="127"/>
      <c r="D47" s="128"/>
      <c r="E47" s="48"/>
      <c r="F47" s="129"/>
      <c r="G47" s="130" t="str">
        <f t="shared" si="44"/>
        <v/>
      </c>
      <c r="H47" s="34"/>
      <c r="I47" s="34"/>
      <c r="J47" s="65"/>
      <c r="K47" s="130" t="str">
        <f t="shared" si="45"/>
        <v/>
      </c>
      <c r="L47" s="34"/>
      <c r="M47" s="34"/>
      <c r="N47" s="65"/>
      <c r="O47" s="130" t="str">
        <f t="shared" si="46"/>
        <v/>
      </c>
      <c r="P47" s="34"/>
      <c r="Q47" s="34"/>
      <c r="R47" s="65"/>
      <c r="S47" s="130" t="str">
        <f t="shared" si="47"/>
        <v/>
      </c>
      <c r="T47" s="34"/>
      <c r="U47" s="34"/>
      <c r="V47" s="65"/>
      <c r="W47" s="130" t="str">
        <f t="shared" si="48"/>
        <v/>
      </c>
      <c r="X47" s="34"/>
      <c r="Y47" s="34"/>
      <c r="Z47" s="65"/>
      <c r="AA47" s="130" t="str">
        <f t="shared" si="49"/>
        <v/>
      </c>
      <c r="AB47" s="34"/>
      <c r="AC47" s="34"/>
      <c r="AD47" s="65"/>
      <c r="AE47" s="131">
        <f t="shared" si="50"/>
        <v>0</v>
      </c>
      <c r="AF47" s="132">
        <f t="shared" si="9"/>
        <v>0</v>
      </c>
      <c r="AG47" s="133">
        <f t="shared" si="51"/>
        <v>0</v>
      </c>
      <c r="AH47" s="76"/>
      <c r="AI47" s="132">
        <f> ( IF(ISNUMBER(G47), VLOOKUP(G47/$AH47,F!$A1:$B101,2,1)*G47*$H47*$I47,0)+IF(ISNUMBER(K47), VLOOKUP(K47/$AH47,F!$A1:$B101,2,1)*K47*$L47*$M47,0)+IF(ISNUMBER(O47), VLOOKUP(O47/$AH47,F!$A1:$B101,2,1)*O47*$P47*$Q47,0)+IF(ISNUMBER(S47), VLOOKUP(S47/$AH47,F!$A1:$B101,2,1)*S47*$T47*$U47,0)+IF(ISNUMBER(W47), VLOOKUP(W47/$AH47,F!$A1:$B101,2,1)*W47*$X47*$Y47,0)+IF(ISNUMBER(AA47), VLOOKUP(AA47/$AH47,F!$A1:$B101,2,1)*AA47*$AB47*$AC47,0))*IF(ISNUMBER(F47),F47,1)*IF(ISNUMBER(E47),E47,1)</f>
        <v>0</v>
      </c>
      <c r="AJ47" s="34">
        <f t="shared" si="52"/>
        <v>0</v>
      </c>
      <c r="AK47" s="134">
        <f t="array" ref="AK47">IFERROR(I47*INDEX(F!$P$21:$AB$33, MATCH(G47/$AH47, F!$O$21:$O$33,1), MATCH(E47, F!$P$20:$AB$20,1)), 0 ) +IFERROR( M47*INDEX(F!$P$21:$AB$33, MATCH(K47/$AH47, F!$O$21:$O$33,1), MATCH(E47, F!$P$20:$AB$20,1)),0) +  IFERROR( Q47*INDEX(F!$P$21:$AB$33, MATCH(O47/$AH47, F!$O$21:$O$33,1), MATCH(E47, F!$P$20:$AB$20,1)), 0) + IFERROR( U47*INDEX(F!$P$21:$AB$33, MATCH(S47/$AH47, F!$O$21:$O$33,1), MATCH(E47, F!$P$20:$AB$20,1)),0)  + IFERROR(Y47*INDEX(F!$P$21:$AB$33, MATCH(W47/$AH47, F!$O$21:$O$33,1), MATCH(E47, F!$P$20:$AB$20,1)),0)  + IFERROR( AC47*INDEX(F!$P$21:$AB$33, MATCH(AA47/$AH47, F!$O$21:$O$33,1), MATCH(E47, F!$P$20:$AB$20,1)),)</f>
        <v>0</v>
      </c>
      <c r="AL47" s="59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ht="15.75" hidden="1" customHeight="1">
      <c r="A48" s="98"/>
      <c r="B48" s="150"/>
      <c r="C48" s="151"/>
      <c r="D48" s="152"/>
      <c r="E48" s="102">
        <f>ROUND(IFERROR(SUMPRODUCT(AJ40:AJ47,E40:E47)/AJ48,0),3)</f>
        <v>0</v>
      </c>
      <c r="F48" s="153"/>
      <c r="G48" s="154"/>
      <c r="H48" s="155"/>
      <c r="I48" s="155"/>
      <c r="J48" s="156"/>
      <c r="K48" s="154"/>
      <c r="L48" s="155"/>
      <c r="M48" s="155"/>
      <c r="N48" s="156"/>
      <c r="O48" s="154"/>
      <c r="P48" s="155"/>
      <c r="Q48" s="155"/>
      <c r="R48" s="156"/>
      <c r="S48" s="154"/>
      <c r="T48" s="155"/>
      <c r="U48" s="155"/>
      <c r="V48" s="156"/>
      <c r="W48" s="154"/>
      <c r="X48" s="155"/>
      <c r="Y48" s="155"/>
      <c r="Z48" s="156"/>
      <c r="AA48" s="154"/>
      <c r="AB48" s="155"/>
      <c r="AC48" s="155"/>
      <c r="AD48" s="156"/>
      <c r="AE48" s="107">
        <f>SUM(AE40:AE47)</f>
        <v>0</v>
      </c>
      <c r="AF48" s="108">
        <f t="shared" si="9"/>
        <v>0</v>
      </c>
      <c r="AG48" s="109">
        <f>IFERROR(  SUMPRODUCT(AG40:AG47,AJ40:AJ47)/AJ48,0)</f>
        <v>0</v>
      </c>
      <c r="AH48" s="157"/>
      <c r="AI48" s="111">
        <f t="shared" ref="AI48:AJ48" si="53">SUM(AI40:AI47)</f>
        <v>0</v>
      </c>
      <c r="AJ48" s="111">
        <f t="shared" si="53"/>
        <v>0</v>
      </c>
      <c r="AK48" s="112">
        <f>IF(SUM(AK40:AK47)=0,TIME(,0,),TIME(,SUM(AK40:AK47)+F!$V$37,))</f>
        <v>0</v>
      </c>
      <c r="AL48" s="98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ht="15.75" hidden="1" customHeight="1">
      <c r="A49" s="158">
        <f>A50</f>
        <v>43787</v>
      </c>
      <c r="B49" s="159"/>
      <c r="C49" s="160"/>
      <c r="D49" s="161"/>
      <c r="E49" s="29"/>
      <c r="F49" s="162"/>
      <c r="G49" s="163" t="str">
        <f t="shared" ref="G49:G56" si="54">IF(J49&lt;&gt;0, IFERROR(IF( $F49=2,  MROUND($AH49*J49,1),    IF( OR($F49="",$F49=1),   MROUND($AH49*J49,2.5),  MROUND($AH49*J49, 0.1))), "" ), "")</f>
        <v/>
      </c>
      <c r="H49" s="164"/>
      <c r="I49" s="164"/>
      <c r="J49" s="165"/>
      <c r="K49" s="163" t="str">
        <f t="shared" ref="K49:K56" si="55">IF(N49&lt;&gt;0, IFERROR(IF( $F49=2,  MROUND($AH49*N49,1),    IF( OR($F49="",$F49=1),   MROUND($AH49*N49,2.5),  MROUND($AH49*N49, 0.1))), "" ), "")</f>
        <v/>
      </c>
      <c r="L49" s="164"/>
      <c r="M49" s="164"/>
      <c r="N49" s="165"/>
      <c r="O49" s="163" t="str">
        <f t="shared" ref="O49:O56" si="56">IF(R49&lt;&gt;0, IFERROR(IF( $F49=2,  MROUND($AH49*R49,1),    IF( OR($F49="",$F49=1),   MROUND($AH49*R49,2.5),  MROUND($AH49*R49, 0.1))), "" ), "")</f>
        <v/>
      </c>
      <c r="P49" s="164"/>
      <c r="Q49" s="164"/>
      <c r="R49" s="165"/>
      <c r="S49" s="163" t="str">
        <f t="shared" ref="S49:S56" si="57">IF(V49&lt;&gt;0, IFERROR(IF( $F49=2,  MROUND($AH49*V49,1),    IF( OR($F49="",$F49=1),   MROUND($AH49*V49,2.5),  MROUND($AH49*V49, 0.1))), "" ), "")</f>
        <v/>
      </c>
      <c r="T49" s="164"/>
      <c r="U49" s="164"/>
      <c r="V49" s="165"/>
      <c r="W49" s="163" t="str">
        <f t="shared" ref="W49:W56" si="58">IF(Z49&lt;&gt;0, IFERROR(IF( $F49=2,  MROUND($AH49*Z49,1),    IF( OR($F49="",$F49=1),   MROUND($AH49*Z49,2.5),  MROUND($AH49*Z49, 0.1))), "" ), "")</f>
        <v/>
      </c>
      <c r="X49" s="164"/>
      <c r="Y49" s="164"/>
      <c r="Z49" s="165"/>
      <c r="AA49" s="163" t="str">
        <f t="shared" ref="AA49:AA56" si="59">IF(AD49&lt;&gt;0, IFERROR(IF( $F49=2,  MROUND($AH49*AD49,1),    IF( OR($F49="",$F49=1),   MROUND($AH49*AD49,2.5),  MROUND($AH49*AD49, 0.1))), "" ), "")</f>
        <v/>
      </c>
      <c r="AB49" s="164"/>
      <c r="AC49" s="164"/>
      <c r="AD49" s="165"/>
      <c r="AE49" s="166">
        <f t="shared" ref="AE49:AE56" si="60">(IF(ISNUMBER(G49),G49,0)*H49*I49+IF(ISNUMBER(K49),K49,1)*L49*M49+IF(ISNUMBER(O49),O49,1)*P49*Q49+IF(ISNUMBER(S49),S49,1)*T49*U49+IF(ISNUMBER(W49),W49,1)*X49*Y49+IF(ISNUMBER(AA49),AA49,1)*AB49*AC49)*IF(ISNUMBER(F49),F49,1)</f>
        <v>0</v>
      </c>
      <c r="AF49" s="167">
        <f t="shared" si="9"/>
        <v>0</v>
      </c>
      <c r="AG49" s="168">
        <f t="shared" ref="AG49:AG56" si="61">IFERROR((AF49/(AH49*IF(ISNUMBER(F49),F49,1))),0)</f>
        <v>0</v>
      </c>
      <c r="AH49" s="169"/>
      <c r="AI49" s="167">
        <f> ( IF(ISNUMBER(G49), VLOOKUP(G49/$AH49,F!$A1:$B101,2,1)*G49*$H49*$I49,0)+IF(ISNUMBER(K49), VLOOKUP(K49/$AH49,F!$A1:$B101,2,1)*K49*$L49*$M49,0)+IF(ISNUMBER(O49), VLOOKUP(O49/$AH49,F!$A1:$B101,2,1)*O49*$P49*$Q49,0)+IF(ISNUMBER(S49), VLOOKUP(S49/$AH49,F!$A1:$B101,2,1)*S49*$T49*$U49,0)+IF(ISNUMBER(W49), VLOOKUP(W49/$AH49,F!$A1:$B101,2,1)*W49*$X49*$Y49,0)+IF(ISNUMBER(AA49), VLOOKUP(AA49/$AH49,F!$A1:$B101,2,1)*AA49*$AB49*$AC49,0))*IF(ISNUMBER(F49),F49,1)*IF(ISNUMBER(E49),E49,1)</f>
        <v>0</v>
      </c>
      <c r="AJ49" s="164">
        <f t="shared" ref="AJ49:AJ56" si="62">H49*I49+L49*M49+P49*Q49+T49*U49+X49*Y49+AB49*AC49</f>
        <v>0</v>
      </c>
      <c r="AK49" s="170">
        <f t="array" ref="AK49">IFERROR(I49*INDEX(F!$P$21:$AB$33, MATCH(G49/$AH49, F!$O$21:$O$33,1), MATCH(E49, F!$P$20:$AB$20,1)), 0 ) +IFERROR( M49*INDEX(F!$P$21:$AB$33, MATCH(K49/$AH49, F!$O$21:$O$33,1), MATCH(E49, F!$P$20:$AB$20,1)),0) +  IFERROR( Q49*INDEX(F!$P$21:$AB$33, MATCH(O49/$AH49, F!$O$21:$O$33,1), MATCH(E49, F!$P$20:$AB$20,1)), 0) + IFERROR( U49*INDEX(F!$P$21:$AB$33, MATCH(S49/$AH49, F!$O$21:$O$33,1), MATCH(E49, F!$P$20:$AB$20,1)),0)  + IFERROR(Y49*INDEX(F!$P$21:$AB$33, MATCH(W49/$AH49, F!$O$21:$O$33,1), MATCH(E49, F!$P$20:$AB$20,1)),0)  + IFERROR( AC49*INDEX(F!$P$21:$AB$33, MATCH(AA49/$AH49, F!$O$21:$O$33,1), MATCH(E49, F!$P$20:$AB$20,1)),)</f>
        <v>0</v>
      </c>
      <c r="AL49" s="42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ht="15.0" hidden="1" customHeight="1">
      <c r="A50" s="171">
        <f>A41+1</f>
        <v>43787</v>
      </c>
      <c r="B50" s="135"/>
      <c r="C50" s="136"/>
      <c r="D50" s="137"/>
      <c r="E50" s="48"/>
      <c r="F50" s="138"/>
      <c r="G50" s="139" t="str">
        <f t="shared" si="54"/>
        <v/>
      </c>
      <c r="H50" s="140"/>
      <c r="I50" s="140"/>
      <c r="J50" s="141"/>
      <c r="K50" s="139" t="str">
        <f t="shared" si="55"/>
        <v/>
      </c>
      <c r="L50" s="140"/>
      <c r="M50" s="140"/>
      <c r="N50" s="141"/>
      <c r="O50" s="139" t="str">
        <f t="shared" si="56"/>
        <v/>
      </c>
      <c r="P50" s="140"/>
      <c r="Q50" s="140"/>
      <c r="R50" s="141"/>
      <c r="S50" s="139" t="str">
        <f t="shared" si="57"/>
        <v/>
      </c>
      <c r="T50" s="140"/>
      <c r="U50" s="140"/>
      <c r="V50" s="141"/>
      <c r="W50" s="139" t="str">
        <f t="shared" si="58"/>
        <v/>
      </c>
      <c r="X50" s="140"/>
      <c r="Y50" s="140"/>
      <c r="Z50" s="141"/>
      <c r="AA50" s="139" t="str">
        <f t="shared" si="59"/>
        <v/>
      </c>
      <c r="AB50" s="140"/>
      <c r="AC50" s="140"/>
      <c r="AD50" s="141"/>
      <c r="AE50" s="142">
        <f t="shared" si="60"/>
        <v>0</v>
      </c>
      <c r="AF50" s="143">
        <f t="shared" si="9"/>
        <v>0</v>
      </c>
      <c r="AG50" s="144">
        <f t="shared" si="61"/>
        <v>0</v>
      </c>
      <c r="AH50" s="76"/>
      <c r="AI50" s="143">
        <f> ( IF(ISNUMBER(G50), VLOOKUP(G50/$AH50,F!$A1:$B101,2,1)*G50*$H50*$I50,0)+IF(ISNUMBER(K50), VLOOKUP(K50/$AH50,F!$A1:$B101,2,1)*K50*$L50*$M50,0)+IF(ISNUMBER(O50), VLOOKUP(O50/$AH50,F!$A1:$B101,2,1)*O50*$P50*$Q50,0)+IF(ISNUMBER(S50), VLOOKUP(S50/$AH50,F!$A1:$B101,2,1)*S50*$T50*$U50,0)+IF(ISNUMBER(W50), VLOOKUP(W50/$AH50,F!$A1:$B101,2,1)*W50*$X50*$Y50,0)+IF(ISNUMBER(AA50), VLOOKUP(AA50/$AH50,F!$A1:$B101,2,1)*AA50*$AB50*$AC50,0))*IF(ISNUMBER(F50),F50,1)*IF(ISNUMBER(E50),E50,1)</f>
        <v>0</v>
      </c>
      <c r="AJ50" s="140">
        <f t="shared" si="62"/>
        <v>0</v>
      </c>
      <c r="AK50" s="145">
        <f t="array" ref="AK50">IFERROR(I50*INDEX(F!$P$21:$AB$33, MATCH(G50/$AH50, F!$O$21:$O$33,1), MATCH(E50, F!$P$20:$AB$20,1)), 0 ) +IFERROR( M50*INDEX(F!$P$21:$AB$33, MATCH(K50/$AH50, F!$O$21:$O$33,1), MATCH(E50, F!$P$20:$AB$20,1)),0) +  IFERROR( Q50*INDEX(F!$P$21:$AB$33, MATCH(O50/$AH50, F!$O$21:$O$33,1), MATCH(E50, F!$P$20:$AB$20,1)), 0) + IFERROR( U50*INDEX(F!$P$21:$AB$33, MATCH(S50/$AH50, F!$O$21:$O$33,1), MATCH(E50, F!$P$20:$AB$20,1)),0)  + IFERROR(Y50*INDEX(F!$P$21:$AB$33, MATCH(W50/$AH50, F!$O$21:$O$33,1), MATCH(E50, F!$P$20:$AB$20,1)),0)  + IFERROR( AC50*INDEX(F!$P$21:$AB$33, MATCH(AA50/$AH50, F!$O$21:$O$33,1), MATCH(E50, F!$P$20:$AB$20,1)),)</f>
        <v>0</v>
      </c>
      <c r="AL50" s="59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ht="15.75" hidden="1" customHeight="1">
      <c r="A51" s="172"/>
      <c r="B51" s="173"/>
      <c r="C51" s="174"/>
      <c r="D51" s="175"/>
      <c r="E51" s="48"/>
      <c r="F51" s="176"/>
      <c r="G51" s="177" t="str">
        <f t="shared" si="54"/>
        <v/>
      </c>
      <c r="H51" s="178"/>
      <c r="I51" s="178"/>
      <c r="J51" s="179"/>
      <c r="K51" s="177" t="str">
        <f t="shared" si="55"/>
        <v/>
      </c>
      <c r="L51" s="178"/>
      <c r="M51" s="178"/>
      <c r="N51" s="179"/>
      <c r="O51" s="177" t="str">
        <f t="shared" si="56"/>
        <v/>
      </c>
      <c r="P51" s="178"/>
      <c r="Q51" s="178"/>
      <c r="R51" s="179"/>
      <c r="S51" s="177" t="str">
        <f t="shared" si="57"/>
        <v/>
      </c>
      <c r="T51" s="178"/>
      <c r="U51" s="178"/>
      <c r="V51" s="179"/>
      <c r="W51" s="177" t="str">
        <f t="shared" si="58"/>
        <v/>
      </c>
      <c r="X51" s="178"/>
      <c r="Y51" s="178"/>
      <c r="Z51" s="179"/>
      <c r="AA51" s="177" t="str">
        <f t="shared" si="59"/>
        <v/>
      </c>
      <c r="AB51" s="178"/>
      <c r="AC51" s="178"/>
      <c r="AD51" s="179"/>
      <c r="AE51" s="180">
        <f t="shared" si="60"/>
        <v>0</v>
      </c>
      <c r="AF51" s="181">
        <f t="shared" si="9"/>
        <v>0</v>
      </c>
      <c r="AG51" s="182">
        <f t="shared" si="61"/>
        <v>0</v>
      </c>
      <c r="AH51" s="76"/>
      <c r="AI51" s="181">
        <f> ( IF(ISNUMBER(G51), VLOOKUP(G51/$AH51,F!$A1:$B101,2,1)*G51*$H51*$I51,0)+IF(ISNUMBER(K51), VLOOKUP(K51/$AH51,F!$A1:$B101,2,1)*K51*$L51*$M51,0)+IF(ISNUMBER(O51), VLOOKUP(O51/$AH51,F!$A1:$B101,2,1)*O51*$P51*$Q51,0)+IF(ISNUMBER(S51), VLOOKUP(S51/$AH51,F!$A1:$B101,2,1)*S51*$T51*$U51,0)+IF(ISNUMBER(W51), VLOOKUP(W51/$AH51,F!$A1:$B101,2,1)*W51*$X51*$Y51,0)+IF(ISNUMBER(AA51), VLOOKUP(AA51/$AH51,F!$A1:$B101,2,1)*AA51*$AB51*$AC51,0))*IF(ISNUMBER(F51),F51,1)*IF(ISNUMBER(E51),E51,1)</f>
        <v>0</v>
      </c>
      <c r="AJ51" s="178">
        <f t="shared" si="62"/>
        <v>0</v>
      </c>
      <c r="AK51" s="183">
        <f t="array" ref="AK51">IFERROR(I51*INDEX(F!$P$21:$AB$33, MATCH(G51/$AH51, F!$O$21:$O$33,1), MATCH(E51, F!$P$20:$AB$20,1)), 0 ) +IFERROR( M51*INDEX(F!$P$21:$AB$33, MATCH(K51/$AH51, F!$O$21:$O$33,1), MATCH(E51, F!$P$20:$AB$20,1)),0) +  IFERROR( Q51*INDEX(F!$P$21:$AB$33, MATCH(O51/$AH51, F!$O$21:$O$33,1), MATCH(E51, F!$P$20:$AB$20,1)), 0) + IFERROR( U51*INDEX(F!$P$21:$AB$33, MATCH(S51/$AH51, F!$O$21:$O$33,1), MATCH(E51, F!$P$20:$AB$20,1)),0)  + IFERROR(Y51*INDEX(F!$P$21:$AB$33, MATCH(W51/$AH51, F!$O$21:$O$33,1), MATCH(E51, F!$P$20:$AB$20,1)),0)  + IFERROR( AC51*INDEX(F!$P$21:$AB$33, MATCH(AA51/$AH51, F!$O$21:$O$33,1), MATCH(E51, F!$P$20:$AB$20,1)),)</f>
        <v>0</v>
      </c>
      <c r="AL51" s="59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ht="15.75" hidden="1" customHeight="1">
      <c r="A52" s="172"/>
      <c r="B52" s="135"/>
      <c r="C52" s="136"/>
      <c r="D52" s="137"/>
      <c r="E52" s="48"/>
      <c r="F52" s="138"/>
      <c r="G52" s="139" t="str">
        <f t="shared" si="54"/>
        <v/>
      </c>
      <c r="H52" s="140"/>
      <c r="I52" s="140"/>
      <c r="J52" s="141"/>
      <c r="K52" s="139" t="str">
        <f t="shared" si="55"/>
        <v/>
      </c>
      <c r="L52" s="140"/>
      <c r="M52" s="140"/>
      <c r="N52" s="141"/>
      <c r="O52" s="139" t="str">
        <f t="shared" si="56"/>
        <v/>
      </c>
      <c r="P52" s="140"/>
      <c r="Q52" s="140"/>
      <c r="R52" s="141"/>
      <c r="S52" s="139" t="str">
        <f t="shared" si="57"/>
        <v/>
      </c>
      <c r="T52" s="140"/>
      <c r="U52" s="140"/>
      <c r="V52" s="141"/>
      <c r="W52" s="139" t="str">
        <f t="shared" si="58"/>
        <v/>
      </c>
      <c r="X52" s="140"/>
      <c r="Y52" s="140"/>
      <c r="Z52" s="141"/>
      <c r="AA52" s="139" t="str">
        <f t="shared" si="59"/>
        <v/>
      </c>
      <c r="AB52" s="140"/>
      <c r="AC52" s="140"/>
      <c r="AD52" s="141"/>
      <c r="AE52" s="142">
        <f t="shared" si="60"/>
        <v>0</v>
      </c>
      <c r="AF52" s="143">
        <f t="shared" si="9"/>
        <v>0</v>
      </c>
      <c r="AG52" s="144">
        <f t="shared" si="61"/>
        <v>0</v>
      </c>
      <c r="AH52" s="76"/>
      <c r="AI52" s="143">
        <f> ( IF(ISNUMBER(G52), VLOOKUP(G52/$AH52,F!$A1:$B101,2,1)*G52*$H52*$I52,0)+IF(ISNUMBER(K52), VLOOKUP(K52/$AH52,F!$A1:$B101,2,1)*K52*$L52*$M52,0)+IF(ISNUMBER(O52), VLOOKUP(O52/$AH52,F!$A1:$B101,2,1)*O52*$P52*$Q52,0)+IF(ISNUMBER(S52), VLOOKUP(S52/$AH52,F!$A1:$B101,2,1)*S52*$T52*$U52,0)+IF(ISNUMBER(W52), VLOOKUP(W52/$AH52,F!$A1:$B101,2,1)*W52*$X52*$Y52,0)+IF(ISNUMBER(AA52), VLOOKUP(AA52/$AH52,F!$A1:$B101,2,1)*AA52*$AB52*$AC52,0))*IF(ISNUMBER(F52),F52,1)*IF(ISNUMBER(E52),E52,1)</f>
        <v>0</v>
      </c>
      <c r="AJ52" s="140">
        <f t="shared" si="62"/>
        <v>0</v>
      </c>
      <c r="AK52" s="145">
        <f t="array" ref="AK52">IFERROR(I52*INDEX(F!$P$21:$AB$33, MATCH(G52/$AH52, F!$O$21:$O$33,1), MATCH(E52, F!$P$20:$AB$20,1)), 0 ) +IFERROR( M52*INDEX(F!$P$21:$AB$33, MATCH(K52/$AH52, F!$O$21:$O$33,1), MATCH(E52, F!$P$20:$AB$20,1)),0) +  IFERROR( Q52*INDEX(F!$P$21:$AB$33, MATCH(O52/$AH52, F!$O$21:$O$33,1), MATCH(E52, F!$P$20:$AB$20,1)), 0) + IFERROR( U52*INDEX(F!$P$21:$AB$33, MATCH(S52/$AH52, F!$O$21:$O$33,1), MATCH(E52, F!$P$20:$AB$20,1)),0)  + IFERROR(Y52*INDEX(F!$P$21:$AB$33, MATCH(W52/$AH52, F!$O$21:$O$33,1), MATCH(E52, F!$P$20:$AB$20,1)),0)  + IFERROR( AC52*INDEX(F!$P$21:$AB$33, MATCH(AA52/$AH52, F!$O$21:$O$33,1), MATCH(E52, F!$P$20:$AB$20,1)),)</f>
        <v>0</v>
      </c>
      <c r="AL52" s="59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ht="15.75" hidden="1" customHeight="1">
      <c r="A53" s="172"/>
      <c r="B53" s="173"/>
      <c r="C53" s="174"/>
      <c r="D53" s="175"/>
      <c r="E53" s="48"/>
      <c r="F53" s="176"/>
      <c r="G53" s="177" t="str">
        <f t="shared" si="54"/>
        <v/>
      </c>
      <c r="H53" s="178"/>
      <c r="I53" s="178"/>
      <c r="J53" s="179"/>
      <c r="K53" s="177" t="str">
        <f t="shared" si="55"/>
        <v/>
      </c>
      <c r="L53" s="178"/>
      <c r="M53" s="178"/>
      <c r="N53" s="179"/>
      <c r="O53" s="177" t="str">
        <f t="shared" si="56"/>
        <v/>
      </c>
      <c r="P53" s="178"/>
      <c r="Q53" s="178"/>
      <c r="R53" s="179"/>
      <c r="S53" s="177" t="str">
        <f t="shared" si="57"/>
        <v/>
      </c>
      <c r="T53" s="178"/>
      <c r="U53" s="178"/>
      <c r="V53" s="179"/>
      <c r="W53" s="177" t="str">
        <f t="shared" si="58"/>
        <v/>
      </c>
      <c r="X53" s="178"/>
      <c r="Y53" s="178"/>
      <c r="Z53" s="179"/>
      <c r="AA53" s="177" t="str">
        <f t="shared" si="59"/>
        <v/>
      </c>
      <c r="AB53" s="178"/>
      <c r="AC53" s="178"/>
      <c r="AD53" s="179"/>
      <c r="AE53" s="180">
        <f t="shared" si="60"/>
        <v>0</v>
      </c>
      <c r="AF53" s="181">
        <f t="shared" si="9"/>
        <v>0</v>
      </c>
      <c r="AG53" s="182">
        <f t="shared" si="61"/>
        <v>0</v>
      </c>
      <c r="AH53" s="76"/>
      <c r="AI53" s="181">
        <f> ( IF(ISNUMBER(G53), VLOOKUP(G53/$AH53,F!$A1:$B101,2,1)*G53*$H53*$I53,0)+IF(ISNUMBER(K53), VLOOKUP(K53/$AH53,F!$A1:$B101,2,1)*K53*$L53*$M53,0)+IF(ISNUMBER(O53), VLOOKUP(O53/$AH53,F!$A1:$B101,2,1)*O53*$P53*$Q53,0)+IF(ISNUMBER(S53), VLOOKUP(S53/$AH53,F!$A1:$B101,2,1)*S53*$T53*$U53,0)+IF(ISNUMBER(W53), VLOOKUP(W53/$AH53,F!$A1:$B101,2,1)*W53*$X53*$Y53,0)+IF(ISNUMBER(AA53), VLOOKUP(AA53/$AH53,F!$A1:$B101,2,1)*AA53*$AB53*$AC53,0))*IF(ISNUMBER(F53),F53,1)*IF(ISNUMBER(E53),E53,1)</f>
        <v>0</v>
      </c>
      <c r="AJ53" s="178">
        <f t="shared" si="62"/>
        <v>0</v>
      </c>
      <c r="AK53" s="183">
        <f t="array" ref="AK53">IFERROR(I53*INDEX(F!$P$21:$AB$33, MATCH(G53/$AH53, F!$O$21:$O$33,1), MATCH(E53, F!$P$20:$AB$20,1)), 0 ) +IFERROR( M53*INDEX(F!$P$21:$AB$33, MATCH(K53/$AH53, F!$O$21:$O$33,1), MATCH(E53, F!$P$20:$AB$20,1)),0) +  IFERROR( Q53*INDEX(F!$P$21:$AB$33, MATCH(O53/$AH53, F!$O$21:$O$33,1), MATCH(E53, F!$P$20:$AB$20,1)), 0) + IFERROR( U53*INDEX(F!$P$21:$AB$33, MATCH(S53/$AH53, F!$O$21:$O$33,1), MATCH(E53, F!$P$20:$AB$20,1)),0)  + IFERROR(Y53*INDEX(F!$P$21:$AB$33, MATCH(W53/$AH53, F!$O$21:$O$33,1), MATCH(E53, F!$P$20:$AB$20,1)),0)  + IFERROR( AC53*INDEX(F!$P$21:$AB$33, MATCH(AA53/$AH53, F!$O$21:$O$33,1), MATCH(E53, F!$P$20:$AB$20,1)),)</f>
        <v>0</v>
      </c>
      <c r="AL53" s="59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ht="15.75" hidden="1" customHeight="1">
      <c r="A54" s="172"/>
      <c r="B54" s="135"/>
      <c r="C54" s="136"/>
      <c r="D54" s="137"/>
      <c r="E54" s="48"/>
      <c r="F54" s="138"/>
      <c r="G54" s="139" t="str">
        <f t="shared" si="54"/>
        <v/>
      </c>
      <c r="H54" s="140"/>
      <c r="I54" s="140"/>
      <c r="J54" s="141"/>
      <c r="K54" s="139" t="str">
        <f t="shared" si="55"/>
        <v/>
      </c>
      <c r="L54" s="140"/>
      <c r="M54" s="140"/>
      <c r="N54" s="141"/>
      <c r="O54" s="139" t="str">
        <f t="shared" si="56"/>
        <v/>
      </c>
      <c r="P54" s="140"/>
      <c r="Q54" s="140"/>
      <c r="R54" s="141"/>
      <c r="S54" s="139" t="str">
        <f t="shared" si="57"/>
        <v/>
      </c>
      <c r="T54" s="140"/>
      <c r="U54" s="140"/>
      <c r="V54" s="141"/>
      <c r="W54" s="139" t="str">
        <f t="shared" si="58"/>
        <v/>
      </c>
      <c r="X54" s="140"/>
      <c r="Y54" s="140"/>
      <c r="Z54" s="141"/>
      <c r="AA54" s="139" t="str">
        <f t="shared" si="59"/>
        <v/>
      </c>
      <c r="AB54" s="140"/>
      <c r="AC54" s="140"/>
      <c r="AD54" s="141"/>
      <c r="AE54" s="142">
        <f t="shared" si="60"/>
        <v>0</v>
      </c>
      <c r="AF54" s="143">
        <f t="shared" si="9"/>
        <v>0</v>
      </c>
      <c r="AG54" s="144">
        <f t="shared" si="61"/>
        <v>0</v>
      </c>
      <c r="AH54" s="76"/>
      <c r="AI54" s="143">
        <f> ( IF(ISNUMBER(G54), VLOOKUP(G54/$AH54,F!$A1:$B101,2,1)*G54*$H54*$I54,0)+IF(ISNUMBER(K54), VLOOKUP(K54/$AH54,F!$A1:$B101,2,1)*K54*$L54*$M54,0)+IF(ISNUMBER(O54), VLOOKUP(O54/$AH54,F!$A1:$B101,2,1)*O54*$P54*$Q54,0)+IF(ISNUMBER(S54), VLOOKUP(S54/$AH54,F!$A1:$B101,2,1)*S54*$T54*$U54,0)+IF(ISNUMBER(W54), VLOOKUP(W54/$AH54,F!$A1:$B101,2,1)*W54*$X54*$Y54,0)+IF(ISNUMBER(AA54), VLOOKUP(AA54/$AH54,F!$A1:$B101,2,1)*AA54*$AB54*$AC54,0))*IF(ISNUMBER(F54),F54,1)*IF(ISNUMBER(E54),E54,1)</f>
        <v>0</v>
      </c>
      <c r="AJ54" s="140">
        <f t="shared" si="62"/>
        <v>0</v>
      </c>
      <c r="AK54" s="145">
        <f t="array" ref="AK54">IFERROR(I54*INDEX(F!$P$21:$AB$33, MATCH(G54/$AH54, F!$O$21:$O$33,1), MATCH(E54, F!$P$20:$AB$20,1)), 0 ) +IFERROR( M54*INDEX(F!$P$21:$AB$33, MATCH(K54/$AH54, F!$O$21:$O$33,1), MATCH(E54, F!$P$20:$AB$20,1)),0) +  IFERROR( Q54*INDEX(F!$P$21:$AB$33, MATCH(O54/$AH54, F!$O$21:$O$33,1), MATCH(E54, F!$P$20:$AB$20,1)), 0) + IFERROR( U54*INDEX(F!$P$21:$AB$33, MATCH(S54/$AH54, F!$O$21:$O$33,1), MATCH(E54, F!$P$20:$AB$20,1)),0)  + IFERROR(Y54*INDEX(F!$P$21:$AB$33, MATCH(W54/$AH54, F!$O$21:$O$33,1), MATCH(E54, F!$P$20:$AB$20,1)),0)  + IFERROR( AC54*INDEX(F!$P$21:$AB$33, MATCH(AA54/$AH54, F!$O$21:$O$33,1), MATCH(E54, F!$P$20:$AB$20,1)),)</f>
        <v>0</v>
      </c>
      <c r="AL54" s="59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ht="15.75" hidden="1" customHeight="1">
      <c r="A55" s="172"/>
      <c r="B55" s="173"/>
      <c r="C55" s="174"/>
      <c r="D55" s="175"/>
      <c r="E55" s="48"/>
      <c r="F55" s="176"/>
      <c r="G55" s="177" t="str">
        <f t="shared" si="54"/>
        <v/>
      </c>
      <c r="H55" s="178"/>
      <c r="I55" s="178"/>
      <c r="J55" s="179"/>
      <c r="K55" s="177" t="str">
        <f t="shared" si="55"/>
        <v/>
      </c>
      <c r="L55" s="178"/>
      <c r="M55" s="178"/>
      <c r="N55" s="179"/>
      <c r="O55" s="177" t="str">
        <f t="shared" si="56"/>
        <v/>
      </c>
      <c r="P55" s="178"/>
      <c r="Q55" s="178"/>
      <c r="R55" s="179"/>
      <c r="S55" s="177" t="str">
        <f t="shared" si="57"/>
        <v/>
      </c>
      <c r="T55" s="178"/>
      <c r="U55" s="178"/>
      <c r="V55" s="179"/>
      <c r="W55" s="177" t="str">
        <f t="shared" si="58"/>
        <v/>
      </c>
      <c r="X55" s="178"/>
      <c r="Y55" s="178"/>
      <c r="Z55" s="179"/>
      <c r="AA55" s="177" t="str">
        <f t="shared" si="59"/>
        <v/>
      </c>
      <c r="AB55" s="178"/>
      <c r="AC55" s="178"/>
      <c r="AD55" s="179"/>
      <c r="AE55" s="180">
        <f t="shared" si="60"/>
        <v>0</v>
      </c>
      <c r="AF55" s="181">
        <f t="shared" si="9"/>
        <v>0</v>
      </c>
      <c r="AG55" s="182">
        <f t="shared" si="61"/>
        <v>0</v>
      </c>
      <c r="AH55" s="76"/>
      <c r="AI55" s="181">
        <f> ( IF(ISNUMBER(G55), VLOOKUP(G55/$AH55,F!$A1:$B101,2,1)*G55*$H55*$I55,0)+IF(ISNUMBER(K55), VLOOKUP(K55/$AH55,F!$A1:$B101,2,1)*K55*$L55*$M55,0)+IF(ISNUMBER(O55), VLOOKUP(O55/$AH55,F!$A1:$B101,2,1)*O55*$P55*$Q55,0)+IF(ISNUMBER(S55), VLOOKUP(S55/$AH55,F!$A1:$B101,2,1)*S55*$T55*$U55,0)+IF(ISNUMBER(W55), VLOOKUP(W55/$AH55,F!$A1:$B101,2,1)*W55*$X55*$Y55,0)+IF(ISNUMBER(AA55), VLOOKUP(AA55/$AH55,F!$A1:$B101,2,1)*AA55*$AB55*$AC55,0))*IF(ISNUMBER(F55),F55,1)*IF(ISNUMBER(E55),E55,1)</f>
        <v>0</v>
      </c>
      <c r="AJ55" s="178">
        <f t="shared" si="62"/>
        <v>0</v>
      </c>
      <c r="AK55" s="183">
        <f t="array" ref="AK55">IFERROR(I55*INDEX(F!$P$21:$AB$33, MATCH(G55/$AH55, F!$O$21:$O$33,1), MATCH(E55, F!$P$20:$AB$20,1)), 0 ) +IFERROR( M55*INDEX(F!$P$21:$AB$33, MATCH(K55/$AH55, F!$O$21:$O$33,1), MATCH(E55, F!$P$20:$AB$20,1)),0) +  IFERROR( Q55*INDEX(F!$P$21:$AB$33, MATCH(O55/$AH55, F!$O$21:$O$33,1), MATCH(E55, F!$P$20:$AB$20,1)), 0) + IFERROR( U55*INDEX(F!$P$21:$AB$33, MATCH(S55/$AH55, F!$O$21:$O$33,1), MATCH(E55, F!$P$20:$AB$20,1)),0)  + IFERROR(Y55*INDEX(F!$P$21:$AB$33, MATCH(W55/$AH55, F!$O$21:$O$33,1), MATCH(E55, F!$P$20:$AB$20,1)),0)  + IFERROR( AC55*INDEX(F!$P$21:$AB$33, MATCH(AA55/$AH55, F!$O$21:$O$33,1), MATCH(E55, F!$P$20:$AB$20,1)),)</f>
        <v>0</v>
      </c>
      <c r="AL55" s="59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ht="15.75" hidden="1" customHeight="1">
      <c r="A56" s="172"/>
      <c r="B56" s="135"/>
      <c r="C56" s="136"/>
      <c r="D56" s="137"/>
      <c r="E56" s="48"/>
      <c r="F56" s="138"/>
      <c r="G56" s="139" t="str">
        <f t="shared" si="54"/>
        <v/>
      </c>
      <c r="H56" s="140"/>
      <c r="I56" s="140"/>
      <c r="J56" s="141"/>
      <c r="K56" s="139" t="str">
        <f t="shared" si="55"/>
        <v/>
      </c>
      <c r="L56" s="140"/>
      <c r="M56" s="140"/>
      <c r="N56" s="141"/>
      <c r="O56" s="139" t="str">
        <f t="shared" si="56"/>
        <v/>
      </c>
      <c r="P56" s="140"/>
      <c r="Q56" s="140"/>
      <c r="R56" s="141"/>
      <c r="S56" s="139" t="str">
        <f t="shared" si="57"/>
        <v/>
      </c>
      <c r="T56" s="140"/>
      <c r="U56" s="140"/>
      <c r="V56" s="141"/>
      <c r="W56" s="139" t="str">
        <f t="shared" si="58"/>
        <v/>
      </c>
      <c r="X56" s="140"/>
      <c r="Y56" s="140"/>
      <c r="Z56" s="141"/>
      <c r="AA56" s="139" t="str">
        <f t="shared" si="59"/>
        <v/>
      </c>
      <c r="AB56" s="140"/>
      <c r="AC56" s="140"/>
      <c r="AD56" s="141"/>
      <c r="AE56" s="142">
        <f t="shared" si="60"/>
        <v>0</v>
      </c>
      <c r="AF56" s="143">
        <f t="shared" si="9"/>
        <v>0</v>
      </c>
      <c r="AG56" s="144">
        <f t="shared" si="61"/>
        <v>0</v>
      </c>
      <c r="AH56" s="76"/>
      <c r="AI56" s="143">
        <f> ( IF(ISNUMBER(G56), VLOOKUP(G56/$AH56,F!$A1:$B101,2,1)*G56*$H56*$I56,0)+IF(ISNUMBER(K56), VLOOKUP(K56/$AH56,F!$A1:$B101,2,1)*K56*$L56*$M56,0)+IF(ISNUMBER(O56), VLOOKUP(O56/$AH56,F!$A1:$B101,2,1)*O56*$P56*$Q56,0)+IF(ISNUMBER(S56), VLOOKUP(S56/$AH56,F!$A1:$B101,2,1)*S56*$T56*$U56,0)+IF(ISNUMBER(W56), VLOOKUP(W56/$AH56,F!$A1:$B101,2,1)*W56*$X56*$Y56,0)+IF(ISNUMBER(AA56), VLOOKUP(AA56/$AH56,F!$A1:$B101,2,1)*AA56*$AB56*$AC56,0))*IF(ISNUMBER(F56),F56,1)*IF(ISNUMBER(E56),E56,1)</f>
        <v>0</v>
      </c>
      <c r="AJ56" s="140">
        <f t="shared" si="62"/>
        <v>0</v>
      </c>
      <c r="AK56" s="145">
        <f t="array" ref="AK56">IFERROR(I56*INDEX(F!$P$21:$AB$33, MATCH(G56/$AH56, F!$O$21:$O$33,1), MATCH(E56, F!$P$20:$AB$20,1)), 0 ) +IFERROR( M56*INDEX(F!$P$21:$AB$33, MATCH(K56/$AH56, F!$O$21:$O$33,1), MATCH(E56, F!$P$20:$AB$20,1)),0) +  IFERROR( Q56*INDEX(F!$P$21:$AB$33, MATCH(O56/$AH56, F!$O$21:$O$33,1), MATCH(E56, F!$P$20:$AB$20,1)), 0) + IFERROR( U56*INDEX(F!$P$21:$AB$33, MATCH(S56/$AH56, F!$O$21:$O$33,1), MATCH(E56, F!$P$20:$AB$20,1)),0)  + IFERROR(Y56*INDEX(F!$P$21:$AB$33, MATCH(W56/$AH56, F!$O$21:$O$33,1), MATCH(E56, F!$P$20:$AB$20,1)),0)  + IFERROR( AC56*INDEX(F!$P$21:$AB$33, MATCH(AA56/$AH56, F!$O$21:$O$33,1), MATCH(E56, F!$P$20:$AB$20,1)),)</f>
        <v>0</v>
      </c>
      <c r="AL56" s="59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ht="15.75" hidden="1" customHeight="1">
      <c r="A57" s="187"/>
      <c r="B57" s="188"/>
      <c r="C57" s="189"/>
      <c r="D57" s="190"/>
      <c r="E57" s="102">
        <f>ROUND(IFERROR(SUMPRODUCT(AJ49:AJ56,E49:E56)/AJ57,0),3)</f>
        <v>0</v>
      </c>
      <c r="F57" s="191"/>
      <c r="G57" s="201"/>
      <c r="H57" s="202"/>
      <c r="I57" s="202"/>
      <c r="J57" s="203"/>
      <c r="K57" s="201"/>
      <c r="L57" s="202"/>
      <c r="M57" s="202"/>
      <c r="N57" s="203"/>
      <c r="O57" s="201"/>
      <c r="P57" s="202"/>
      <c r="Q57" s="202"/>
      <c r="R57" s="203"/>
      <c r="S57" s="201"/>
      <c r="T57" s="202"/>
      <c r="U57" s="202"/>
      <c r="V57" s="203"/>
      <c r="W57" s="201"/>
      <c r="X57" s="202"/>
      <c r="Y57" s="202"/>
      <c r="Z57" s="203"/>
      <c r="AA57" s="201"/>
      <c r="AB57" s="202"/>
      <c r="AC57" s="202"/>
      <c r="AD57" s="203"/>
      <c r="AE57" s="107">
        <f>SUM(AE49:AE56)</f>
        <v>0</v>
      </c>
      <c r="AF57" s="108">
        <f t="shared" si="9"/>
        <v>0</v>
      </c>
      <c r="AG57" s="109">
        <f>IFERROR(  SUMPRODUCT(AG49:AG56,AJ49:AJ56)/AJ57,0)</f>
        <v>0</v>
      </c>
      <c r="AH57" s="157"/>
      <c r="AI57" s="111">
        <f t="shared" ref="AI57:AJ57" si="63">SUM(AI49:AI56)</f>
        <v>0</v>
      </c>
      <c r="AJ57" s="111">
        <f t="shared" si="63"/>
        <v>0</v>
      </c>
      <c r="AK57" s="112">
        <f>IF(SUM(AK49:AK56)=0,TIME(,0,),TIME(,SUM(AK49:AK56)+F!$V$37,))</f>
        <v>0</v>
      </c>
      <c r="AL57" s="98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ht="15.75" customHeight="1">
      <c r="A58" s="204">
        <f>A2</f>
        <v>7</v>
      </c>
      <c r="B58" s="205"/>
      <c r="C58" s="205"/>
      <c r="D58" s="205"/>
      <c r="E58" s="7">
        <f>IF(AJ58=0,0,(E68*AJ68 + E77*AJ77 + E86*AJ86 + E95*AJ95 + E104*AJ104 + E113*AJ113   ) /AJ58 )</f>
        <v>0.9351958763</v>
      </c>
      <c r="F58" s="206" t="s">
        <v>0</v>
      </c>
      <c r="G58" s="9"/>
      <c r="H58" s="9"/>
      <c r="I58" s="9"/>
      <c r="J58" s="9"/>
      <c r="K58" s="9"/>
      <c r="L58" s="9"/>
      <c r="M58" s="10"/>
      <c r="N58" s="207">
        <f>N2+1</f>
        <v>2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10"/>
      <c r="AE58" s="204">
        <f>AE68+AE77+AE86+AE95+AE104+AE113</f>
        <v>16325</v>
      </c>
      <c r="AF58" s="208">
        <f t="shared" si="9"/>
        <v>56.09965636</v>
      </c>
      <c r="AG58" s="209">
        <f>IF(AJ58=0,0,(AG68*AJ68 + AG77*AJ77 + AG86*AJ86 + AG95*AJ95 + AG104*AJ104 + AG113*AJ113   ) /AJ58 )</f>
        <v>0.5835786414</v>
      </c>
      <c r="AH58" s="210">
        <v>0.02</v>
      </c>
      <c r="AI58" s="204" t="str">
        <f t="shared" ref="AI58:AK58" si="64">AI68+AI77+AI86+AI95+AI104+AI113</f>
        <v>#DIV/0!</v>
      </c>
      <c r="AJ58" s="204">
        <f t="shared" si="64"/>
        <v>291</v>
      </c>
      <c r="AK58" s="211">
        <f t="shared" si="64"/>
        <v>0.2763888889</v>
      </c>
      <c r="AL58" s="212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ht="15.75" customHeight="1">
      <c r="A59" s="19" t="s">
        <v>1</v>
      </c>
      <c r="B59" s="20" t="s">
        <v>2</v>
      </c>
      <c r="C59" s="20" t="s">
        <v>3</v>
      </c>
      <c r="D59" s="20" t="s">
        <v>4</v>
      </c>
      <c r="E59" s="20" t="s">
        <v>5</v>
      </c>
      <c r="F59" s="20" t="s">
        <v>6</v>
      </c>
      <c r="G59" s="20" t="s">
        <v>7</v>
      </c>
      <c r="H59" s="20" t="s">
        <v>8</v>
      </c>
      <c r="I59" s="20" t="s">
        <v>9</v>
      </c>
      <c r="J59" s="20" t="s">
        <v>10</v>
      </c>
      <c r="K59" s="20" t="s">
        <v>7</v>
      </c>
      <c r="L59" s="20" t="s">
        <v>8</v>
      </c>
      <c r="M59" s="20" t="s">
        <v>9</v>
      </c>
      <c r="N59" s="20" t="s">
        <v>10</v>
      </c>
      <c r="O59" s="20" t="s">
        <v>7</v>
      </c>
      <c r="P59" s="20" t="s">
        <v>8</v>
      </c>
      <c r="Q59" s="20" t="s">
        <v>9</v>
      </c>
      <c r="R59" s="20" t="s">
        <v>10</v>
      </c>
      <c r="S59" s="20" t="s">
        <v>7</v>
      </c>
      <c r="T59" s="20" t="s">
        <v>8</v>
      </c>
      <c r="U59" s="20" t="s">
        <v>9</v>
      </c>
      <c r="V59" s="20" t="s">
        <v>10</v>
      </c>
      <c r="W59" s="20" t="s">
        <v>7</v>
      </c>
      <c r="X59" s="20" t="s">
        <v>8</v>
      </c>
      <c r="Y59" s="20" t="s">
        <v>9</v>
      </c>
      <c r="Z59" s="20" t="s">
        <v>10</v>
      </c>
      <c r="AA59" s="20" t="s">
        <v>7</v>
      </c>
      <c r="AB59" s="20" t="s">
        <v>8</v>
      </c>
      <c r="AC59" s="20" t="s">
        <v>9</v>
      </c>
      <c r="AD59" s="21" t="s">
        <v>10</v>
      </c>
      <c r="AE59" s="20" t="s">
        <v>11</v>
      </c>
      <c r="AF59" s="20" t="s">
        <v>12</v>
      </c>
      <c r="AG59" s="20" t="s">
        <v>13</v>
      </c>
      <c r="AH59" s="213" t="s">
        <v>14</v>
      </c>
      <c r="AI59" s="23" t="s">
        <v>15</v>
      </c>
      <c r="AJ59" s="20" t="s">
        <v>16</v>
      </c>
      <c r="AK59" s="21" t="s">
        <v>17</v>
      </c>
      <c r="AL59" s="214" t="s">
        <v>18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ht="15.75" customHeight="1">
      <c r="A60" s="25">
        <f>A61</f>
        <v>43787</v>
      </c>
      <c r="B60" s="26" t="str">
        <f t="shared" ref="B60:F60" si="65">IF(B4="","",B4)</f>
        <v>Тяжелая</v>
      </c>
      <c r="C60" s="27" t="str">
        <f t="shared" si="65"/>
        <v>ПР</v>
      </c>
      <c r="D60" s="28" t="str">
        <f t="shared" si="65"/>
        <v>Присед</v>
      </c>
      <c r="E60" s="29">
        <f t="shared" si="65"/>
        <v>1.2</v>
      </c>
      <c r="F60" s="30" t="str">
        <f t="shared" si="65"/>
        <v/>
      </c>
      <c r="G60" s="31">
        <f t="shared" ref="G60:G64" si="67">IF(J60&lt;&gt;0, IFERROR(IF( $F60=2,  MROUND($AH60*J60,1),    IF( OR($F60="",$F60=1),   MROUND($AH60*J60,2.5),  MROUND($AH60*J60, 0.1))), "" ), "")</f>
        <v>82.5</v>
      </c>
      <c r="H60" s="32">
        <v>4.0</v>
      </c>
      <c r="I60" s="32">
        <v>1.0</v>
      </c>
      <c r="J60" s="33">
        <v>0.6</v>
      </c>
      <c r="K60" s="31">
        <f t="shared" ref="K60:K67" si="68">IF(N60&lt;&gt;0, IFERROR(IF( $F60=2,  MROUND($AH60*N60,1),    IF( OR($F60="",$F60=1),   MROUND($AH60*N60,2.5),  MROUND($AH60*N60, 0.1))), "" ), "")</f>
        <v>97.5</v>
      </c>
      <c r="L60" s="32">
        <v>3.0</v>
      </c>
      <c r="M60" s="32">
        <v>1.0</v>
      </c>
      <c r="N60" s="33">
        <v>0.7</v>
      </c>
      <c r="O60" s="31">
        <f t="shared" ref="O60:O67" si="69">IF(R60&lt;&gt;0, IFERROR(IF( $F60=2,  MROUND($AH60*R60,1),    IF( OR($F60="",$F60=1),   MROUND($AH60*R60,2.5),  MROUND($AH60*R60, 0.1))), "" ), "")</f>
        <v>110</v>
      </c>
      <c r="P60" s="32">
        <v>2.0</v>
      </c>
      <c r="Q60" s="32">
        <v>5.0</v>
      </c>
      <c r="R60" s="33">
        <v>0.8</v>
      </c>
      <c r="S60" s="31" t="str">
        <f t="shared" ref="S60:S67" si="70">IF(V60&lt;&gt;0, IFERROR(IF( $F60=2,  MROUND($AH60*V60,1),    IF( OR($F60="",$F60=1),   MROUND($AH60*V60,2.5),  MROUND($AH60*V60, 0.1))), "" ), "")</f>
        <v/>
      </c>
      <c r="T60" s="32"/>
      <c r="U60" s="32"/>
      <c r="V60" s="33"/>
      <c r="W60" s="31" t="str">
        <f t="shared" ref="W60:W67" si="71">IF(Z60&lt;&gt;0, IFERROR(IF( $F60=2,  MROUND($AH60*Z60,1),    IF( OR($F60="",$F60=1),   MROUND($AH60*Z60,2.5),  MROUND($AH60*Z60, 0.1))), "" ), "")</f>
        <v/>
      </c>
      <c r="X60" s="32"/>
      <c r="Y60" s="32"/>
      <c r="Z60" s="33"/>
      <c r="AA60" s="31" t="str">
        <f t="shared" ref="AA60:AA67" si="72">IF(AD60&lt;&gt;0, IFERROR(IF( $F60=2,  MROUND($AH60*AD60,1),    IF( OR($F60="",$F60=1),   MROUND($AH60*AD60,2.5),  MROUND($AH60*AD60, 0.1))), "" ), "")</f>
        <v/>
      </c>
      <c r="AB60" s="32"/>
      <c r="AC60" s="32"/>
      <c r="AD60" s="33"/>
      <c r="AE60" s="35">
        <f t="shared" ref="AE60:AE67" si="73">(IF(ISNUMBER(G60),G60,0)*H60*I60+IF(ISNUMBER(K60),K60,1)*L60*M60+IF(ISNUMBER(O60),O60,1)*P60*Q60+IF(ISNUMBER(S60),S60,1)*T60*U60+IF(ISNUMBER(W60),W60,1)*X60*Y60+IF(ISNUMBER(AA60),AA60,1)*AB60*AC60)*IF(ISNUMBER(F60),F60,1)</f>
        <v>1722.5</v>
      </c>
      <c r="AF60" s="36">
        <f t="shared" ref="AF60:AF114" si="74">IFERROR(AE60/AJ60,0)</f>
        <v>101.3235294</v>
      </c>
      <c r="AG60" s="195">
        <f t="shared" ref="AG60:AG67" si="75">IFERROR((AF60/(AH60*IF(ISNUMBER(F60),F60,1))),0)</f>
        <v>0.7358281003</v>
      </c>
      <c r="AH60" s="169">
        <f t="shared" ref="AH60:AH67" si="76">IF(ISNUMBER(AH4), AH4+(AH4*$AH$58),"")</f>
        <v>137.7</v>
      </c>
      <c r="AI60" s="70">
        <f> ( IF(ISNUMBER(G60), VLOOKUP(G60/$AH60,F!$A1:$B101,2,1)*G60*$H60*$I60,0)+IF(ISNUMBER(K60), VLOOKUP(K60/$AH60,F!$A1:$B101,2,1)*K60*$L60*$M60,0)+IF(ISNUMBER(O60), VLOOKUP(O60/$AH60,F!$A1:$B101,2,1)*O60*$P60*$Q60,0)+IF(ISNUMBER(S60), VLOOKUP(S60/$AH60,F!$A1:$B101,2,1)*S60*$T60*$U60,0)+IF(ISNUMBER(W60), VLOOKUP(W60/$AH60,F!$A1:$B101,2,1)*W60*$X60*$Y60,0)+IF(ISNUMBER(AA60), VLOOKUP(AA60/$AH60,F!$A1:$B101,2,1)*AA60*$AB60*$AC60,0))*IF(ISNUMBER(F60),F60,1)*IF(ISNUMBER(E60),E60,1)</f>
        <v>2525.58</v>
      </c>
      <c r="AJ60" s="40">
        <f t="shared" ref="AJ60:AJ67" si="77">H60*I60+L60*M60+P60*Q60+T60*U60+X60*Y60+AB60*AC60</f>
        <v>17</v>
      </c>
      <c r="AK60" s="41">
        <f t="array" ref="AK60">IFERROR(I60*INDEX(F!$P$21:$AB$33, MATCH(G60/$AH60, F!$O$21:$O$33,1), MATCH(E60, F!$P$20:$AB$20,1)), 0 ) +IFERROR( M60*INDEX(F!$P$21:$AB$33, MATCH(K60/$AH60, F!$O$21:$O$33,1), MATCH(E60, F!$P$20:$AB$20,1)),0) +  IFERROR( Q60*INDEX(F!$P$21:$AB$33, MATCH(O60/$AH60, F!$O$21:$O$33,1), MATCH(E60, F!$P$20:$AB$20,1)), 0) + IFERROR( U60*INDEX(F!$P$21:$AB$33, MATCH(S60/$AH60, F!$O$21:$O$33,1), MATCH(E60, F!$P$20:$AB$20,1)),0)  + IFERROR(Y60*INDEX(F!$P$21:$AB$33, MATCH(W60/$AH60, F!$O$21:$O$33,1), MATCH(E60, F!$P$20:$AB$20,1)),0)  + IFERROR( AC60*INDEX(F!$P$21:$AB$33, MATCH(AA60/$AH60, F!$O$21:$O$33,1), MATCH(E60, F!$P$20:$AB$20,1)),)</f>
        <v>34</v>
      </c>
      <c r="AL60" s="42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ht="15.75" customHeight="1">
      <c r="A61" s="44">
        <f>A5+A2</f>
        <v>43787</v>
      </c>
      <c r="B61" s="45" t="str">
        <f t="shared" ref="B61:F61" si="66">IF(B5="","",B5)</f>
        <v>Тяжелая</v>
      </c>
      <c r="C61" s="46" t="str">
        <f t="shared" si="66"/>
        <v>ЖМ</v>
      </c>
      <c r="D61" s="47" t="str">
        <f t="shared" si="66"/>
        <v>Жим лежа</v>
      </c>
      <c r="E61" s="48">
        <f t="shared" si="66"/>
        <v>1</v>
      </c>
      <c r="F61" s="49" t="str">
        <f t="shared" si="66"/>
        <v/>
      </c>
      <c r="G61" s="50">
        <f t="shared" si="67"/>
        <v>52.5</v>
      </c>
      <c r="H61" s="51">
        <v>4.0</v>
      </c>
      <c r="I61" s="51">
        <v>1.0</v>
      </c>
      <c r="J61" s="52">
        <v>0.55</v>
      </c>
      <c r="K61" s="50">
        <f t="shared" si="68"/>
        <v>62.5</v>
      </c>
      <c r="L61" s="51">
        <v>3.0</v>
      </c>
      <c r="M61" s="51">
        <v>3.0</v>
      </c>
      <c r="N61" s="52">
        <v>0.65</v>
      </c>
      <c r="O61" s="50">
        <f t="shared" si="69"/>
        <v>72.5</v>
      </c>
      <c r="P61" s="51">
        <v>2.0</v>
      </c>
      <c r="Q61" s="51">
        <v>3.0</v>
      </c>
      <c r="R61" s="52">
        <v>0.75</v>
      </c>
      <c r="S61" s="50" t="str">
        <f t="shared" si="70"/>
        <v/>
      </c>
      <c r="T61" s="51"/>
      <c r="U61" s="51"/>
      <c r="V61" s="52"/>
      <c r="W61" s="50" t="str">
        <f t="shared" si="71"/>
        <v/>
      </c>
      <c r="X61" s="51"/>
      <c r="Y61" s="51"/>
      <c r="Z61" s="52"/>
      <c r="AA61" s="50" t="str">
        <f t="shared" si="72"/>
        <v/>
      </c>
      <c r="AB61" s="51"/>
      <c r="AC61" s="51"/>
      <c r="AD61" s="52"/>
      <c r="AE61" s="53">
        <f t="shared" si="73"/>
        <v>1207.5</v>
      </c>
      <c r="AF61" s="54">
        <f t="shared" si="74"/>
        <v>63.55263158</v>
      </c>
      <c r="AG61" s="75">
        <f t="shared" si="75"/>
        <v>0.655857911</v>
      </c>
      <c r="AH61" s="76">
        <f t="shared" si="76"/>
        <v>96.9</v>
      </c>
      <c r="AI61" s="77">
        <f> ( IF(ISNUMBER(G61), VLOOKUP(G61/$AH61,F!$A1:$B101,2,1)*G61*$H61*$I61,0)+IF(ISNUMBER(K61), VLOOKUP(K61/$AH61,F!$A1:$B101,2,1)*K61*$L61*$M61,0)+IF(ISNUMBER(O61), VLOOKUP(O61/$AH61,F!$A1:$B101,2,1)*O61*$P61*$Q61,0)+IF(ISNUMBER(S61), VLOOKUP(S61/$AH61,F!$A1:$B101,2,1)*S61*$T61*$U61,0)+IF(ISNUMBER(W61), VLOOKUP(W61/$AH61,F!$A1:$B101,2,1)*W61*$X61*$Y61,0)+IF(ISNUMBER(AA61), VLOOKUP(AA61/$AH61,F!$A1:$B101,2,1)*AA61*$AB61*$AC61,0))*IF(ISNUMBER(F61),F61,1)*IF(ISNUMBER(E61),E61,1)</f>
        <v>1052.25</v>
      </c>
      <c r="AJ61" s="57">
        <f t="shared" si="77"/>
        <v>19</v>
      </c>
      <c r="AK61" s="58">
        <f t="array" ref="AK61">IFERROR(I61*INDEX(F!$P$21:$AB$33, MATCH(G61/$AH61, F!$O$21:$O$33,1), MATCH(E61, F!$P$20:$AB$20,1)), 0 ) +IFERROR( M61*INDEX(F!$P$21:$AB$33, MATCH(K61/$AH61, F!$O$21:$O$33,1), MATCH(E61, F!$P$20:$AB$20,1)),0) +  IFERROR( Q61*INDEX(F!$P$21:$AB$33, MATCH(O61/$AH61, F!$O$21:$O$33,1), MATCH(E61, F!$P$20:$AB$20,1)), 0) + IFERROR( U61*INDEX(F!$P$21:$AB$33, MATCH(S61/$AH61, F!$O$21:$O$33,1), MATCH(E61, F!$P$20:$AB$20,1)),0)  + IFERROR(Y61*INDEX(F!$P$21:$AB$33, MATCH(W61/$AH61, F!$O$21:$O$33,1), MATCH(E61, F!$P$20:$AB$20,1)),0)  + IFERROR( AC61*INDEX(F!$P$21:$AB$33, MATCH(AA61/$AH61, F!$O$21:$O$33,1), MATCH(E61, F!$P$20:$AB$20,1)),)</f>
        <v>23</v>
      </c>
      <c r="AL61" s="59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ht="15.75" customHeight="1">
      <c r="A62" s="59"/>
      <c r="B62" s="60" t="s">
        <v>24</v>
      </c>
      <c r="C62" s="61" t="str">
        <f t="shared" ref="C62:F62" si="78">IF(C6="","",C6)</f>
        <v>ПР</v>
      </c>
      <c r="D62" s="62" t="str">
        <f t="shared" si="78"/>
        <v>Присед</v>
      </c>
      <c r="E62" s="48">
        <f t="shared" si="78"/>
        <v>1.2</v>
      </c>
      <c r="F62" s="63" t="str">
        <f t="shared" si="78"/>
        <v/>
      </c>
      <c r="G62" s="64">
        <f t="shared" si="67"/>
        <v>90</v>
      </c>
      <c r="H62" s="34">
        <v>4.0</v>
      </c>
      <c r="I62" s="34">
        <v>4.0</v>
      </c>
      <c r="J62" s="65">
        <v>0.66</v>
      </c>
      <c r="K62" s="64" t="str">
        <f t="shared" si="68"/>
        <v/>
      </c>
      <c r="L62" s="34"/>
      <c r="M62" s="34"/>
      <c r="N62" s="65"/>
      <c r="O62" s="64" t="str">
        <f t="shared" si="69"/>
        <v/>
      </c>
      <c r="P62" s="34"/>
      <c r="Q62" s="34"/>
      <c r="R62" s="65"/>
      <c r="S62" s="64" t="str">
        <f t="shared" si="70"/>
        <v/>
      </c>
      <c r="T62" s="34"/>
      <c r="U62" s="34"/>
      <c r="V62" s="65"/>
      <c r="W62" s="64" t="str">
        <f t="shared" si="71"/>
        <v/>
      </c>
      <c r="X62" s="34"/>
      <c r="Y62" s="34"/>
      <c r="Z62" s="65"/>
      <c r="AA62" s="64" t="str">
        <f t="shared" si="72"/>
        <v/>
      </c>
      <c r="AB62" s="34"/>
      <c r="AC62" s="34"/>
      <c r="AD62" s="65"/>
      <c r="AE62" s="66">
        <f t="shared" si="73"/>
        <v>1440</v>
      </c>
      <c r="AF62" s="67">
        <f t="shared" si="74"/>
        <v>90</v>
      </c>
      <c r="AG62" s="68">
        <f t="shared" si="75"/>
        <v>0.6535947712</v>
      </c>
      <c r="AH62" s="76">
        <f t="shared" si="76"/>
        <v>137.7</v>
      </c>
      <c r="AI62" s="70">
        <f> ( IF(ISNUMBER(G62), VLOOKUP(G62/$AH62,F!$A1:$B101,2,1)*G62*$H62*$I62,0)+IF(ISNUMBER(K62), VLOOKUP(K62/$AH62,F!$A1:$B101,2,1)*K62*$L62*$M62,0)+IF(ISNUMBER(O62), VLOOKUP(O62/$AH62,F!$A1:$B101,2,1)*O62*$P62*$Q62,0)+IF(ISNUMBER(S62), VLOOKUP(S62/$AH62,F!$A1:$B101,2,1)*S62*$T62*$U62,0)+IF(ISNUMBER(W62), VLOOKUP(W62/$AH62,F!$A1:$B101,2,1)*W62*$X62*$Y62,0)+IF(ISNUMBER(AA62), VLOOKUP(AA62/$AH62,F!$A1:$B101,2,1)*AA62*$AB62*$AC62,0))*IF(ISNUMBER(F62),F62,1)*IF(ISNUMBER(E62),E62,1)</f>
        <v>1382.4</v>
      </c>
      <c r="AJ62" s="71">
        <f t="shared" si="77"/>
        <v>16</v>
      </c>
      <c r="AK62" s="72">
        <f t="array" ref="AK62">IFERROR(I62*INDEX(F!$P$21:$AB$33, MATCH(G62/$AH62, F!$O$21:$O$33,1), MATCH(E62, F!$P$20:$AB$20,1)), 0 ) +IFERROR( M62*INDEX(F!$P$21:$AB$33, MATCH(K62/$AH62, F!$O$21:$O$33,1), MATCH(E62, F!$P$20:$AB$20,1)),0) +  IFERROR( Q62*INDEX(F!$P$21:$AB$33, MATCH(O62/$AH62, F!$O$21:$O$33,1), MATCH(E62, F!$P$20:$AB$20,1)), 0) + IFERROR( U62*INDEX(F!$P$21:$AB$33, MATCH(S62/$AH62, F!$O$21:$O$33,1), MATCH(E62, F!$P$20:$AB$20,1)),0)  + IFERROR(Y62*INDEX(F!$P$21:$AB$33, MATCH(W62/$AH62, F!$O$21:$O$33,1), MATCH(E62, F!$P$20:$AB$20,1)),0)  + IFERROR( AC62*INDEX(F!$P$21:$AB$33, MATCH(AA62/$AH62, F!$O$21:$O$33,1), MATCH(E62, F!$P$20:$AB$20,1)),)</f>
        <v>16</v>
      </c>
      <c r="AL62" s="59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ht="15.75" customHeight="1">
      <c r="A63" s="59"/>
      <c r="B63" s="215" t="s">
        <v>19</v>
      </c>
      <c r="C63" s="73" t="str">
        <f t="shared" ref="C63:F63" si="79">IF(C7="","",C7)</f>
        <v>ЖМ</v>
      </c>
      <c r="D63" s="47" t="str">
        <f t="shared" si="79"/>
        <v>Жим гантелей</v>
      </c>
      <c r="E63" s="48">
        <f t="shared" si="79"/>
        <v>1</v>
      </c>
      <c r="F63" s="74">
        <f t="shared" si="79"/>
        <v>2</v>
      </c>
      <c r="G63" s="50">
        <f t="shared" si="67"/>
        <v>17</v>
      </c>
      <c r="H63" s="51">
        <v>5.0</v>
      </c>
      <c r="I63" s="51">
        <v>1.0</v>
      </c>
      <c r="J63" s="52">
        <v>0.55</v>
      </c>
      <c r="K63" s="50">
        <f t="shared" si="68"/>
        <v>22</v>
      </c>
      <c r="L63" s="51">
        <v>5.0</v>
      </c>
      <c r="M63" s="51">
        <v>5.0</v>
      </c>
      <c r="N63" s="52">
        <v>0.7</v>
      </c>
      <c r="O63" s="50" t="str">
        <f t="shared" si="69"/>
        <v/>
      </c>
      <c r="P63" s="51"/>
      <c r="Q63" s="51"/>
      <c r="R63" s="52"/>
      <c r="S63" s="50" t="str">
        <f t="shared" si="70"/>
        <v/>
      </c>
      <c r="T63" s="51"/>
      <c r="U63" s="51"/>
      <c r="V63" s="52"/>
      <c r="W63" s="50" t="str">
        <f t="shared" si="71"/>
        <v/>
      </c>
      <c r="X63" s="51"/>
      <c r="Y63" s="51"/>
      <c r="Z63" s="52"/>
      <c r="AA63" s="50" t="str">
        <f t="shared" si="72"/>
        <v/>
      </c>
      <c r="AB63" s="51"/>
      <c r="AC63" s="51"/>
      <c r="AD63" s="52"/>
      <c r="AE63" s="53">
        <f t="shared" si="73"/>
        <v>1270</v>
      </c>
      <c r="AF63" s="54">
        <f t="shared" si="74"/>
        <v>42.33333333</v>
      </c>
      <c r="AG63" s="75">
        <f t="shared" si="75"/>
        <v>0.682619539</v>
      </c>
      <c r="AH63" s="76">
        <f t="shared" si="76"/>
        <v>31.008</v>
      </c>
      <c r="AI63" s="77">
        <f> ( IF(ISNUMBER(G63), VLOOKUP(G63/$AH63,F!$A1:$B101,2,1)*G63*$H63*$I63,0)+IF(ISNUMBER(K63), VLOOKUP(K63/$AH63,F!$A1:$B101,2,1)*K63*$L63*$M63,0)+IF(ISNUMBER(O63), VLOOKUP(O63/$AH63,F!$A1:$B101,2,1)*O63*$P63*$Q63,0)+IF(ISNUMBER(S63), VLOOKUP(S63/$AH63,F!$A1:$B101,2,1)*S63*$T63*$U63,0)+IF(ISNUMBER(W63), VLOOKUP(W63/$AH63,F!$A1:$B101,2,1)*W63*$X63*$Y63,0)+IF(ISNUMBER(AA63), VLOOKUP(AA63/$AH63,F!$A1:$B101,2,1)*AA63*$AB63*$AC63,0))*IF(ISNUMBER(F63),F63,1)*IF(ISNUMBER(E63),E63,1)</f>
        <v>1085.2</v>
      </c>
      <c r="AJ63" s="57">
        <f t="shared" si="77"/>
        <v>30</v>
      </c>
      <c r="AK63" s="58">
        <f t="array" ref="AK63">IFERROR(I63*INDEX(F!$P$21:$AB$33, MATCH(G63/$AH63, F!$O$21:$O$33,1), MATCH(E63, F!$P$20:$AB$20,1)), 0 ) +IFERROR( M63*INDEX(F!$P$21:$AB$33, MATCH(K63/$AH63, F!$O$21:$O$33,1), MATCH(E63, F!$P$20:$AB$20,1)),0) +  IFERROR( Q63*INDEX(F!$P$21:$AB$33, MATCH(O63/$AH63, F!$O$21:$O$33,1), MATCH(E63, F!$P$20:$AB$20,1)), 0) + IFERROR( U63*INDEX(F!$P$21:$AB$33, MATCH(S63/$AH63, F!$O$21:$O$33,1), MATCH(E63, F!$P$20:$AB$20,1)),0)  + IFERROR(Y63*INDEX(F!$P$21:$AB$33, MATCH(W63/$AH63, F!$O$21:$O$33,1), MATCH(E63, F!$P$20:$AB$20,1)),0)  + IFERROR( AC63*INDEX(F!$P$21:$AB$33, MATCH(AA63/$AH63, F!$O$21:$O$33,1), MATCH(E63, F!$P$20:$AB$20,1)),)</f>
        <v>22</v>
      </c>
      <c r="AL63" s="59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ht="15.75" customHeight="1">
      <c r="A64" s="59"/>
      <c r="B64" s="216" t="s">
        <v>24</v>
      </c>
      <c r="C64" s="78" t="str">
        <f t="shared" ref="C64:F64" si="80">IF(C8="","",C8)</f>
        <v>ОФП</v>
      </c>
      <c r="D64" s="62" t="str">
        <f t="shared" si="80"/>
        <v>Французский жим</v>
      </c>
      <c r="E64" s="48">
        <f t="shared" si="80"/>
        <v>0.4</v>
      </c>
      <c r="F64" s="79" t="str">
        <f t="shared" si="80"/>
        <v/>
      </c>
      <c r="G64" s="64">
        <f t="shared" si="67"/>
        <v>22.5</v>
      </c>
      <c r="H64" s="34">
        <v>5.0</v>
      </c>
      <c r="I64" s="34">
        <v>5.0</v>
      </c>
      <c r="J64" s="65">
        <v>0.5</v>
      </c>
      <c r="K64" s="64" t="str">
        <f t="shared" si="68"/>
        <v/>
      </c>
      <c r="L64" s="34"/>
      <c r="M64" s="34"/>
      <c r="N64" s="65"/>
      <c r="O64" s="64" t="str">
        <f t="shared" si="69"/>
        <v/>
      </c>
      <c r="P64" s="34"/>
      <c r="Q64" s="34"/>
      <c r="R64" s="65"/>
      <c r="S64" s="64" t="str">
        <f t="shared" si="70"/>
        <v/>
      </c>
      <c r="T64" s="34"/>
      <c r="U64" s="34"/>
      <c r="V64" s="65"/>
      <c r="W64" s="64" t="str">
        <f t="shared" si="71"/>
        <v/>
      </c>
      <c r="X64" s="34"/>
      <c r="Y64" s="34"/>
      <c r="Z64" s="65"/>
      <c r="AA64" s="64" t="str">
        <f t="shared" si="72"/>
        <v/>
      </c>
      <c r="AB64" s="34"/>
      <c r="AC64" s="34"/>
      <c r="AD64" s="65"/>
      <c r="AE64" s="66">
        <f t="shared" si="73"/>
        <v>562.5</v>
      </c>
      <c r="AF64" s="67">
        <f t="shared" si="74"/>
        <v>22.5</v>
      </c>
      <c r="AG64" s="68">
        <f t="shared" si="75"/>
        <v>0.5047785705</v>
      </c>
      <c r="AH64" s="76">
        <f t="shared" si="76"/>
        <v>44.574</v>
      </c>
      <c r="AI64" s="70">
        <f> ( IF(ISNUMBER(G64), VLOOKUP(G64/$AH64,F!$A1:$B101,2,1)*G64*$H64*$I64,0)+IF(ISNUMBER(K64), VLOOKUP(K64/$AH64,F!$A1:$B101,2,1)*K64*$L64*$M64,0)+IF(ISNUMBER(O64), VLOOKUP(O64/$AH64,F!$A1:$B101,2,1)*O64*$P64*$Q64,0)+IF(ISNUMBER(S64), VLOOKUP(S64/$AH64,F!$A1:$B101,2,1)*S64*$T64*$U64,0)+IF(ISNUMBER(W64), VLOOKUP(W64/$AH64,F!$A1:$B101,2,1)*W64*$X64*$Y64,0)+IF(ISNUMBER(AA64), VLOOKUP(AA64/$AH64,F!$A1:$B101,2,1)*AA64*$AB64*$AC64,0))*IF(ISNUMBER(F64),F64,1)*IF(ISNUMBER(E64),E64,1)</f>
        <v>112.5</v>
      </c>
      <c r="AJ64" s="71">
        <f t="shared" si="77"/>
        <v>25</v>
      </c>
      <c r="AK64" s="72">
        <f t="array" ref="AK64">IFERROR(I64*INDEX(F!$P$21:$AB$33, MATCH(G64/$AH64, F!$O$21:$O$33,1), MATCH(E64, F!$P$20:$AB$20,1)), 0 ) +IFERROR( M64*INDEX(F!$P$21:$AB$33, MATCH(K64/$AH64, F!$O$21:$O$33,1), MATCH(E64, F!$P$20:$AB$20,1)),0) +  IFERROR( Q64*INDEX(F!$P$21:$AB$33, MATCH(O64/$AH64, F!$O$21:$O$33,1), MATCH(E64, F!$P$20:$AB$20,1)), 0) + IFERROR( U64*INDEX(F!$P$21:$AB$33, MATCH(S64/$AH64, F!$O$21:$O$33,1), MATCH(E64, F!$P$20:$AB$20,1)),0)  + IFERROR(Y64*INDEX(F!$P$21:$AB$33, MATCH(W64/$AH64, F!$O$21:$O$33,1), MATCH(E64, F!$P$20:$AB$20,1)),0)  + IFERROR( AC64*INDEX(F!$P$21:$AB$33, MATCH(AA64/$AH64, F!$O$21:$O$33,1), MATCH(E64, F!$P$20:$AB$20,1)),)</f>
        <v>7.5</v>
      </c>
      <c r="AL64" s="59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ht="15.75" hidden="1" customHeight="1">
      <c r="A65" s="59"/>
      <c r="B65" s="45" t="str">
        <f t="shared" ref="B65:F65" si="81">IF(B9="","",B9)</f>
        <v/>
      </c>
      <c r="C65" s="46" t="str">
        <f t="shared" si="81"/>
        <v/>
      </c>
      <c r="D65" s="197" t="str">
        <f t="shared" si="81"/>
        <v/>
      </c>
      <c r="E65" s="48" t="str">
        <f t="shared" si="81"/>
        <v/>
      </c>
      <c r="F65" s="83" t="str">
        <f t="shared" si="81"/>
        <v/>
      </c>
      <c r="G65" s="84"/>
      <c r="H65" s="85"/>
      <c r="I65" s="85"/>
      <c r="J65" s="52"/>
      <c r="K65" s="50" t="str">
        <f t="shared" si="68"/>
        <v/>
      </c>
      <c r="L65" s="51"/>
      <c r="M65" s="51"/>
      <c r="N65" s="52"/>
      <c r="O65" s="50" t="str">
        <f t="shared" si="69"/>
        <v/>
      </c>
      <c r="P65" s="51"/>
      <c r="Q65" s="51"/>
      <c r="R65" s="52"/>
      <c r="S65" s="50" t="str">
        <f t="shared" si="70"/>
        <v/>
      </c>
      <c r="T65" s="51"/>
      <c r="U65" s="51"/>
      <c r="V65" s="52"/>
      <c r="W65" s="50" t="str">
        <f t="shared" si="71"/>
        <v/>
      </c>
      <c r="X65" s="51"/>
      <c r="Y65" s="51"/>
      <c r="Z65" s="52"/>
      <c r="AA65" s="50" t="str">
        <f t="shared" si="72"/>
        <v/>
      </c>
      <c r="AB65" s="51"/>
      <c r="AC65" s="51"/>
      <c r="AD65" s="52"/>
      <c r="AE65" s="53">
        <f t="shared" si="73"/>
        <v>0</v>
      </c>
      <c r="AF65" s="54">
        <f t="shared" si="74"/>
        <v>0</v>
      </c>
      <c r="AG65" s="75">
        <f t="shared" si="75"/>
        <v>0</v>
      </c>
      <c r="AH65" s="76" t="str">
        <f t="shared" si="76"/>
        <v/>
      </c>
      <c r="AI65" s="77">
        <f> ( IF(ISNUMBER(G65), VLOOKUP(G65/$AH65,F!$A1:$B101,2,1)*G65*$H65*$I65,0)+IF(ISNUMBER(K65), VLOOKUP(K65/$AH65,F!$A1:$B101,2,1)*K65*$L65*$M65,0)+IF(ISNUMBER(O65), VLOOKUP(O65/$AH65,F!$A1:$B101,2,1)*O65*$P65*$Q65,0)+IF(ISNUMBER(S65), VLOOKUP(S65/$AH65,F!$A1:$B101,2,1)*S65*$T65*$U65,0)+IF(ISNUMBER(W65), VLOOKUP(W65/$AH65,F!$A1:$B101,2,1)*W65*$X65*$Y65,0)+IF(ISNUMBER(AA65), VLOOKUP(AA65/$AH65,F!$A1:$B101,2,1)*AA65*$AB65*$AC65,0))*IF(ISNUMBER(F65),F65,1)*IF(ISNUMBER(E65),E65,1)</f>
        <v>0</v>
      </c>
      <c r="AJ65" s="86">
        <f t="shared" si="77"/>
        <v>0</v>
      </c>
      <c r="AK65" s="58">
        <f t="array" ref="AK65">IFERROR(I65*INDEX(F!$P$21:$AB$33, MATCH(G65/$AH65, F!$O$21:$O$33,1), MATCH(E65, F!$P$20:$AB$20,1)), 0 ) +IFERROR( M65*INDEX(F!$P$21:$AB$33, MATCH(K65/$AH65, F!$O$21:$O$33,1), MATCH(E65, F!$P$20:$AB$20,1)),0) +  IFERROR( Q65*INDEX(F!$P$21:$AB$33, MATCH(O65/$AH65, F!$O$21:$O$33,1), MATCH(E65, F!$P$20:$AB$20,1)), 0) + IFERROR( U65*INDEX(F!$P$21:$AB$33, MATCH(S65/$AH65, F!$O$21:$O$33,1), MATCH(E65, F!$P$20:$AB$20,1)),0)  + IFERROR(Y65*INDEX(F!$P$21:$AB$33, MATCH(W65/$AH65, F!$O$21:$O$33,1), MATCH(E65, F!$P$20:$AB$20,1)),0)  + IFERROR( AC65*INDEX(F!$P$21:$AB$33, MATCH(AA65/$AH65, F!$O$21:$O$33,1), MATCH(E65, F!$P$20:$AB$20,1)),)</f>
        <v>0</v>
      </c>
      <c r="AL65" s="59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ht="15.75" hidden="1" customHeight="1">
      <c r="A66" s="59"/>
      <c r="B66" s="60" t="str">
        <f t="shared" ref="B66:F66" si="82">IF(B10="","",B10)</f>
        <v/>
      </c>
      <c r="C66" s="61" t="str">
        <f t="shared" si="82"/>
        <v/>
      </c>
      <c r="D66" s="198" t="str">
        <f t="shared" si="82"/>
        <v/>
      </c>
      <c r="E66" s="48" t="str">
        <f t="shared" si="82"/>
        <v/>
      </c>
      <c r="F66" s="79" t="str">
        <f t="shared" si="82"/>
        <v/>
      </c>
      <c r="G66" s="88"/>
      <c r="H66" s="89"/>
      <c r="I66" s="89"/>
      <c r="J66" s="65"/>
      <c r="K66" s="64" t="str">
        <f t="shared" si="68"/>
        <v/>
      </c>
      <c r="L66" s="34"/>
      <c r="M66" s="34"/>
      <c r="N66" s="65"/>
      <c r="O66" s="64" t="str">
        <f t="shared" si="69"/>
        <v/>
      </c>
      <c r="P66" s="34"/>
      <c r="Q66" s="34"/>
      <c r="R66" s="65"/>
      <c r="S66" s="64" t="str">
        <f t="shared" si="70"/>
        <v/>
      </c>
      <c r="T66" s="34"/>
      <c r="U66" s="34"/>
      <c r="V66" s="65"/>
      <c r="W66" s="64" t="str">
        <f t="shared" si="71"/>
        <v/>
      </c>
      <c r="X66" s="34"/>
      <c r="Y66" s="34"/>
      <c r="Z66" s="65"/>
      <c r="AA66" s="64" t="str">
        <f t="shared" si="72"/>
        <v/>
      </c>
      <c r="AB66" s="34"/>
      <c r="AC66" s="34"/>
      <c r="AD66" s="65"/>
      <c r="AE66" s="66">
        <f t="shared" si="73"/>
        <v>0</v>
      </c>
      <c r="AF66" s="67">
        <f t="shared" si="74"/>
        <v>0</v>
      </c>
      <c r="AG66" s="68">
        <f t="shared" si="75"/>
        <v>0</v>
      </c>
      <c r="AH66" s="76" t="str">
        <f t="shared" si="76"/>
        <v/>
      </c>
      <c r="AI66" s="90">
        <f> ( IF(ISNUMBER(G66), VLOOKUP(G66/$AH66,F!$A1:$B101,2,1)*G66*$H66*$I66,0)+IF(ISNUMBER(K66), VLOOKUP(K66/$AH66,F!$A1:$B101,2,1)*K66*$L66*$M66,0)+IF(ISNUMBER(O66), VLOOKUP(O66/$AH66,F!$A1:$B101,2,1)*O66*$P66*$Q66,0)+IF(ISNUMBER(S66), VLOOKUP(S66/$AH66,F!$A1:$B101,2,1)*S66*$T66*$U66,0)+IF(ISNUMBER(W66), VLOOKUP(W66/$AH66,F!$A1:$B101,2,1)*W66*$X66*$Y66,0)+IF(ISNUMBER(AA66), VLOOKUP(AA66/$AH66,F!$A1:$B101,2,1)*AA66*$AB66*$AC66,0))*IF(ISNUMBER(F66),F66,1)*IF(ISNUMBER(E66),E66,1)</f>
        <v>0</v>
      </c>
      <c r="AJ66" s="34">
        <f t="shared" si="77"/>
        <v>0</v>
      </c>
      <c r="AK66" s="91">
        <f t="array" ref="AK66">IFERROR(I66*INDEX(F!$P$21:$AB$33, MATCH(G66/$AH66, F!$O$21:$O$33,1), MATCH(E66, F!$P$20:$AB$20,1)), 0 ) +IFERROR( M66*INDEX(F!$P$21:$AB$33, MATCH(K66/$AH66, F!$O$21:$O$33,1), MATCH(E66, F!$P$20:$AB$20,1)),0) +  IFERROR( Q66*INDEX(F!$P$21:$AB$33, MATCH(O66/$AH66, F!$O$21:$O$33,1), MATCH(E66, F!$P$20:$AB$20,1)), 0) + IFERROR( U66*INDEX(F!$P$21:$AB$33, MATCH(S66/$AH66, F!$O$21:$O$33,1), MATCH(E66, F!$P$20:$AB$20,1)),0)  + IFERROR(Y66*INDEX(F!$P$21:$AB$33, MATCH(W66/$AH66, F!$O$21:$O$33,1), MATCH(E66, F!$P$20:$AB$20,1)),0)  + IFERROR( AC66*INDEX(F!$P$21:$AB$33, MATCH(AA66/$AH66, F!$O$21:$O$33,1), MATCH(E66, F!$P$20:$AB$20,1)),)</f>
        <v>0</v>
      </c>
      <c r="AL66" s="59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ht="15.0" hidden="1" customHeight="1">
      <c r="A67" s="59"/>
      <c r="B67" s="45" t="str">
        <f t="shared" ref="B67:F67" si="83">IF(B11="","",B11)</f>
        <v/>
      </c>
      <c r="C67" s="46" t="str">
        <f t="shared" si="83"/>
        <v/>
      </c>
      <c r="D67" s="92" t="str">
        <f t="shared" si="83"/>
        <v/>
      </c>
      <c r="E67" s="48" t="str">
        <f t="shared" si="83"/>
        <v/>
      </c>
      <c r="F67" s="74" t="str">
        <f t="shared" si="83"/>
        <v/>
      </c>
      <c r="G67" s="50" t="str">
        <f>IF(J67&lt;&gt;0, IFERROR(IF( $F67=2,  MROUND($AH67*J67,1),    IF( OR($F67="",$F67=1),   MROUND($AH67*J67,2.5),  MROUND($AH67*J67, 0.1))), "" ), "")</f>
        <v/>
      </c>
      <c r="H67" s="51"/>
      <c r="I67" s="51"/>
      <c r="J67" s="52"/>
      <c r="K67" s="50" t="str">
        <f t="shared" si="68"/>
        <v/>
      </c>
      <c r="L67" s="51"/>
      <c r="M67" s="51"/>
      <c r="N67" s="52"/>
      <c r="O67" s="50" t="str">
        <f t="shared" si="69"/>
        <v/>
      </c>
      <c r="P67" s="51"/>
      <c r="Q67" s="51"/>
      <c r="R67" s="52"/>
      <c r="S67" s="50" t="str">
        <f t="shared" si="70"/>
        <v/>
      </c>
      <c r="T67" s="51"/>
      <c r="U67" s="51"/>
      <c r="V67" s="52"/>
      <c r="W67" s="50" t="str">
        <f t="shared" si="71"/>
        <v/>
      </c>
      <c r="X67" s="51"/>
      <c r="Y67" s="51"/>
      <c r="Z67" s="52"/>
      <c r="AA67" s="50" t="str">
        <f t="shared" si="72"/>
        <v/>
      </c>
      <c r="AB67" s="51"/>
      <c r="AC67" s="51"/>
      <c r="AD67" s="52"/>
      <c r="AE67" s="53">
        <f t="shared" si="73"/>
        <v>0</v>
      </c>
      <c r="AF67" s="93">
        <f t="shared" si="74"/>
        <v>0</v>
      </c>
      <c r="AG67" s="94">
        <f t="shared" si="75"/>
        <v>0</v>
      </c>
      <c r="AH67" s="76" t="str">
        <f t="shared" si="76"/>
        <v/>
      </c>
      <c r="AI67" s="95">
        <f> ( IF(ISNUMBER(G67), VLOOKUP(G67/$AH67,F!$A1:$B101,2,1)*G67*$H67*$I67,0)+IF(ISNUMBER(K67), VLOOKUP(K67/$AH67,F!$A1:$B101,2,1)*K67*$L67*$M67,0)+IF(ISNUMBER(O67), VLOOKUP(O67/$AH67,F!$A1:$B101,2,1)*O67*$P67*$Q67,0)+IF(ISNUMBER(S67), VLOOKUP(S67/$AH67,F!$A1:$B101,2,1)*S67*$T67*$U67,0)+IF(ISNUMBER(W67), VLOOKUP(W67/$AH67,F!$A1:$B101,2,1)*W67*$X67*$Y67,0)+IF(ISNUMBER(AA67), VLOOKUP(AA67/$AH67,F!$A1:$B101,2,1)*AA67*$AB67*$AC67,0))*IF(ISNUMBER(F67),F67,1)*IF(ISNUMBER(E67),E67,1)</f>
        <v>0</v>
      </c>
      <c r="AJ67" s="96">
        <f t="shared" si="77"/>
        <v>0</v>
      </c>
      <c r="AK67" s="97">
        <f t="array" ref="AK67">IFERROR(I67*INDEX(F!$P$21:$AB$33, MATCH(G67/$AH67, F!$O$21:$O$33,1), MATCH(E67, F!$P$20:$AB$20,1)), 0 ) +IFERROR( M67*INDEX(F!$P$21:$AB$33, MATCH(K67/$AH67, F!$O$21:$O$33,1), MATCH(E67, F!$P$20:$AB$20,1)),0) +  IFERROR( Q67*INDEX(F!$P$21:$AB$33, MATCH(O67/$AH67, F!$O$21:$O$33,1), MATCH(E67, F!$P$20:$AB$20,1)), 0) + IFERROR( U67*INDEX(F!$P$21:$AB$33, MATCH(S67/$AH67, F!$O$21:$O$33,1), MATCH(E67, F!$P$20:$AB$20,1)),0)  + IFERROR(Y67*INDEX(F!$P$21:$AB$33, MATCH(W67/$AH67, F!$O$21:$O$33,1), MATCH(E67, F!$P$20:$AB$20,1)),0)  + IFERROR( AC67*INDEX(F!$P$21:$AB$33, MATCH(AA67/$AH67, F!$O$21:$O$33,1), MATCH(E67, F!$P$20:$AB$20,1)),)</f>
        <v>0</v>
      </c>
      <c r="AL67" s="59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ht="16.5" customHeight="1">
      <c r="A68" s="98"/>
      <c r="B68" s="99"/>
      <c r="C68" s="100"/>
      <c r="D68" s="101"/>
      <c r="E68" s="102">
        <f>ROUND(IFERROR(SUMPRODUCT(AJ60:AJ67,E60:E67)/AJ68,0),3)</f>
        <v>0.921</v>
      </c>
      <c r="F68" s="199"/>
      <c r="G68" s="104"/>
      <c r="H68" s="105"/>
      <c r="I68" s="105"/>
      <c r="J68" s="106"/>
      <c r="K68" s="104"/>
      <c r="L68" s="105"/>
      <c r="M68" s="105"/>
      <c r="N68" s="106"/>
      <c r="O68" s="104"/>
      <c r="P68" s="105"/>
      <c r="Q68" s="105"/>
      <c r="R68" s="106"/>
      <c r="S68" s="104"/>
      <c r="T68" s="105"/>
      <c r="U68" s="105"/>
      <c r="V68" s="106"/>
      <c r="W68" s="104"/>
      <c r="X68" s="105"/>
      <c r="Y68" s="105"/>
      <c r="Z68" s="106"/>
      <c r="AA68" s="104"/>
      <c r="AB68" s="105"/>
      <c r="AC68" s="105"/>
      <c r="AD68" s="106"/>
      <c r="AE68" s="107">
        <f>SUM(AE60:AE67)</f>
        <v>6202.5</v>
      </c>
      <c r="AF68" s="108">
        <f t="shared" si="74"/>
        <v>57.96728972</v>
      </c>
      <c r="AG68" s="109">
        <f>IFERROR(  SUMPRODUCT(AG60:AG67,AJ60:AJ67)/AJ68,0)</f>
        <v>0.6404293905</v>
      </c>
      <c r="AH68" s="157"/>
      <c r="AI68" s="111">
        <f t="shared" ref="AI68:AJ68" si="84">SUM(AI60:AI67)</f>
        <v>6157.93</v>
      </c>
      <c r="AJ68" s="111">
        <f t="shared" si="84"/>
        <v>107</v>
      </c>
      <c r="AK68" s="112">
        <f>IF(SUM(AK60:AK67)=0,TIME(,0,),TIME(,SUM(AK60:AK67)+F!$V$37,))</f>
        <v>0.09166666667</v>
      </c>
      <c r="AL68" s="98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ht="15.75" customHeight="1">
      <c r="A69" s="113">
        <f>A70</f>
        <v>43789</v>
      </c>
      <c r="B69" s="114" t="str">
        <f t="shared" ref="B69:F69" si="85">IF(B13="","",B13)</f>
        <v>Тяжелая</v>
      </c>
      <c r="C69" s="115" t="str">
        <f t="shared" si="85"/>
        <v>ТГ</v>
      </c>
      <c r="D69" s="116" t="str">
        <f t="shared" si="85"/>
        <v>Становая тяга</v>
      </c>
      <c r="E69" s="29">
        <f t="shared" si="85"/>
        <v>1.4</v>
      </c>
      <c r="F69" s="117" t="str">
        <f t="shared" si="85"/>
        <v/>
      </c>
      <c r="G69" s="118">
        <f t="shared" ref="G69:G73" si="87">IF(J69&lt;&gt;0, IFERROR(IF( $F69=2,  MROUND($AH69*J69,1),    IF( OR($F69="",$F69=1),   MROUND($AH69*J69,2.5),  MROUND($AH69*J69, 0.1))), "" ), "")</f>
        <v>122.5</v>
      </c>
      <c r="H69" s="119">
        <v>3.0</v>
      </c>
      <c r="I69" s="119">
        <v>1.0</v>
      </c>
      <c r="J69" s="120">
        <v>0.65</v>
      </c>
      <c r="K69" s="118">
        <f t="shared" ref="K69:K76" si="88">IF(N69&lt;&gt;0, IFERROR(IF( $F69=2,  MROUND($AH69*N69,1),    IF( OR($F69="",$F69=1),   MROUND($AH69*N69,2.5),  MROUND($AH69*N69, 0.1))), "" ), "")</f>
        <v>142.5</v>
      </c>
      <c r="L69" s="119">
        <v>2.0</v>
      </c>
      <c r="M69" s="119">
        <v>2.0</v>
      </c>
      <c r="N69" s="120">
        <v>0.75</v>
      </c>
      <c r="O69" s="118">
        <f t="shared" ref="O69:O76" si="89">IF(R69&lt;&gt;0, IFERROR(IF( $F69=2,  MROUND($AH69*R69,1),    IF( OR($F69="",$F69=1),   MROUND($AH69*R69,2.5),  MROUND($AH69*R69, 0.1))), "" ), "")</f>
        <v>160</v>
      </c>
      <c r="P69" s="119">
        <v>1.0</v>
      </c>
      <c r="Q69" s="119">
        <v>2.0</v>
      </c>
      <c r="R69" s="120">
        <v>0.85</v>
      </c>
      <c r="S69" s="118">
        <f t="shared" ref="S69:S76" si="90">IF(V69&lt;&gt;0, IFERROR(IF( $F69=2,  MROUND($AH69*V69,1),    IF( OR($F69="",$F69=1),   MROUND($AH69*V69,2.5),  MROUND($AH69*V69, 0.1))), "" ), "")</f>
        <v>170</v>
      </c>
      <c r="T69" s="119">
        <v>1.0</v>
      </c>
      <c r="U69" s="119">
        <v>2.0</v>
      </c>
      <c r="V69" s="120">
        <v>0.9</v>
      </c>
      <c r="W69" s="118" t="str">
        <f t="shared" ref="W69:W76" si="91">IF(Z69&lt;&gt;0, IFERROR(IF( $F69=2,  MROUND($AH69*Z69,1),    IF( OR($F69="",$F69=1),   MROUND($AH69*Z69,2.5),  MROUND($AH69*Z69, 0.1))), "" ), "")</f>
        <v/>
      </c>
      <c r="X69" s="119"/>
      <c r="Y69" s="119"/>
      <c r="Z69" s="120"/>
      <c r="AA69" s="118" t="str">
        <f t="shared" ref="AA69:AA76" si="92">IF(AD69&lt;&gt;0, IFERROR(IF( $F69=2,  MROUND($AH69*AD69,1),    IF( OR($F69="",$F69=1),   MROUND($AH69*AD69,2.5),  MROUND($AH69*AD69, 0.1))), "" ), "")</f>
        <v/>
      </c>
      <c r="AB69" s="119"/>
      <c r="AC69" s="119"/>
      <c r="AD69" s="120"/>
      <c r="AE69" s="121">
        <f t="shared" ref="AE69:AE76" si="93">(IF(ISNUMBER(G69),G69,0)*H69*I69+IF(ISNUMBER(K69),K69,1)*L69*M69+IF(ISNUMBER(O69),O69,1)*P69*Q69+IF(ISNUMBER(S69),S69,1)*T69*U69+IF(ISNUMBER(W69),W69,1)*X69*Y69+IF(ISNUMBER(AA69),AA69,1)*AB69*AC69)*IF(ISNUMBER(F69),F69,1)</f>
        <v>1597.5</v>
      </c>
      <c r="AF69" s="122">
        <f t="shared" si="74"/>
        <v>145.2272727</v>
      </c>
      <c r="AG69" s="200">
        <f t="shared" ref="AG69:AG76" si="94">IFERROR((AF69/(AH69*IF(ISNUMBER(F69),F69,1))),0)</f>
        <v>0.7696198873</v>
      </c>
      <c r="AH69" s="169">
        <f t="shared" ref="AH69:AH76" si="95">IF(ISNUMBER(AH13), AH13+(AH13*$AH$58),"")</f>
        <v>188.7</v>
      </c>
      <c r="AI69" s="122">
        <f> ( IF(ISNUMBER(G69), VLOOKUP(G69/$AH69,F!$A1:$B101,2,1)*G69*$H69*$I69,0)+IF(ISNUMBER(K69), VLOOKUP(K69/$AH69,F!$A1:$B101,2,1)*K69*$L69*$M69,0)+IF(ISNUMBER(O69), VLOOKUP(O69/$AH69,F!$A1:$B101,2,1)*O69*$P69*$Q69,0)+IF(ISNUMBER(S69), VLOOKUP(S69/$AH69,F!$A1:$B101,2,1)*S69*$T69*$U69,0)+IF(ISNUMBER(W69), VLOOKUP(W69/$AH69,F!$A1:$B101,2,1)*W69*$X69*$Y69,0)+IF(ISNUMBER(AA69), VLOOKUP(AA69/$AH69,F!$A1:$B101,2,1)*AA69*$AB69*$AC69,0))*IF(ISNUMBER(F69),F69,1)*IF(ISNUMBER(E69),E69,1)</f>
        <v>3507.07</v>
      </c>
      <c r="AJ69" s="119">
        <f t="shared" ref="AJ69:AJ76" si="96">H69*I69+L69*M69+P69*Q69+T69*U69+X69*Y69+AB69*AC69</f>
        <v>11</v>
      </c>
      <c r="AK69" s="125">
        <f t="array" ref="AK69">IFERROR(I69*INDEX(F!$P$21:$AB$33, MATCH(G69/$AH69, F!$O$21:$O$33,1), MATCH(E69, F!$P$20:$AB$20,1)), 0 ) +IFERROR( M69*INDEX(F!$P$21:$AB$33, MATCH(K69/$AH69, F!$O$21:$O$33,1), MATCH(E69, F!$P$20:$AB$20,1)),0) +  IFERROR( Q69*INDEX(F!$P$21:$AB$33, MATCH(O69/$AH69, F!$O$21:$O$33,1), MATCH(E69, F!$P$20:$AB$20,1)), 0) + IFERROR( U69*INDEX(F!$P$21:$AB$33, MATCH(S69/$AH69, F!$O$21:$O$33,1), MATCH(E69, F!$P$20:$AB$20,1)),0)  + IFERROR(Y69*INDEX(F!$P$21:$AB$33, MATCH(W69/$AH69, F!$O$21:$O$33,1), MATCH(E69, F!$P$20:$AB$20,1)),0)  + IFERROR( AC69*INDEX(F!$P$21:$AB$33, MATCH(AA69/$AH69, F!$O$21:$O$33,1), MATCH(E69, F!$P$20:$AB$20,1)),)</f>
        <v>40.5</v>
      </c>
      <c r="AL69" s="42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ht="15.75" customHeight="1">
      <c r="A70" s="44">
        <f>A14+A2</f>
        <v>43789</v>
      </c>
      <c r="B70" s="126" t="str">
        <f t="shared" ref="B70:F70" si="86">IF(B14="","",B14)</f>
        <v>Тяжелая</v>
      </c>
      <c r="C70" s="127" t="str">
        <f t="shared" si="86"/>
        <v>ЖМ</v>
      </c>
      <c r="D70" s="128" t="str">
        <f t="shared" si="86"/>
        <v>Жим лежа</v>
      </c>
      <c r="E70" s="48">
        <f t="shared" si="86"/>
        <v>1</v>
      </c>
      <c r="F70" s="129" t="str">
        <f t="shared" si="86"/>
        <v/>
      </c>
      <c r="G70" s="130">
        <f t="shared" si="87"/>
        <v>62.5</v>
      </c>
      <c r="H70" s="34">
        <v>3.0</v>
      </c>
      <c r="I70" s="34">
        <v>3.0</v>
      </c>
      <c r="J70" s="65">
        <v>0.65</v>
      </c>
      <c r="K70" s="130">
        <f t="shared" si="88"/>
        <v>72.5</v>
      </c>
      <c r="L70" s="34">
        <v>2.0</v>
      </c>
      <c r="M70" s="34">
        <v>3.0</v>
      </c>
      <c r="N70" s="65">
        <v>0.75</v>
      </c>
      <c r="O70" s="130" t="str">
        <f t="shared" si="89"/>
        <v/>
      </c>
      <c r="P70" s="34"/>
      <c r="Q70" s="34"/>
      <c r="R70" s="65"/>
      <c r="S70" s="130" t="str">
        <f t="shared" si="90"/>
        <v/>
      </c>
      <c r="T70" s="34"/>
      <c r="U70" s="34"/>
      <c r="V70" s="65"/>
      <c r="W70" s="130" t="str">
        <f t="shared" si="91"/>
        <v/>
      </c>
      <c r="X70" s="34"/>
      <c r="Y70" s="34"/>
      <c r="Z70" s="65"/>
      <c r="AA70" s="130" t="str">
        <f t="shared" si="92"/>
        <v/>
      </c>
      <c r="AB70" s="34"/>
      <c r="AC70" s="34"/>
      <c r="AD70" s="65"/>
      <c r="AE70" s="131">
        <f t="shared" si="93"/>
        <v>997.5</v>
      </c>
      <c r="AF70" s="132">
        <f t="shared" si="74"/>
        <v>66.5</v>
      </c>
      <c r="AG70" s="133">
        <f t="shared" si="94"/>
        <v>0.6862745098</v>
      </c>
      <c r="AH70" s="76">
        <f t="shared" si="95"/>
        <v>96.9</v>
      </c>
      <c r="AI70" s="132">
        <f> ( IF(ISNUMBER(G70), VLOOKUP(G70/$AH70,F!$A1:$B101,2,1)*G70*$H70*$I70,0)+IF(ISNUMBER(K70), VLOOKUP(K70/$AH70,F!$A1:$B101,2,1)*K70*$L70*$M70,0)+IF(ISNUMBER(O70), VLOOKUP(O70/$AH70,F!$A1:$B101,2,1)*O70*$P70*$Q70,0)+IF(ISNUMBER(S70), VLOOKUP(S70/$AH70,F!$A1:$B101,2,1)*S70*$T70*$U70,0)+IF(ISNUMBER(W70), VLOOKUP(W70/$AH70,F!$A1:$B101,2,1)*W70*$X70*$Y70,0)+IF(ISNUMBER(AA70), VLOOKUP(AA70/$AH70,F!$A1:$B101,2,1)*AA70*$AB70*$AC70,0))*IF(ISNUMBER(F70),F70,1)*IF(ISNUMBER(E70),E70,1)</f>
        <v>934.65</v>
      </c>
      <c r="AJ70" s="34">
        <f t="shared" si="96"/>
        <v>15</v>
      </c>
      <c r="AK70" s="134">
        <f t="array" ref="AK70">IFERROR(I70*INDEX(F!$P$21:$AB$33, MATCH(G70/$AH70, F!$O$21:$O$33,1), MATCH(E70, F!$P$20:$AB$20,1)), 0 ) +IFERROR( M70*INDEX(F!$P$21:$AB$33, MATCH(K70/$AH70, F!$O$21:$O$33,1), MATCH(E70, F!$P$20:$AB$20,1)),0) +  IFERROR( Q70*INDEX(F!$P$21:$AB$33, MATCH(O70/$AH70, F!$O$21:$O$33,1), MATCH(E70, F!$P$20:$AB$20,1)), 0) + IFERROR( U70*INDEX(F!$P$21:$AB$33, MATCH(S70/$AH70, F!$O$21:$O$33,1), MATCH(E70, F!$P$20:$AB$20,1)),0)  + IFERROR(Y70*INDEX(F!$P$21:$AB$33, MATCH(W70/$AH70, F!$O$21:$O$33,1), MATCH(E70, F!$P$20:$AB$20,1)),0)  + IFERROR( AC70*INDEX(F!$P$21:$AB$33, MATCH(AA70/$AH70, F!$O$21:$O$33,1), MATCH(E70, F!$P$20:$AB$20,1)),)</f>
        <v>21</v>
      </c>
      <c r="AL70" s="59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ht="15.75" customHeight="1">
      <c r="A71" s="59"/>
      <c r="B71" s="135" t="s">
        <v>24</v>
      </c>
      <c r="C71" s="136" t="str">
        <f t="shared" ref="C71:F71" si="97">IF(C15="","",C15)</f>
        <v>ОФП</v>
      </c>
      <c r="D71" s="137" t="str">
        <f t="shared" si="97"/>
        <v>Наклоны со штангой</v>
      </c>
      <c r="E71" s="48">
        <f t="shared" si="97"/>
        <v>0.8</v>
      </c>
      <c r="F71" s="138" t="str">
        <f t="shared" si="97"/>
        <v/>
      </c>
      <c r="G71" s="139">
        <f t="shared" si="87"/>
        <v>52.5</v>
      </c>
      <c r="H71" s="140">
        <v>5.0</v>
      </c>
      <c r="I71" s="140">
        <v>1.0</v>
      </c>
      <c r="J71" s="141">
        <v>0.5</v>
      </c>
      <c r="K71" s="139">
        <f t="shared" si="88"/>
        <v>62.5</v>
      </c>
      <c r="L71" s="140">
        <v>4.0</v>
      </c>
      <c r="M71" s="140">
        <v>4.0</v>
      </c>
      <c r="N71" s="141">
        <v>0.6</v>
      </c>
      <c r="O71" s="139" t="str">
        <f t="shared" si="89"/>
        <v/>
      </c>
      <c r="P71" s="140"/>
      <c r="Q71" s="140"/>
      <c r="R71" s="141"/>
      <c r="S71" s="139" t="str">
        <f t="shared" si="90"/>
        <v/>
      </c>
      <c r="T71" s="140"/>
      <c r="U71" s="140"/>
      <c r="V71" s="141"/>
      <c r="W71" s="139" t="str">
        <f t="shared" si="91"/>
        <v/>
      </c>
      <c r="X71" s="140"/>
      <c r="Y71" s="140"/>
      <c r="Z71" s="141"/>
      <c r="AA71" s="139" t="str">
        <f t="shared" si="92"/>
        <v/>
      </c>
      <c r="AB71" s="140"/>
      <c r="AC71" s="140"/>
      <c r="AD71" s="141"/>
      <c r="AE71" s="142">
        <f t="shared" si="93"/>
        <v>1262.5</v>
      </c>
      <c r="AF71" s="143">
        <f t="shared" si="74"/>
        <v>60.11904762</v>
      </c>
      <c r="AG71" s="144">
        <f t="shared" si="94"/>
        <v>0.5792652851</v>
      </c>
      <c r="AH71" s="76">
        <f t="shared" si="95"/>
        <v>103.785</v>
      </c>
      <c r="AI71" s="143">
        <f> ( IF(ISNUMBER(G71), VLOOKUP(G71/$AH71,F!$A1:$B101,2,1)*G71*$H71*$I71,0)+IF(ISNUMBER(K71), VLOOKUP(K71/$AH71,F!$A1:$B101,2,1)*K71*$L71*$M71,0)+IF(ISNUMBER(O71), VLOOKUP(O71/$AH71,F!$A1:$B101,2,1)*O71*$P71*$Q71,0)+IF(ISNUMBER(S71), VLOOKUP(S71/$AH71,F!$A1:$B101,2,1)*S71*$T71*$U71,0)+IF(ISNUMBER(W71), VLOOKUP(W71/$AH71,F!$A1:$B101,2,1)*W71*$X71*$Y71,0)+IF(ISNUMBER(AA71), VLOOKUP(AA71/$AH71,F!$A1:$B101,2,1)*AA71*$AB71*$AC71,0))*IF(ISNUMBER(F71),F71,1)*IF(ISNUMBER(E71),E71,1)</f>
        <v>665</v>
      </c>
      <c r="AJ71" s="140">
        <f t="shared" si="96"/>
        <v>21</v>
      </c>
      <c r="AK71" s="145">
        <f t="array" ref="AK71">IFERROR(I71*INDEX(F!$P$21:$AB$33, MATCH(G71/$AH71, F!$O$21:$O$33,1), MATCH(E71, F!$P$20:$AB$20,1)), 0 ) +IFERROR( M71*INDEX(F!$P$21:$AB$33, MATCH(K71/$AH71, F!$O$21:$O$33,1), MATCH(E71, F!$P$20:$AB$20,1)),0) +  IFERROR( Q71*INDEX(F!$P$21:$AB$33, MATCH(O71/$AH71, F!$O$21:$O$33,1), MATCH(E71, F!$P$20:$AB$20,1)), 0) + IFERROR( U71*INDEX(F!$P$21:$AB$33, MATCH(S71/$AH71, F!$O$21:$O$33,1), MATCH(E71, F!$P$20:$AB$20,1)),0)  + IFERROR(Y71*INDEX(F!$P$21:$AB$33, MATCH(W71/$AH71, F!$O$21:$O$33,1), MATCH(E71, F!$P$20:$AB$20,1)),0)  + IFERROR( AC71*INDEX(F!$P$21:$AB$33, MATCH(AA71/$AH71, F!$O$21:$O$33,1), MATCH(E71, F!$P$20:$AB$20,1)),)</f>
        <v>11.8</v>
      </c>
      <c r="AL71" s="59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ht="15.75" customHeight="1">
      <c r="A72" s="59"/>
      <c r="B72" s="126" t="s">
        <v>24</v>
      </c>
      <c r="C72" s="127" t="str">
        <f t="shared" ref="C72:F72" si="98">IF(C16="","",C16)</f>
        <v>ОФП</v>
      </c>
      <c r="D72" s="128" t="str">
        <f t="shared" si="98"/>
        <v>Жим стоя</v>
      </c>
      <c r="E72" s="48">
        <f t="shared" si="98"/>
        <v>1</v>
      </c>
      <c r="F72" s="129" t="str">
        <f t="shared" si="98"/>
        <v/>
      </c>
      <c r="G72" s="130">
        <f t="shared" si="87"/>
        <v>30</v>
      </c>
      <c r="H72" s="34">
        <v>5.0</v>
      </c>
      <c r="I72" s="34">
        <v>4.0</v>
      </c>
      <c r="J72" s="65">
        <v>0.5</v>
      </c>
      <c r="K72" s="130">
        <f t="shared" si="88"/>
        <v>32.5</v>
      </c>
      <c r="L72" s="34">
        <v>4.0</v>
      </c>
      <c r="M72" s="34">
        <v>4.0</v>
      </c>
      <c r="N72" s="65">
        <v>0.55</v>
      </c>
      <c r="O72" s="130" t="str">
        <f t="shared" si="89"/>
        <v/>
      </c>
      <c r="P72" s="34"/>
      <c r="Q72" s="34"/>
      <c r="R72" s="65"/>
      <c r="S72" s="130" t="str">
        <f t="shared" si="90"/>
        <v/>
      </c>
      <c r="T72" s="34"/>
      <c r="U72" s="34"/>
      <c r="V72" s="65"/>
      <c r="W72" s="130" t="str">
        <f t="shared" si="91"/>
        <v/>
      </c>
      <c r="X72" s="34"/>
      <c r="Y72" s="34"/>
      <c r="Z72" s="65"/>
      <c r="AA72" s="130" t="str">
        <f t="shared" si="92"/>
        <v/>
      </c>
      <c r="AB72" s="34"/>
      <c r="AC72" s="34"/>
      <c r="AD72" s="65"/>
      <c r="AE72" s="131">
        <f t="shared" si="93"/>
        <v>1120</v>
      </c>
      <c r="AF72" s="132">
        <f t="shared" si="74"/>
        <v>31.11111111</v>
      </c>
      <c r="AG72" s="133">
        <f t="shared" si="94"/>
        <v>0.5351068303</v>
      </c>
      <c r="AH72" s="76">
        <f t="shared" si="95"/>
        <v>58.14</v>
      </c>
      <c r="AI72" s="132">
        <f> ( IF(ISNUMBER(G72), VLOOKUP(G72/$AH72,F!$A1:$B101,2,1)*G72*$H72*$I72,0)+IF(ISNUMBER(K72), VLOOKUP(K72/$AH72,F!$A1:$B101,2,1)*K72*$L72*$M72,0)+IF(ISNUMBER(O72), VLOOKUP(O72/$AH72,F!$A1:$B101,2,1)*O72*$P72*$Q72,0)+IF(ISNUMBER(S72), VLOOKUP(S72/$AH72,F!$A1:$B101,2,1)*S72*$T72*$U72,0)+IF(ISNUMBER(W72), VLOOKUP(W72/$AH72,F!$A1:$B101,2,1)*W72*$X72*$Y72,0)+IF(ISNUMBER(AA72), VLOOKUP(AA72/$AH72,F!$A1:$B101,2,1)*AA72*$AB72*$AC72,0))*IF(ISNUMBER(F72),F72,1)*IF(ISNUMBER(E72),E72,1)</f>
        <v>607.6</v>
      </c>
      <c r="AJ72" s="34">
        <f t="shared" si="96"/>
        <v>36</v>
      </c>
      <c r="AK72" s="134">
        <f t="array" ref="AK72">IFERROR(I72*INDEX(F!$P$21:$AB$33, MATCH(G72/$AH72, F!$O$21:$O$33,1), MATCH(E72, F!$P$20:$AB$20,1)), 0 ) +IFERROR( M72*INDEX(F!$P$21:$AB$33, MATCH(K72/$AH72, F!$O$21:$O$33,1), MATCH(E72, F!$P$20:$AB$20,1)),0) +  IFERROR( Q72*INDEX(F!$P$21:$AB$33, MATCH(O72/$AH72, F!$O$21:$O$33,1), MATCH(E72, F!$P$20:$AB$20,1)), 0) + IFERROR( U72*INDEX(F!$P$21:$AB$33, MATCH(S72/$AH72, F!$O$21:$O$33,1), MATCH(E72, F!$P$20:$AB$20,1)),0)  + IFERROR(Y72*INDEX(F!$P$21:$AB$33, MATCH(W72/$AH72, F!$O$21:$O$33,1), MATCH(E72, F!$P$20:$AB$20,1)),0)  + IFERROR( AC72*INDEX(F!$P$21:$AB$33, MATCH(AA72/$AH72, F!$O$21:$O$33,1), MATCH(E72, F!$P$20:$AB$20,1)),)</f>
        <v>20</v>
      </c>
      <c r="AL72" s="59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ht="15.75" customHeight="1">
      <c r="A73" s="59"/>
      <c r="B73" s="135" t="s">
        <v>19</v>
      </c>
      <c r="C73" s="136" t="str">
        <f t="shared" ref="C73:F73" si="99">IF(C17="","",C17)</f>
        <v>ЖМ</v>
      </c>
      <c r="D73" s="137" t="str">
        <f t="shared" si="99"/>
        <v>Жим средним хватом</v>
      </c>
      <c r="E73" s="48">
        <f t="shared" si="99"/>
        <v>1</v>
      </c>
      <c r="F73" s="138" t="str">
        <f t="shared" si="99"/>
        <v/>
      </c>
      <c r="G73" s="139">
        <f t="shared" si="87"/>
        <v>50</v>
      </c>
      <c r="H73" s="140">
        <v>4.0</v>
      </c>
      <c r="I73" s="140">
        <v>1.0</v>
      </c>
      <c r="J73" s="141">
        <v>0.6</v>
      </c>
      <c r="K73" s="139">
        <f t="shared" si="88"/>
        <v>57.5</v>
      </c>
      <c r="L73" s="140">
        <v>4.0</v>
      </c>
      <c r="M73" s="140">
        <v>4.0</v>
      </c>
      <c r="N73" s="141">
        <v>0.7</v>
      </c>
      <c r="O73" s="139" t="str">
        <f t="shared" si="89"/>
        <v/>
      </c>
      <c r="P73" s="140"/>
      <c r="Q73" s="140"/>
      <c r="R73" s="141"/>
      <c r="S73" s="139" t="str">
        <f t="shared" si="90"/>
        <v/>
      </c>
      <c r="T73" s="140"/>
      <c r="U73" s="140"/>
      <c r="V73" s="141"/>
      <c r="W73" s="139" t="str">
        <f t="shared" si="91"/>
        <v/>
      </c>
      <c r="X73" s="140"/>
      <c r="Y73" s="140"/>
      <c r="Z73" s="141"/>
      <c r="AA73" s="139" t="str">
        <f t="shared" si="92"/>
        <v/>
      </c>
      <c r="AB73" s="140"/>
      <c r="AC73" s="140"/>
      <c r="AD73" s="141"/>
      <c r="AE73" s="142">
        <f t="shared" si="93"/>
        <v>1120</v>
      </c>
      <c r="AF73" s="143">
        <f t="shared" si="74"/>
        <v>56</v>
      </c>
      <c r="AG73" s="144">
        <f t="shared" si="94"/>
        <v>0.6799004431</v>
      </c>
      <c r="AH73" s="76">
        <f t="shared" si="95"/>
        <v>82.365</v>
      </c>
      <c r="AI73" s="143">
        <f> ( IF(ISNUMBER(G73), VLOOKUP(G73/$AH73,F!$A1:$B101,2,1)*G73*$H73*$I73,0)+IF(ISNUMBER(K73), VLOOKUP(K73/$AH73,F!$A1:$B101,2,1)*K73*$L73*$M73,0)+IF(ISNUMBER(O73), VLOOKUP(O73/$AH73,F!$A1:$B101,2,1)*O73*$P73*$Q73,0)+IF(ISNUMBER(S73), VLOOKUP(S73/$AH73,F!$A1:$B101,2,1)*S73*$T73*$U73,0)+IF(ISNUMBER(W73), VLOOKUP(W73/$AH73,F!$A1:$B101,2,1)*W73*$X73*$Y73,0)+IF(ISNUMBER(AA73), VLOOKUP(AA73/$AH73,F!$A1:$B101,2,1)*AA73*$AB73*$AC73,0))*IF(ISNUMBER(F73),F73,1)*IF(ISNUMBER(E73),E73,1)</f>
        <v>958.8</v>
      </c>
      <c r="AJ73" s="140">
        <f t="shared" si="96"/>
        <v>20</v>
      </c>
      <c r="AK73" s="145">
        <f t="array" ref="AK73">IFERROR(I73*INDEX(F!$P$21:$AB$33, MATCH(G73/$AH73, F!$O$21:$O$33,1), MATCH(E73, F!$P$20:$AB$20,1)), 0 ) +IFERROR( M73*INDEX(F!$P$21:$AB$33, MATCH(K73/$AH73, F!$O$21:$O$33,1), MATCH(E73, F!$P$20:$AB$20,1)),0) +  IFERROR( Q73*INDEX(F!$P$21:$AB$33, MATCH(O73/$AH73, F!$O$21:$O$33,1), MATCH(E73, F!$P$20:$AB$20,1)), 0) + IFERROR( U73*INDEX(F!$P$21:$AB$33, MATCH(S73/$AH73, F!$O$21:$O$33,1), MATCH(E73, F!$P$20:$AB$20,1)),0)  + IFERROR(Y73*INDEX(F!$P$21:$AB$33, MATCH(W73/$AH73, F!$O$21:$O$33,1), MATCH(E73, F!$P$20:$AB$20,1)),0)  + IFERROR( AC73*INDEX(F!$P$21:$AB$33, MATCH(AA73/$AH73, F!$O$21:$O$33,1), MATCH(E73, F!$P$20:$AB$20,1)),)</f>
        <v>15</v>
      </c>
      <c r="AL73" s="59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ht="15.75" hidden="1" customHeight="1">
      <c r="A74" s="59"/>
      <c r="B74" s="126" t="str">
        <f t="shared" ref="B74:F74" si="100">IF(B18="","",B18)</f>
        <v/>
      </c>
      <c r="C74" s="127" t="str">
        <f t="shared" si="100"/>
        <v/>
      </c>
      <c r="D74" s="128" t="str">
        <f t="shared" si="100"/>
        <v/>
      </c>
      <c r="E74" s="48" t="str">
        <f t="shared" si="100"/>
        <v/>
      </c>
      <c r="F74" s="129" t="str">
        <f t="shared" si="100"/>
        <v/>
      </c>
      <c r="G74" s="130"/>
      <c r="H74" s="89"/>
      <c r="I74" s="89"/>
      <c r="J74" s="65"/>
      <c r="K74" s="130" t="str">
        <f t="shared" si="88"/>
        <v/>
      </c>
      <c r="L74" s="34"/>
      <c r="M74" s="34"/>
      <c r="N74" s="65"/>
      <c r="O74" s="130" t="str">
        <f t="shared" si="89"/>
        <v/>
      </c>
      <c r="P74" s="34"/>
      <c r="Q74" s="34"/>
      <c r="R74" s="65"/>
      <c r="S74" s="130" t="str">
        <f t="shared" si="90"/>
        <v/>
      </c>
      <c r="T74" s="34"/>
      <c r="U74" s="34"/>
      <c r="V74" s="65"/>
      <c r="W74" s="130" t="str">
        <f t="shared" si="91"/>
        <v/>
      </c>
      <c r="X74" s="34"/>
      <c r="Y74" s="34"/>
      <c r="Z74" s="65"/>
      <c r="AA74" s="130" t="str">
        <f t="shared" si="92"/>
        <v/>
      </c>
      <c r="AB74" s="34"/>
      <c r="AC74" s="34"/>
      <c r="AD74" s="65"/>
      <c r="AE74" s="131">
        <f t="shared" si="93"/>
        <v>0</v>
      </c>
      <c r="AF74" s="132">
        <f t="shared" si="74"/>
        <v>0</v>
      </c>
      <c r="AG74" s="133">
        <f t="shared" si="94"/>
        <v>0</v>
      </c>
      <c r="AH74" s="76" t="str">
        <f t="shared" si="95"/>
        <v/>
      </c>
      <c r="AI74" s="132">
        <f> ( IF(ISNUMBER(G74), VLOOKUP(G74/$AH74,F!$A1:$B101,2,1)*G74*$H74*$I74,0)+IF(ISNUMBER(K74), VLOOKUP(K74/$AH74,F!$A1:$B101,2,1)*K74*$L74*$M74,0)+IF(ISNUMBER(O74), VLOOKUP(O74/$AH74,F!$A1:$B101,2,1)*O74*$P74*$Q74,0)+IF(ISNUMBER(S74), VLOOKUP(S74/$AH74,F!$A1:$B101,2,1)*S74*$T74*$U74,0)+IF(ISNUMBER(W74), VLOOKUP(W74/$AH74,F!$A1:$B101,2,1)*W74*$X74*$Y74,0)+IF(ISNUMBER(AA74), VLOOKUP(AA74/$AH74,F!$A1:$B101,2,1)*AA74*$AB74*$AC74,0))*IF(ISNUMBER(F74),F74,1)*IF(ISNUMBER(E74),E74,1)</f>
        <v>0</v>
      </c>
      <c r="AJ74" s="34">
        <f t="shared" si="96"/>
        <v>0</v>
      </c>
      <c r="AK74" s="134">
        <f t="array" ref="AK74">IFERROR(I74*INDEX(F!$P$21:$AB$33, MATCH(G74/$AH74, F!$O$21:$O$33,1), MATCH(E74, F!$P$20:$AB$20,1)), 0 ) +IFERROR( M74*INDEX(F!$P$21:$AB$33, MATCH(K74/$AH74, F!$O$21:$O$33,1), MATCH(E74, F!$P$20:$AB$20,1)),0) +  IFERROR( Q74*INDEX(F!$P$21:$AB$33, MATCH(O74/$AH74, F!$O$21:$O$33,1), MATCH(E74, F!$P$20:$AB$20,1)), 0) + IFERROR( U74*INDEX(F!$P$21:$AB$33, MATCH(S74/$AH74, F!$O$21:$O$33,1), MATCH(E74, F!$P$20:$AB$20,1)),0)  + IFERROR(Y74*INDEX(F!$P$21:$AB$33, MATCH(W74/$AH74, F!$O$21:$O$33,1), MATCH(E74, F!$P$20:$AB$20,1)),0)  + IFERROR( AC74*INDEX(F!$P$21:$AB$33, MATCH(AA74/$AH74, F!$O$21:$O$33,1), MATCH(E74, F!$P$20:$AB$20,1)),)</f>
        <v>0</v>
      </c>
      <c r="AL74" s="59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ht="15.0" hidden="1" customHeight="1">
      <c r="A75" s="59"/>
      <c r="B75" s="135" t="str">
        <f t="shared" ref="B75:F75" si="101">IF(B19="","",B19)</f>
        <v/>
      </c>
      <c r="C75" s="136" t="str">
        <f t="shared" si="101"/>
        <v/>
      </c>
      <c r="D75" s="137" t="str">
        <f t="shared" si="101"/>
        <v/>
      </c>
      <c r="E75" s="48" t="str">
        <f t="shared" si="101"/>
        <v/>
      </c>
      <c r="F75" s="138" t="str">
        <f t="shared" si="101"/>
        <v/>
      </c>
      <c r="G75" s="148"/>
      <c r="H75" s="149"/>
      <c r="I75" s="149"/>
      <c r="J75" s="141"/>
      <c r="K75" s="139" t="str">
        <f t="shared" si="88"/>
        <v/>
      </c>
      <c r="L75" s="140"/>
      <c r="M75" s="140"/>
      <c r="N75" s="141"/>
      <c r="O75" s="139" t="str">
        <f t="shared" si="89"/>
        <v/>
      </c>
      <c r="P75" s="140"/>
      <c r="Q75" s="140"/>
      <c r="R75" s="141"/>
      <c r="S75" s="139" t="str">
        <f t="shared" si="90"/>
        <v/>
      </c>
      <c r="T75" s="140"/>
      <c r="U75" s="140"/>
      <c r="V75" s="141"/>
      <c r="W75" s="139" t="str">
        <f t="shared" si="91"/>
        <v/>
      </c>
      <c r="X75" s="140"/>
      <c r="Y75" s="140"/>
      <c r="Z75" s="141"/>
      <c r="AA75" s="139" t="str">
        <f t="shared" si="92"/>
        <v/>
      </c>
      <c r="AB75" s="140"/>
      <c r="AC75" s="140"/>
      <c r="AD75" s="141"/>
      <c r="AE75" s="142">
        <f t="shared" si="93"/>
        <v>0</v>
      </c>
      <c r="AF75" s="143">
        <f t="shared" si="74"/>
        <v>0</v>
      </c>
      <c r="AG75" s="144">
        <f t="shared" si="94"/>
        <v>0</v>
      </c>
      <c r="AH75" s="76" t="str">
        <f t="shared" si="95"/>
        <v/>
      </c>
      <c r="AI75" s="143">
        <f> ( IF(ISNUMBER(G75), VLOOKUP(G75/$AH75,F!$A1:$B101,2,1)*G75*$H75*$I75,0)+IF(ISNUMBER(K75), VLOOKUP(K75/$AH75,F!$A1:$B101,2,1)*K75*$L75*$M75,0)+IF(ISNUMBER(O75), VLOOKUP(O75/$AH75,F!$A1:$B101,2,1)*O75*$P75*$Q75,0)+IF(ISNUMBER(S75), VLOOKUP(S75/$AH75,F!$A1:$B101,2,1)*S75*$T75*$U75,0)+IF(ISNUMBER(W75), VLOOKUP(W75/$AH75,F!$A1:$B101,2,1)*W75*$X75*$Y75,0)+IF(ISNUMBER(AA75), VLOOKUP(AA75/$AH75,F!$A1:$B101,2,1)*AA75*$AB75*$AC75,0))*IF(ISNUMBER(F75),F75,1)*IF(ISNUMBER(E75),E75,1)</f>
        <v>0</v>
      </c>
      <c r="AJ75" s="140">
        <f t="shared" si="96"/>
        <v>0</v>
      </c>
      <c r="AK75" s="145">
        <f t="array" ref="AK75">IFERROR(I75*INDEX(F!$P$21:$AB$33, MATCH(G75/$AH75, F!$O$21:$O$33,1), MATCH(E75, F!$P$20:$AB$20,1)), 0 ) +IFERROR( M75*INDEX(F!$P$21:$AB$33, MATCH(K75/$AH75, F!$O$21:$O$33,1), MATCH(E75, F!$P$20:$AB$20,1)),0) +  IFERROR( Q75*INDEX(F!$P$21:$AB$33, MATCH(O75/$AH75, F!$O$21:$O$33,1), MATCH(E75, F!$P$20:$AB$20,1)), 0) + IFERROR( U75*INDEX(F!$P$21:$AB$33, MATCH(S75/$AH75, F!$O$21:$O$33,1), MATCH(E75, F!$P$20:$AB$20,1)),0)  + IFERROR(Y75*INDEX(F!$P$21:$AB$33, MATCH(W75/$AH75, F!$O$21:$O$33,1), MATCH(E75, F!$P$20:$AB$20,1)),0)  + IFERROR( AC75*INDEX(F!$P$21:$AB$33, MATCH(AA75/$AH75, F!$O$21:$O$33,1), MATCH(E75, F!$P$20:$AB$20,1)),)</f>
        <v>0</v>
      </c>
      <c r="AL75" s="59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ht="14.25" hidden="1" customHeight="1">
      <c r="A76" s="59"/>
      <c r="B76" s="126" t="str">
        <f t="shared" ref="B76:F76" si="102">IF(B20="","",B20)</f>
        <v/>
      </c>
      <c r="C76" s="127" t="str">
        <f t="shared" si="102"/>
        <v/>
      </c>
      <c r="D76" s="128" t="str">
        <f t="shared" si="102"/>
        <v/>
      </c>
      <c r="E76" s="48" t="str">
        <f t="shared" si="102"/>
        <v/>
      </c>
      <c r="F76" s="129" t="str">
        <f t="shared" si="102"/>
        <v/>
      </c>
      <c r="G76" s="130" t="str">
        <f>IF(J76&lt;&gt;0, IFERROR(IF( $F76=2,  MROUND($AH76*J76,1),    IF( OR($F76="",$F76=1),   MROUND($AH76*J76,2.5),  MROUND($AH76*J76, 0.1))), "" ), "")</f>
        <v/>
      </c>
      <c r="H76" s="34"/>
      <c r="I76" s="34"/>
      <c r="J76" s="65"/>
      <c r="K76" s="130" t="str">
        <f t="shared" si="88"/>
        <v/>
      </c>
      <c r="L76" s="34"/>
      <c r="M76" s="34"/>
      <c r="N76" s="65"/>
      <c r="O76" s="130" t="str">
        <f t="shared" si="89"/>
        <v/>
      </c>
      <c r="P76" s="34"/>
      <c r="Q76" s="34"/>
      <c r="R76" s="65"/>
      <c r="S76" s="130" t="str">
        <f t="shared" si="90"/>
        <v/>
      </c>
      <c r="T76" s="34"/>
      <c r="U76" s="34"/>
      <c r="V76" s="65"/>
      <c r="W76" s="130" t="str">
        <f t="shared" si="91"/>
        <v/>
      </c>
      <c r="X76" s="34"/>
      <c r="Y76" s="34"/>
      <c r="Z76" s="65"/>
      <c r="AA76" s="130" t="str">
        <f t="shared" si="92"/>
        <v/>
      </c>
      <c r="AB76" s="34"/>
      <c r="AC76" s="34"/>
      <c r="AD76" s="65"/>
      <c r="AE76" s="131">
        <f t="shared" si="93"/>
        <v>0</v>
      </c>
      <c r="AF76" s="132">
        <f t="shared" si="74"/>
        <v>0</v>
      </c>
      <c r="AG76" s="133">
        <f t="shared" si="94"/>
        <v>0</v>
      </c>
      <c r="AH76" s="76" t="str">
        <f t="shared" si="95"/>
        <v/>
      </c>
      <c r="AI76" s="132">
        <f> ( IF(ISNUMBER(G76), VLOOKUP(G76/$AH76,F!$A1:$B101,2,1)*G76*$H76*$I76,0)+IF(ISNUMBER(K76), VLOOKUP(K76/$AH76,F!$A1:$B101,2,1)*K76*$L76*$M76,0)+IF(ISNUMBER(O76), VLOOKUP(O76/$AH76,F!$A1:$B101,2,1)*O76*$P76*$Q76,0)+IF(ISNUMBER(S76), VLOOKUP(S76/$AH76,F!$A1:$B101,2,1)*S76*$T76*$U76,0)+IF(ISNUMBER(W76), VLOOKUP(W76/$AH76,F!$A1:$B101,2,1)*W76*$X76*$Y76,0)+IF(ISNUMBER(AA76), VLOOKUP(AA76/$AH76,F!$A1:$B101,2,1)*AA76*$AB76*$AC76,0))*IF(ISNUMBER(F76),F76,1)*IF(ISNUMBER(E76),E76,1)</f>
        <v>0</v>
      </c>
      <c r="AJ76" s="34">
        <f t="shared" si="96"/>
        <v>0</v>
      </c>
      <c r="AK76" s="134">
        <f t="array" ref="AK76">IFERROR(I76*INDEX(F!$P$21:$AB$33, MATCH(G76/$AH76, F!$O$21:$O$33,1), MATCH(E76, F!$P$20:$AB$20,1)), 0 ) +IFERROR( M76*INDEX(F!$P$21:$AB$33, MATCH(K76/$AH76, F!$O$21:$O$33,1), MATCH(E76, F!$P$20:$AB$20,1)),0) +  IFERROR( Q76*INDEX(F!$P$21:$AB$33, MATCH(O76/$AH76, F!$O$21:$O$33,1), MATCH(E76, F!$P$20:$AB$20,1)), 0) + IFERROR( U76*INDEX(F!$P$21:$AB$33, MATCH(S76/$AH76, F!$O$21:$O$33,1), MATCH(E76, F!$P$20:$AB$20,1)),0)  + IFERROR(Y76*INDEX(F!$P$21:$AB$33, MATCH(W76/$AH76, F!$O$21:$O$33,1), MATCH(E76, F!$P$20:$AB$20,1)),0)  + IFERROR( AC76*INDEX(F!$P$21:$AB$33, MATCH(AA76/$AH76, F!$O$21:$O$33,1), MATCH(E76, F!$P$20:$AB$20,1)),)</f>
        <v>0</v>
      </c>
      <c r="AL76" s="59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ht="15.75" customHeight="1">
      <c r="A77" s="98"/>
      <c r="B77" s="150"/>
      <c r="C77" s="151"/>
      <c r="D77" s="152"/>
      <c r="E77" s="102">
        <f>ROUND(IFERROR(SUMPRODUCT(AJ69:AJ76,E69:E76)/AJ77,0),3)</f>
        <v>1.002</v>
      </c>
      <c r="F77" s="153"/>
      <c r="G77" s="154"/>
      <c r="H77" s="155"/>
      <c r="I77" s="155"/>
      <c r="J77" s="156"/>
      <c r="K77" s="154"/>
      <c r="L77" s="155"/>
      <c r="M77" s="155"/>
      <c r="N77" s="156"/>
      <c r="O77" s="154"/>
      <c r="P77" s="155"/>
      <c r="Q77" s="155"/>
      <c r="R77" s="156"/>
      <c r="S77" s="154"/>
      <c r="T77" s="155"/>
      <c r="U77" s="155"/>
      <c r="V77" s="156"/>
      <c r="W77" s="154"/>
      <c r="X77" s="155"/>
      <c r="Y77" s="155"/>
      <c r="Z77" s="156"/>
      <c r="AA77" s="154"/>
      <c r="AB77" s="155"/>
      <c r="AC77" s="155"/>
      <c r="AD77" s="156"/>
      <c r="AE77" s="107">
        <f>SUM(AE69:AE76)</f>
        <v>6097.5</v>
      </c>
      <c r="AF77" s="108">
        <f t="shared" si="74"/>
        <v>59.19902913</v>
      </c>
      <c r="AG77" s="109">
        <f>IFERROR(  SUMPRODUCT(AG69:AG76,AJ69:AJ76)/AJ77,0)</f>
        <v>0.6192850694</v>
      </c>
      <c r="AH77" s="157"/>
      <c r="AI77" s="111">
        <f t="shared" ref="AI77:AJ77" si="103">SUM(AI69:AI76)</f>
        <v>6673.12</v>
      </c>
      <c r="AJ77" s="111">
        <f t="shared" si="103"/>
        <v>103</v>
      </c>
      <c r="AK77" s="112">
        <f>IF(SUM(AK69:AK76)=0,TIME(,0,),TIME(,SUM(AK69:AK76)+F!$V$37,))</f>
        <v>0.09583333333</v>
      </c>
      <c r="AL77" s="98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ht="15.75" customHeight="1">
      <c r="A78" s="158">
        <f>A79</f>
        <v>43791</v>
      </c>
      <c r="B78" s="159" t="str">
        <f t="shared" ref="B78:F78" si="104">IF(B22="","",B22)</f>
        <v>Тяжелая</v>
      </c>
      <c r="C78" s="160" t="str">
        <f t="shared" si="104"/>
        <v>ПР</v>
      </c>
      <c r="D78" s="161" t="str">
        <f t="shared" si="104"/>
        <v>Присед</v>
      </c>
      <c r="E78" s="29">
        <f t="shared" si="104"/>
        <v>1.2</v>
      </c>
      <c r="F78" s="162" t="str">
        <f t="shared" si="104"/>
        <v/>
      </c>
      <c r="G78" s="163">
        <f t="shared" ref="G78:G82" si="106">IF(J78&lt;&gt;0, IFERROR(IF( $F78=2,  MROUND($AH78*J78,1),    IF( OR($F78="",$F78=1),   MROUND($AH78*J78,2.5),  MROUND($AH78*J78, 0.1))), "" ), "")</f>
        <v>82.5</v>
      </c>
      <c r="H78" s="164">
        <v>3.0</v>
      </c>
      <c r="I78" s="164">
        <v>1.0</v>
      </c>
      <c r="J78" s="165">
        <v>0.6</v>
      </c>
      <c r="K78" s="163">
        <f t="shared" ref="K78:K85" si="107">IF(N78&lt;&gt;0, IFERROR(IF( $F78=2,  MROUND($AH78*N78,1),    IF( OR($F78="",$F78=1),   MROUND($AH78*N78,2.5),  MROUND($AH78*N78, 0.1))), "" ), "")</f>
        <v>97.5</v>
      </c>
      <c r="L78" s="164">
        <v>2.0</v>
      </c>
      <c r="M78" s="164">
        <v>2.0</v>
      </c>
      <c r="N78" s="165">
        <v>0.7</v>
      </c>
      <c r="O78" s="163">
        <f t="shared" ref="O78:O85" si="108">IF(R78&lt;&gt;0, IFERROR(IF( $F78=2,  MROUND($AH78*R78,1),    IF( OR($F78="",$F78=1),   MROUND($AH78*R78,2.5),  MROUND($AH78*R78, 0.1))), "" ), "")</f>
        <v>110</v>
      </c>
      <c r="P78" s="164">
        <v>2.0</v>
      </c>
      <c r="Q78" s="164">
        <v>2.0</v>
      </c>
      <c r="R78" s="165">
        <v>0.8</v>
      </c>
      <c r="S78" s="163" t="str">
        <f t="shared" ref="S78:S85" si="109">IF(V78&lt;&gt;0, IFERROR(IF( $F78=2,  MROUND($AH78*V78,1),    IF( OR($F78="",$F78=1),   MROUND($AH78*V78,2.5),  MROUND($AH78*V78, 0.1))), "" ), "")</f>
        <v/>
      </c>
      <c r="T78" s="164"/>
      <c r="U78" s="164"/>
      <c r="V78" s="165"/>
      <c r="W78" s="163" t="str">
        <f t="shared" ref="W78:W85" si="110">IF(Z78&lt;&gt;0, IFERROR(IF( $F78=2,  MROUND($AH78*Z78,1),    IF( OR($F78="",$F78=1),   MROUND($AH78*Z78,2.5),  MROUND($AH78*Z78, 0.1))), "" ), "")</f>
        <v/>
      </c>
      <c r="X78" s="164"/>
      <c r="Y78" s="164"/>
      <c r="Z78" s="165"/>
      <c r="AA78" s="163" t="str">
        <f t="shared" ref="AA78:AA85" si="111">IF(AD78&lt;&gt;0, IFERROR(IF( $F78=2,  MROUND($AH78*AD78,1),    IF( OR($F78="",$F78=1),   MROUND($AH78*AD78,2.5),  MROUND($AH78*AD78, 0.1))), "" ), "")</f>
        <v/>
      </c>
      <c r="AB78" s="164"/>
      <c r="AC78" s="164"/>
      <c r="AD78" s="165"/>
      <c r="AE78" s="166">
        <f t="shared" ref="AE78:AE85" si="112">(IF(ISNUMBER(G78),G78,0)*H78*I78+IF(ISNUMBER(K78),K78,1)*L78*M78+IF(ISNUMBER(O78),O78,1)*P78*Q78+IF(ISNUMBER(S78),S78,1)*T78*U78+IF(ISNUMBER(W78),W78,1)*X78*Y78+IF(ISNUMBER(AA78),AA78,1)*AB78*AC78)*IF(ISNUMBER(F78),F78,1)</f>
        <v>1077.5</v>
      </c>
      <c r="AF78" s="167">
        <f t="shared" si="74"/>
        <v>97.95454545</v>
      </c>
      <c r="AG78" s="168">
        <f t="shared" ref="AG78:AG85" si="113">IFERROR((AF78/(AH78*IF(ISNUMBER(F78),F78,1))),0)</f>
        <v>0.7113619859</v>
      </c>
      <c r="AH78" s="169">
        <f t="shared" ref="AH78:AH85" si="114">IF(ISNUMBER(AH22), AH22+(AH22*$AH$58),"")</f>
        <v>137.7</v>
      </c>
      <c r="AI78" s="167">
        <f> ( IF(ISNUMBER(G78), VLOOKUP(G78/$AH78,F!$A1:$B101,2,1)*G78*$H78*$I78,0)+IF(ISNUMBER(K78), VLOOKUP(K78/$AH78,F!$A1:$B101,2,1)*K78*$L78*$M78,0)+IF(ISNUMBER(O78), VLOOKUP(O78/$AH78,F!$A1:$B101,2,1)*O78*$P78*$Q78,0)+IF(ISNUMBER(S78), VLOOKUP(S78/$AH78,F!$A1:$B101,2,1)*S78*$T78*$U78,0)+IF(ISNUMBER(W78), VLOOKUP(W78/$AH78,F!$A1:$B101,2,1)*W78*$X78*$Y78,0)+IF(ISNUMBER(AA78), VLOOKUP(AA78/$AH78,F!$A1:$B101,2,1)*AA78*$AB78*$AC78,0))*IF(ISNUMBER(F78),F78,1)*IF(ISNUMBER(E78),E78,1)</f>
        <v>1399.32</v>
      </c>
      <c r="AJ78" s="164">
        <f t="shared" ref="AJ78:AJ85" si="115">H78*I78+L78*M78+P78*Q78+T78*U78+X78*Y78+AB78*AC78</f>
        <v>11</v>
      </c>
      <c r="AK78" s="170">
        <f t="array" ref="AK78">IFERROR(I78*INDEX(F!$P$21:$AB$33, MATCH(G78/$AH78, F!$O$21:$O$33,1), MATCH(E78, F!$P$20:$AB$20,1)), 0 ) +IFERROR( M78*INDEX(F!$P$21:$AB$33, MATCH(K78/$AH78, F!$O$21:$O$33,1), MATCH(E78, F!$P$20:$AB$20,1)),0) +  IFERROR( Q78*INDEX(F!$P$21:$AB$33, MATCH(O78/$AH78, F!$O$21:$O$33,1), MATCH(E78, F!$P$20:$AB$20,1)), 0) + IFERROR( U78*INDEX(F!$P$21:$AB$33, MATCH(S78/$AH78, F!$O$21:$O$33,1), MATCH(E78, F!$P$20:$AB$20,1)),0)  + IFERROR(Y78*INDEX(F!$P$21:$AB$33, MATCH(W78/$AH78, F!$O$21:$O$33,1), MATCH(E78, F!$P$20:$AB$20,1)),0)  + IFERROR( AC78*INDEX(F!$P$21:$AB$33, MATCH(AA78/$AH78, F!$O$21:$O$33,1), MATCH(E78, F!$P$20:$AB$20,1)),)</f>
        <v>24</v>
      </c>
      <c r="AL78" s="42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ht="15.75" customHeight="1">
      <c r="A79" s="44">
        <f>A23+A2</f>
        <v>43791</v>
      </c>
      <c r="B79" s="135" t="str">
        <f t="shared" ref="B79:F79" si="105">IF(B23="","",B23)</f>
        <v>Тяжелая</v>
      </c>
      <c r="C79" s="136" t="str">
        <f t="shared" si="105"/>
        <v>ЖМ</v>
      </c>
      <c r="D79" s="137" t="str">
        <f t="shared" si="105"/>
        <v>Жим лежа</v>
      </c>
      <c r="E79" s="48">
        <f t="shared" si="105"/>
        <v>1</v>
      </c>
      <c r="F79" s="138" t="str">
        <f t="shared" si="105"/>
        <v/>
      </c>
      <c r="G79" s="139">
        <f t="shared" si="106"/>
        <v>62.5</v>
      </c>
      <c r="H79" s="140">
        <v>3.0</v>
      </c>
      <c r="I79" s="140">
        <v>1.0</v>
      </c>
      <c r="J79" s="141">
        <v>0.65</v>
      </c>
      <c r="K79" s="139">
        <f t="shared" si="107"/>
        <v>72.5</v>
      </c>
      <c r="L79" s="140">
        <v>2.0</v>
      </c>
      <c r="M79" s="140">
        <v>2.0</v>
      </c>
      <c r="N79" s="141">
        <v>0.75</v>
      </c>
      <c r="O79" s="139">
        <f t="shared" si="108"/>
        <v>82.5</v>
      </c>
      <c r="P79" s="140">
        <v>1.0</v>
      </c>
      <c r="Q79" s="140">
        <v>2.0</v>
      </c>
      <c r="R79" s="141">
        <v>0.85</v>
      </c>
      <c r="S79" s="139" t="str">
        <f t="shared" si="109"/>
        <v/>
      </c>
      <c r="T79" s="140"/>
      <c r="U79" s="140"/>
      <c r="V79" s="141"/>
      <c r="W79" s="139" t="str">
        <f t="shared" si="110"/>
        <v/>
      </c>
      <c r="X79" s="140"/>
      <c r="Y79" s="140"/>
      <c r="Z79" s="141"/>
      <c r="AA79" s="139" t="str">
        <f t="shared" si="111"/>
        <v/>
      </c>
      <c r="AB79" s="140"/>
      <c r="AC79" s="140"/>
      <c r="AD79" s="141"/>
      <c r="AE79" s="142">
        <f t="shared" si="112"/>
        <v>642.5</v>
      </c>
      <c r="AF79" s="143">
        <f t="shared" si="74"/>
        <v>71.38888889</v>
      </c>
      <c r="AG79" s="144">
        <f t="shared" si="113"/>
        <v>0.7367274395</v>
      </c>
      <c r="AH79" s="76">
        <f t="shared" si="114"/>
        <v>96.9</v>
      </c>
      <c r="AI79" s="143">
        <f> ( IF(ISNUMBER(G79), VLOOKUP(G79/$AH79,F!$A1:$B101,2,1)*G79*$H79*$I79,0)+IF(ISNUMBER(K79), VLOOKUP(K79/$AH79,F!$A1:$B101,2,1)*K79*$L79*$M79,0)+IF(ISNUMBER(O79), VLOOKUP(O79/$AH79,F!$A1:$B101,2,1)*O79*$P79*$Q79,0)+IF(ISNUMBER(S79), VLOOKUP(S79/$AH79,F!$A1:$B101,2,1)*S79*$T79*$U79,0)+IF(ISNUMBER(W79), VLOOKUP(W79/$AH79,F!$A1:$B101,2,1)*W79*$X79*$Y79,0)+IF(ISNUMBER(AA79), VLOOKUP(AA79/$AH79,F!$A1:$B101,2,1)*AA79*$AB79*$AC79,0))*IF(ISNUMBER(F79),F79,1)*IF(ISNUMBER(E79),E79,1)</f>
        <v>790.35</v>
      </c>
      <c r="AJ79" s="140">
        <f t="shared" si="115"/>
        <v>9</v>
      </c>
      <c r="AK79" s="145">
        <f t="array" ref="AK79">IFERROR(I79*INDEX(F!$P$21:$AB$33, MATCH(G79/$AH79, F!$O$21:$O$33,1), MATCH(E79, F!$P$20:$AB$20,1)), 0 ) +IFERROR( M79*INDEX(F!$P$21:$AB$33, MATCH(K79/$AH79, F!$O$21:$O$33,1), MATCH(E79, F!$P$20:$AB$20,1)),0) +  IFERROR( Q79*INDEX(F!$P$21:$AB$33, MATCH(O79/$AH79, F!$O$21:$O$33,1), MATCH(E79, F!$P$20:$AB$20,1)), 0) + IFERROR( U79*INDEX(F!$P$21:$AB$33, MATCH(S79/$AH79, F!$O$21:$O$33,1), MATCH(E79, F!$P$20:$AB$20,1)),0)  + IFERROR(Y79*INDEX(F!$P$21:$AB$33, MATCH(W79/$AH79, F!$O$21:$O$33,1), MATCH(E79, F!$P$20:$AB$20,1)),0)  + IFERROR( AC79*INDEX(F!$P$21:$AB$33, MATCH(AA79/$AH79, F!$O$21:$O$33,1), MATCH(E79, F!$P$20:$AB$20,1)),)</f>
        <v>20</v>
      </c>
      <c r="AL79" s="59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ht="15.75" customHeight="1">
      <c r="A80" s="59"/>
      <c r="B80" s="173" t="s">
        <v>19</v>
      </c>
      <c r="C80" s="174" t="str">
        <f t="shared" ref="C80:F80" si="116">IF(C24="","",C24)</f>
        <v>ПР</v>
      </c>
      <c r="D80" s="175" t="str">
        <f t="shared" si="116"/>
        <v>Присед</v>
      </c>
      <c r="E80" s="48">
        <f t="shared" si="116"/>
        <v>1.2</v>
      </c>
      <c r="F80" s="176" t="str">
        <f t="shared" si="116"/>
        <v/>
      </c>
      <c r="G80" s="177">
        <f t="shared" si="106"/>
        <v>90</v>
      </c>
      <c r="H80" s="178">
        <v>3.0</v>
      </c>
      <c r="I80" s="178">
        <v>1.0</v>
      </c>
      <c r="J80" s="179">
        <v>0.65</v>
      </c>
      <c r="K80" s="177">
        <f t="shared" si="107"/>
        <v>102.5</v>
      </c>
      <c r="L80" s="178">
        <v>2.0</v>
      </c>
      <c r="M80" s="178">
        <v>1.0</v>
      </c>
      <c r="N80" s="179">
        <v>0.75</v>
      </c>
      <c r="O80" s="177">
        <f t="shared" si="108"/>
        <v>117.5</v>
      </c>
      <c r="P80" s="178">
        <v>2.0</v>
      </c>
      <c r="Q80" s="178">
        <v>2.0</v>
      </c>
      <c r="R80" s="179">
        <v>0.85</v>
      </c>
      <c r="S80" s="177">
        <f t="shared" si="109"/>
        <v>120</v>
      </c>
      <c r="T80" s="178">
        <v>1.0</v>
      </c>
      <c r="U80" s="178">
        <v>2.0</v>
      </c>
      <c r="V80" s="179">
        <v>0.88</v>
      </c>
      <c r="W80" s="177" t="str">
        <f t="shared" si="110"/>
        <v/>
      </c>
      <c r="X80" s="178"/>
      <c r="Y80" s="178"/>
      <c r="Z80" s="179"/>
      <c r="AA80" s="177" t="str">
        <f t="shared" si="111"/>
        <v/>
      </c>
      <c r="AB80" s="178"/>
      <c r="AC80" s="178"/>
      <c r="AD80" s="179"/>
      <c r="AE80" s="180">
        <f t="shared" si="112"/>
        <v>1185</v>
      </c>
      <c r="AF80" s="181">
        <f t="shared" si="74"/>
        <v>107.7272727</v>
      </c>
      <c r="AG80" s="182">
        <f t="shared" si="113"/>
        <v>0.7823331353</v>
      </c>
      <c r="AH80" s="76">
        <f t="shared" si="114"/>
        <v>137.7</v>
      </c>
      <c r="AI80" s="181">
        <f> ( IF(ISNUMBER(G80), VLOOKUP(G80/$AH80,F!$A1:$B101,2,1)*G80*$H80*$I80,0)+IF(ISNUMBER(K80), VLOOKUP(K80/$AH80,F!$A1:$B101,2,1)*K80*$L80*$M80,0)+IF(ISNUMBER(O80), VLOOKUP(O80/$AH80,F!$A1:$B101,2,1)*O80*$P80*$Q80,0)+IF(ISNUMBER(S80), VLOOKUP(S80/$AH80,F!$A1:$B101,2,1)*S80*$T80*$U80,0)+IF(ISNUMBER(W80), VLOOKUP(W80/$AH80,F!$A1:$B101,2,1)*W80*$X80*$Y80,0)+IF(ISNUMBER(AA80), VLOOKUP(AA80/$AH80,F!$A1:$B101,2,1)*AA80*$AB80*$AC80,0))*IF(ISNUMBER(F80),F80,1)*IF(ISNUMBER(E80),E80,1)</f>
        <v>2244.84</v>
      </c>
      <c r="AJ80" s="178">
        <f t="shared" si="115"/>
        <v>11</v>
      </c>
      <c r="AK80" s="183">
        <f t="array" ref="AK80">IFERROR(I80*INDEX(F!$P$21:$AB$33, MATCH(G80/$AH80, F!$O$21:$O$33,1), MATCH(E80, F!$P$20:$AB$20,1)), 0 ) +IFERROR( M80*INDEX(F!$P$21:$AB$33, MATCH(K80/$AH80, F!$O$21:$O$33,1), MATCH(E80, F!$P$20:$AB$20,1)),0) +  IFERROR( Q80*INDEX(F!$P$21:$AB$33, MATCH(O80/$AH80, F!$O$21:$O$33,1), MATCH(E80, F!$P$20:$AB$20,1)), 0) + IFERROR( U80*INDEX(F!$P$21:$AB$33, MATCH(S80/$AH80, F!$O$21:$O$33,1), MATCH(E80, F!$P$20:$AB$20,1)),0)  + IFERROR(Y80*INDEX(F!$P$21:$AB$33, MATCH(W80/$AH80, F!$O$21:$O$33,1), MATCH(E80, F!$P$20:$AB$20,1)),0)  + IFERROR( AC80*INDEX(F!$P$21:$AB$33, MATCH(AA80/$AH80, F!$O$21:$O$33,1), MATCH(E80, F!$P$20:$AB$20,1)),)</f>
        <v>35</v>
      </c>
      <c r="AL80" s="59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ht="15.75" customHeight="1">
      <c r="A81" s="59"/>
      <c r="B81" s="135" t="str">
        <f t="shared" ref="B81:F81" si="117">IF(B25="","",B25)</f>
        <v>Тяжелая</v>
      </c>
      <c r="C81" s="136" t="str">
        <f t="shared" si="117"/>
        <v>ЖМ</v>
      </c>
      <c r="D81" s="137" t="str">
        <f t="shared" si="117"/>
        <v>Жим на наклонной скамье</v>
      </c>
      <c r="E81" s="48">
        <f t="shared" si="117"/>
        <v>1</v>
      </c>
      <c r="F81" s="138" t="str">
        <f t="shared" si="117"/>
        <v/>
      </c>
      <c r="G81" s="139">
        <f t="shared" si="106"/>
        <v>50</v>
      </c>
      <c r="H81" s="140">
        <v>4.0</v>
      </c>
      <c r="I81" s="140">
        <v>1.0</v>
      </c>
      <c r="J81" s="141">
        <v>0.65</v>
      </c>
      <c r="K81" s="139">
        <f t="shared" si="107"/>
        <v>57.5</v>
      </c>
      <c r="L81" s="140">
        <v>4.0</v>
      </c>
      <c r="M81" s="140">
        <v>4.0</v>
      </c>
      <c r="N81" s="141">
        <v>0.75</v>
      </c>
      <c r="O81" s="139" t="str">
        <f t="shared" si="108"/>
        <v/>
      </c>
      <c r="P81" s="140"/>
      <c r="Q81" s="140"/>
      <c r="R81" s="141"/>
      <c r="S81" s="139" t="str">
        <f t="shared" si="109"/>
        <v/>
      </c>
      <c r="T81" s="140"/>
      <c r="U81" s="140"/>
      <c r="V81" s="141"/>
      <c r="W81" s="139" t="str">
        <f t="shared" si="110"/>
        <v/>
      </c>
      <c r="X81" s="140"/>
      <c r="Y81" s="140"/>
      <c r="Z81" s="141"/>
      <c r="AA81" s="139" t="str">
        <f t="shared" si="111"/>
        <v/>
      </c>
      <c r="AB81" s="140"/>
      <c r="AC81" s="140"/>
      <c r="AD81" s="141"/>
      <c r="AE81" s="142">
        <f t="shared" si="112"/>
        <v>1120</v>
      </c>
      <c r="AF81" s="143">
        <f t="shared" si="74"/>
        <v>56</v>
      </c>
      <c r="AG81" s="144">
        <f t="shared" si="113"/>
        <v>0.7223942208</v>
      </c>
      <c r="AH81" s="76">
        <f t="shared" si="114"/>
        <v>77.52</v>
      </c>
      <c r="AI81" s="143">
        <f> ( IF(ISNUMBER(G81), VLOOKUP(G81/$AH81,F!$A1:$B101,2,1)*G81*$H81*$I81,0)+IF(ISNUMBER(K81), VLOOKUP(K81/$AH81,F!$A1:$B101,2,1)*K81*$L81*$M81,0)+IF(ISNUMBER(O81), VLOOKUP(O81/$AH81,F!$A1:$B101,2,1)*O81*$P81*$Q81,0)+IF(ISNUMBER(S81), VLOOKUP(S81/$AH81,F!$A1:$B101,2,1)*S81*$T81*$U81,0)+IF(ISNUMBER(W81), VLOOKUP(W81/$AH81,F!$A1:$B101,2,1)*W81*$X81*$Y81,0)+IF(ISNUMBER(AA81), VLOOKUP(AA81/$AH81,F!$A1:$B101,2,1)*AA81*$AB81*$AC81,0))*IF(ISNUMBER(F81),F81,1)*IF(ISNUMBER(E81),E81,1)</f>
        <v>1204.8</v>
      </c>
      <c r="AJ81" s="140">
        <f t="shared" si="115"/>
        <v>20</v>
      </c>
      <c r="AK81" s="145">
        <f t="array" ref="AK81">IFERROR(I81*INDEX(F!$P$21:$AB$33, MATCH(G81/$AH81, F!$O$21:$O$33,1), MATCH(E81, F!$P$20:$AB$20,1)), 0 ) +IFERROR( M81*INDEX(F!$P$21:$AB$33, MATCH(K81/$AH81, F!$O$21:$O$33,1), MATCH(E81, F!$P$20:$AB$20,1)),0) +  IFERROR( Q81*INDEX(F!$P$21:$AB$33, MATCH(O81/$AH81, F!$O$21:$O$33,1), MATCH(E81, F!$P$20:$AB$20,1)), 0) + IFERROR( U81*INDEX(F!$P$21:$AB$33, MATCH(S81/$AH81, F!$O$21:$O$33,1), MATCH(E81, F!$P$20:$AB$20,1)),0)  + IFERROR(Y81*INDEX(F!$P$21:$AB$33, MATCH(W81/$AH81, F!$O$21:$O$33,1), MATCH(E81, F!$P$20:$AB$20,1)),0)  + IFERROR( AC81*INDEX(F!$P$21:$AB$33, MATCH(AA81/$AH81, F!$O$21:$O$33,1), MATCH(E81, F!$P$20:$AB$20,1)),)</f>
        <v>19</v>
      </c>
      <c r="AL81" s="59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ht="15.0" customHeight="1">
      <c r="A82" s="59"/>
      <c r="B82" s="173" t="s">
        <v>24</v>
      </c>
      <c r="C82" s="174" t="str">
        <f t="shared" ref="C82:F82" si="118">IF(C26="","",C26)</f>
        <v>ОФП</v>
      </c>
      <c r="D82" s="175" t="str">
        <f t="shared" si="118"/>
        <v>Бицепс стоя</v>
      </c>
      <c r="E82" s="48">
        <f t="shared" si="118"/>
        <v>0.5</v>
      </c>
      <c r="F82" s="176" t="str">
        <f t="shared" si="118"/>
        <v/>
      </c>
      <c r="G82" s="177">
        <f t="shared" si="106"/>
        <v>0</v>
      </c>
      <c r="H82" s="178">
        <v>5.0</v>
      </c>
      <c r="I82" s="178">
        <v>1.0</v>
      </c>
      <c r="J82" s="179">
        <v>0.55</v>
      </c>
      <c r="K82" s="177">
        <f t="shared" si="107"/>
        <v>0</v>
      </c>
      <c r="L82" s="178">
        <v>5.0</v>
      </c>
      <c r="M82" s="178">
        <v>5.0</v>
      </c>
      <c r="N82" s="179">
        <v>0.65</v>
      </c>
      <c r="O82" s="177" t="str">
        <f t="shared" si="108"/>
        <v/>
      </c>
      <c r="P82" s="178"/>
      <c r="Q82" s="178"/>
      <c r="R82" s="179"/>
      <c r="S82" s="177" t="str">
        <f t="shared" si="109"/>
        <v/>
      </c>
      <c r="T82" s="178"/>
      <c r="U82" s="178"/>
      <c r="V82" s="179"/>
      <c r="W82" s="177" t="str">
        <f t="shared" si="110"/>
        <v/>
      </c>
      <c r="X82" s="178"/>
      <c r="Y82" s="178"/>
      <c r="Z82" s="179"/>
      <c r="AA82" s="177" t="str">
        <f t="shared" si="111"/>
        <v/>
      </c>
      <c r="AB82" s="178"/>
      <c r="AC82" s="178"/>
      <c r="AD82" s="179"/>
      <c r="AE82" s="180">
        <f t="shared" si="112"/>
        <v>0</v>
      </c>
      <c r="AF82" s="181">
        <f t="shared" si="74"/>
        <v>0</v>
      </c>
      <c r="AG82" s="182">
        <f t="shared" si="113"/>
        <v>0</v>
      </c>
      <c r="AH82" s="76" t="str">
        <f t="shared" si="114"/>
        <v/>
      </c>
      <c r="AI82" s="181" t="str">
        <f> ( IF(ISNUMBER(G82), VLOOKUP(G82/$AH82,F!$A1:$B101,2,1)*G82*$H82*$I82,0)+IF(ISNUMBER(K82), VLOOKUP(K82/$AH82,F!$A1:$B101,2,1)*K82*$L82*$M82,0)+IF(ISNUMBER(O82), VLOOKUP(O82/$AH82,F!$A1:$B101,2,1)*O82*$P82*$Q82,0)+IF(ISNUMBER(S82), VLOOKUP(S82/$AH82,F!$A1:$B101,2,1)*S82*$T82*$U82,0)+IF(ISNUMBER(W82), VLOOKUP(W82/$AH82,F!$A1:$B101,2,1)*W82*$X82*$Y82,0)+IF(ISNUMBER(AA82), VLOOKUP(AA82/$AH82,F!$A1:$B101,2,1)*AA82*$AB82*$AC82,0))*IF(ISNUMBER(F82),F82,1)*IF(ISNUMBER(E82),E82,1)</f>
        <v>#DIV/0!</v>
      </c>
      <c r="AJ82" s="178">
        <f t="shared" si="115"/>
        <v>30</v>
      </c>
      <c r="AK82" s="183">
        <f t="array" ref="AK82">IFERROR(I82*INDEX(F!$P$21:$AB$33, MATCH(G82/$AH82, F!$O$21:$O$33,1), MATCH(E82, F!$P$20:$AB$20,1)), 0 ) +IFERROR( M82*INDEX(F!$P$21:$AB$33, MATCH(K82/$AH82, F!$O$21:$O$33,1), MATCH(E82, F!$P$20:$AB$20,1)),0) +  IFERROR( Q82*INDEX(F!$P$21:$AB$33, MATCH(O82/$AH82, F!$O$21:$O$33,1), MATCH(E82, F!$P$20:$AB$20,1)), 0) + IFERROR( U82*INDEX(F!$P$21:$AB$33, MATCH(S82/$AH82, F!$O$21:$O$33,1), MATCH(E82, F!$P$20:$AB$20,1)),0)  + IFERROR(Y82*INDEX(F!$P$21:$AB$33, MATCH(W82/$AH82, F!$O$21:$O$33,1), MATCH(E82, F!$P$20:$AB$20,1)),0)  + IFERROR( AC82*INDEX(F!$P$21:$AB$33, MATCH(AA82/$AH82, F!$O$21:$O$33,1), MATCH(E82, F!$P$20:$AB$20,1)),)</f>
        <v>0</v>
      </c>
      <c r="AL82" s="59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ht="15.0" hidden="1" customHeight="1">
      <c r="A83" s="59"/>
      <c r="B83" s="135" t="str">
        <f t="shared" ref="B83:F83" si="119">IF(B27="","",B27)</f>
        <v/>
      </c>
      <c r="C83" s="136" t="str">
        <f t="shared" si="119"/>
        <v/>
      </c>
      <c r="D83" s="137" t="str">
        <f t="shared" si="119"/>
        <v/>
      </c>
      <c r="E83" s="48" t="str">
        <f t="shared" si="119"/>
        <v/>
      </c>
      <c r="F83" s="138" t="str">
        <f t="shared" si="119"/>
        <v/>
      </c>
      <c r="G83" s="148"/>
      <c r="H83" s="149"/>
      <c r="I83" s="149"/>
      <c r="J83" s="141"/>
      <c r="K83" s="139" t="str">
        <f t="shared" si="107"/>
        <v/>
      </c>
      <c r="L83" s="140"/>
      <c r="M83" s="140"/>
      <c r="N83" s="141"/>
      <c r="O83" s="139" t="str">
        <f t="shared" si="108"/>
        <v/>
      </c>
      <c r="P83" s="140"/>
      <c r="Q83" s="140"/>
      <c r="R83" s="141"/>
      <c r="S83" s="139" t="str">
        <f t="shared" si="109"/>
        <v/>
      </c>
      <c r="T83" s="140"/>
      <c r="U83" s="140"/>
      <c r="V83" s="141"/>
      <c r="W83" s="139" t="str">
        <f t="shared" si="110"/>
        <v/>
      </c>
      <c r="X83" s="140"/>
      <c r="Y83" s="140"/>
      <c r="Z83" s="141"/>
      <c r="AA83" s="139" t="str">
        <f t="shared" si="111"/>
        <v/>
      </c>
      <c r="AB83" s="140"/>
      <c r="AC83" s="140"/>
      <c r="AD83" s="141"/>
      <c r="AE83" s="142">
        <f t="shared" si="112"/>
        <v>0</v>
      </c>
      <c r="AF83" s="143">
        <f t="shared" si="74"/>
        <v>0</v>
      </c>
      <c r="AG83" s="144">
        <f t="shared" si="113"/>
        <v>0</v>
      </c>
      <c r="AH83" s="76" t="str">
        <f t="shared" si="114"/>
        <v/>
      </c>
      <c r="AI83" s="143">
        <f> ( IF(ISNUMBER(G83), VLOOKUP(G83/$AH83,F!$A1:$B101,2,1)*G83*$H83*$I83,0)+IF(ISNUMBER(K83), VLOOKUP(K83/$AH83,F!$A1:$B101,2,1)*K83*$L83*$M83,0)+IF(ISNUMBER(O83), VLOOKUP(O83/$AH83,F!$A1:$B101,2,1)*O83*$P83*$Q83,0)+IF(ISNUMBER(S83), VLOOKUP(S83/$AH83,F!$A1:$B101,2,1)*S83*$T83*$U83,0)+IF(ISNUMBER(W83), VLOOKUP(W83/$AH83,F!$A1:$B101,2,1)*W83*$X83*$Y83,0)+IF(ISNUMBER(AA83), VLOOKUP(AA83/$AH83,F!$A1:$B101,2,1)*AA83*$AB83*$AC83,0))*IF(ISNUMBER(F83),F83,1)*IF(ISNUMBER(E83),E83,1)</f>
        <v>0</v>
      </c>
      <c r="AJ83" s="140">
        <f t="shared" si="115"/>
        <v>0</v>
      </c>
      <c r="AK83" s="145">
        <f t="array" ref="AK83">IFERROR(I83*INDEX(F!$P$21:$AB$33, MATCH(G83/$AH83, F!$O$21:$O$33,1), MATCH(E83, F!$P$20:$AB$20,1)), 0 ) +IFERROR( M83*INDEX(F!$P$21:$AB$33, MATCH(K83/$AH83, F!$O$21:$O$33,1), MATCH(E83, F!$P$20:$AB$20,1)),0) +  IFERROR( Q83*INDEX(F!$P$21:$AB$33, MATCH(O83/$AH83, F!$O$21:$O$33,1), MATCH(E83, F!$P$20:$AB$20,1)), 0) + IFERROR( U83*INDEX(F!$P$21:$AB$33, MATCH(S83/$AH83, F!$O$21:$O$33,1), MATCH(E83, F!$P$20:$AB$20,1)),0)  + IFERROR(Y83*INDEX(F!$P$21:$AB$33, MATCH(W83/$AH83, F!$O$21:$O$33,1), MATCH(E83, F!$P$20:$AB$20,1)),0)  + IFERROR( AC83*INDEX(F!$P$21:$AB$33, MATCH(AA83/$AH83, F!$O$21:$O$33,1), MATCH(E83, F!$P$20:$AB$20,1)),)</f>
        <v>0</v>
      </c>
      <c r="AL83" s="59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ht="15.0" hidden="1" customHeight="1">
      <c r="A84" s="59"/>
      <c r="B84" s="173" t="str">
        <f t="shared" ref="B84:F84" si="120">IF(B28="","",B28)</f>
        <v/>
      </c>
      <c r="C84" s="174" t="str">
        <f t="shared" si="120"/>
        <v/>
      </c>
      <c r="D84" s="175" t="str">
        <f t="shared" si="120"/>
        <v/>
      </c>
      <c r="E84" s="48" t="str">
        <f t="shared" si="120"/>
        <v/>
      </c>
      <c r="F84" s="176" t="str">
        <f t="shared" si="120"/>
        <v/>
      </c>
      <c r="G84" s="177"/>
      <c r="H84" s="186"/>
      <c r="I84" s="186"/>
      <c r="J84" s="179"/>
      <c r="K84" s="177" t="str">
        <f t="shared" si="107"/>
        <v/>
      </c>
      <c r="L84" s="178"/>
      <c r="M84" s="178"/>
      <c r="N84" s="179"/>
      <c r="O84" s="177" t="str">
        <f t="shared" si="108"/>
        <v/>
      </c>
      <c r="P84" s="178"/>
      <c r="Q84" s="178"/>
      <c r="R84" s="179"/>
      <c r="S84" s="177" t="str">
        <f t="shared" si="109"/>
        <v/>
      </c>
      <c r="T84" s="178"/>
      <c r="U84" s="178"/>
      <c r="V84" s="179"/>
      <c r="W84" s="177" t="str">
        <f t="shared" si="110"/>
        <v/>
      </c>
      <c r="X84" s="178"/>
      <c r="Y84" s="178"/>
      <c r="Z84" s="179"/>
      <c r="AA84" s="177" t="str">
        <f t="shared" si="111"/>
        <v/>
      </c>
      <c r="AB84" s="178"/>
      <c r="AC84" s="178"/>
      <c r="AD84" s="179"/>
      <c r="AE84" s="180">
        <f t="shared" si="112"/>
        <v>0</v>
      </c>
      <c r="AF84" s="181">
        <f t="shared" si="74"/>
        <v>0</v>
      </c>
      <c r="AG84" s="182">
        <f t="shared" si="113"/>
        <v>0</v>
      </c>
      <c r="AH84" s="76" t="str">
        <f t="shared" si="114"/>
        <v/>
      </c>
      <c r="AI84" s="181">
        <f> ( IF(ISNUMBER(G84), VLOOKUP(G84/$AH84,F!$A1:$B101,2,1)*G84*$H84*$I84,0)+IF(ISNUMBER(K84), VLOOKUP(K84/$AH84,F!$A1:$B101,2,1)*K84*$L84*$M84,0)+IF(ISNUMBER(O84), VLOOKUP(O84/$AH84,F!$A1:$B101,2,1)*O84*$P84*$Q84,0)+IF(ISNUMBER(S84), VLOOKUP(S84/$AH84,F!$A1:$B101,2,1)*S84*$T84*$U84,0)+IF(ISNUMBER(W84), VLOOKUP(W84/$AH84,F!$A1:$B101,2,1)*W84*$X84*$Y84,0)+IF(ISNUMBER(AA84), VLOOKUP(AA84/$AH84,F!$A1:$B101,2,1)*AA84*$AB84*$AC84,0))*IF(ISNUMBER(F84),F84,1)*IF(ISNUMBER(E84),E84,1)</f>
        <v>0</v>
      </c>
      <c r="AJ84" s="178">
        <f t="shared" si="115"/>
        <v>0</v>
      </c>
      <c r="AK84" s="183">
        <f t="array" ref="AK84">IFERROR(I84*INDEX(F!$P$21:$AB$33, MATCH(G84/$AH84, F!$O$21:$O$33,1), MATCH(E84, F!$P$20:$AB$20,1)), 0 ) +IFERROR( M84*INDEX(F!$P$21:$AB$33, MATCH(K84/$AH84, F!$O$21:$O$33,1), MATCH(E84, F!$P$20:$AB$20,1)),0) +  IFERROR( Q84*INDEX(F!$P$21:$AB$33, MATCH(O84/$AH84, F!$O$21:$O$33,1), MATCH(E84, F!$P$20:$AB$20,1)), 0) + IFERROR( U84*INDEX(F!$P$21:$AB$33, MATCH(S84/$AH84, F!$O$21:$O$33,1), MATCH(E84, F!$P$20:$AB$20,1)),0)  + IFERROR(Y84*INDEX(F!$P$21:$AB$33, MATCH(W84/$AH84, F!$O$21:$O$33,1), MATCH(E84, F!$P$20:$AB$20,1)),0)  + IFERROR( AC84*INDEX(F!$P$21:$AB$33, MATCH(AA84/$AH84, F!$O$21:$O$33,1), MATCH(E84, F!$P$20:$AB$20,1)),)</f>
        <v>0</v>
      </c>
      <c r="AL84" s="59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ht="15.0" hidden="1" customHeight="1">
      <c r="A85" s="59"/>
      <c r="B85" s="135" t="str">
        <f t="shared" ref="B85:F85" si="121">IF(B29="","",B29)</f>
        <v/>
      </c>
      <c r="C85" s="136" t="str">
        <f t="shared" si="121"/>
        <v/>
      </c>
      <c r="D85" s="137" t="str">
        <f t="shared" si="121"/>
        <v/>
      </c>
      <c r="E85" s="48" t="str">
        <f t="shared" si="121"/>
        <v/>
      </c>
      <c r="F85" s="138" t="str">
        <f t="shared" si="121"/>
        <v/>
      </c>
      <c r="G85" s="139" t="str">
        <f>IF(J85&lt;&gt;0, IFERROR(IF( $F85=2,  MROUND($AH85*J85,1),    IF( OR($F85="",$F85=1),   MROUND($AH85*J85,2.5),  MROUND($AH85*J85, 0.1))), "" ), "")</f>
        <v/>
      </c>
      <c r="H85" s="140"/>
      <c r="I85" s="140"/>
      <c r="J85" s="141"/>
      <c r="K85" s="139" t="str">
        <f t="shared" si="107"/>
        <v/>
      </c>
      <c r="L85" s="140"/>
      <c r="M85" s="140"/>
      <c r="N85" s="141"/>
      <c r="O85" s="139" t="str">
        <f t="shared" si="108"/>
        <v/>
      </c>
      <c r="P85" s="140"/>
      <c r="Q85" s="140"/>
      <c r="R85" s="141"/>
      <c r="S85" s="139" t="str">
        <f t="shared" si="109"/>
        <v/>
      </c>
      <c r="T85" s="140"/>
      <c r="U85" s="140"/>
      <c r="V85" s="141"/>
      <c r="W85" s="139" t="str">
        <f t="shared" si="110"/>
        <v/>
      </c>
      <c r="X85" s="140"/>
      <c r="Y85" s="140"/>
      <c r="Z85" s="141"/>
      <c r="AA85" s="139" t="str">
        <f t="shared" si="111"/>
        <v/>
      </c>
      <c r="AB85" s="140"/>
      <c r="AC85" s="140"/>
      <c r="AD85" s="141"/>
      <c r="AE85" s="142">
        <f t="shared" si="112"/>
        <v>0</v>
      </c>
      <c r="AF85" s="143">
        <f t="shared" si="74"/>
        <v>0</v>
      </c>
      <c r="AG85" s="144">
        <f t="shared" si="113"/>
        <v>0</v>
      </c>
      <c r="AH85" s="76" t="str">
        <f t="shared" si="114"/>
        <v/>
      </c>
      <c r="AI85" s="143">
        <f> ( IF(ISNUMBER(G85), VLOOKUP(G85/$AH85,F!$A1:$B101,2,1)*G85*$H85*$I85,0)+IF(ISNUMBER(K85), VLOOKUP(K85/$AH85,F!$A1:$B101,2,1)*K85*$L85*$M85,0)+IF(ISNUMBER(O85), VLOOKUP(O85/$AH85,F!$A1:$B101,2,1)*O85*$P85*$Q85,0)+IF(ISNUMBER(S85), VLOOKUP(S85/$AH85,F!$A1:$B101,2,1)*S85*$T85*$U85,0)+IF(ISNUMBER(W85), VLOOKUP(W85/$AH85,F!$A1:$B101,2,1)*W85*$X85*$Y85,0)+IF(ISNUMBER(AA85), VLOOKUP(AA85/$AH85,F!$A1:$B101,2,1)*AA85*$AB85*$AC85,0))*IF(ISNUMBER(F85),F85,1)*IF(ISNUMBER(E85),E85,1)</f>
        <v>0</v>
      </c>
      <c r="AJ85" s="140">
        <f t="shared" si="115"/>
        <v>0</v>
      </c>
      <c r="AK85" s="145">
        <f t="array" ref="AK85">IFERROR(I85*INDEX(F!$P$21:$AB$33, MATCH(G85/$AH85, F!$O$21:$O$33,1), MATCH(E85, F!$P$20:$AB$20,1)), 0 ) +IFERROR( M85*INDEX(F!$P$21:$AB$33, MATCH(K85/$AH85, F!$O$21:$O$33,1), MATCH(E85, F!$P$20:$AB$20,1)),0) +  IFERROR( Q85*INDEX(F!$P$21:$AB$33, MATCH(O85/$AH85, F!$O$21:$O$33,1), MATCH(E85, F!$P$20:$AB$20,1)), 0) + IFERROR( U85*INDEX(F!$P$21:$AB$33, MATCH(S85/$AH85, F!$O$21:$O$33,1), MATCH(E85, F!$P$20:$AB$20,1)),0)  + IFERROR(Y85*INDEX(F!$P$21:$AB$33, MATCH(W85/$AH85, F!$O$21:$O$33,1), MATCH(E85, F!$P$20:$AB$20,1)),0)  + IFERROR( AC85*INDEX(F!$P$21:$AB$33, MATCH(AA85/$AH85, F!$O$21:$O$33,1), MATCH(E85, F!$P$20:$AB$20,1)),)</f>
        <v>0</v>
      </c>
      <c r="AL85" s="59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ht="15.75" customHeight="1">
      <c r="A86" s="98"/>
      <c r="B86" s="188"/>
      <c r="C86" s="189"/>
      <c r="D86" s="190"/>
      <c r="E86" s="102">
        <f>ROUND(IFERROR(SUMPRODUCT(AJ78:AJ85,E78:E85)/AJ86,0),3)</f>
        <v>0.869</v>
      </c>
      <c r="F86" s="191"/>
      <c r="G86" s="192"/>
      <c r="H86" s="193"/>
      <c r="I86" s="193"/>
      <c r="J86" s="194"/>
      <c r="K86" s="192"/>
      <c r="L86" s="193"/>
      <c r="M86" s="193"/>
      <c r="N86" s="194"/>
      <c r="O86" s="192"/>
      <c r="P86" s="193"/>
      <c r="Q86" s="193"/>
      <c r="R86" s="194"/>
      <c r="S86" s="192"/>
      <c r="T86" s="193"/>
      <c r="U86" s="193"/>
      <c r="V86" s="194"/>
      <c r="W86" s="192"/>
      <c r="X86" s="193"/>
      <c r="Y86" s="193"/>
      <c r="Z86" s="194"/>
      <c r="AA86" s="192"/>
      <c r="AB86" s="193"/>
      <c r="AC86" s="193"/>
      <c r="AD86" s="194"/>
      <c r="AE86" s="107">
        <f>SUM(AE78:AE85)</f>
        <v>4025</v>
      </c>
      <c r="AF86" s="108">
        <f t="shared" si="74"/>
        <v>49.69135802</v>
      </c>
      <c r="AG86" s="109">
        <f>IFERROR(  SUMPRODUCT(AG78:AG85,AJ78:AJ85)/AJ86,0)</f>
        <v>0.4630750334</v>
      </c>
      <c r="AH86" s="157"/>
      <c r="AI86" s="111" t="str">
        <f t="shared" ref="AI86:AJ86" si="122">SUM(AI78:AI85)</f>
        <v>#DIV/0!</v>
      </c>
      <c r="AJ86" s="111">
        <f t="shared" si="122"/>
        <v>81</v>
      </c>
      <c r="AK86" s="112">
        <f>IF(SUM(AK78:AK85)=0,TIME(,0,),TIME(,SUM(AK78:AK85)+F!$V$37,))</f>
        <v>0.08888888889</v>
      </c>
      <c r="AL86" s="98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ht="15.75" hidden="1" customHeight="1">
      <c r="A87" s="25">
        <f>A88</f>
        <v>43792</v>
      </c>
      <c r="B87" s="26" t="str">
        <f t="shared" ref="B87:F87" si="123">IF(B31="","",B31)</f>
        <v/>
      </c>
      <c r="C87" s="27" t="str">
        <f t="shared" si="123"/>
        <v/>
      </c>
      <c r="D87" s="28" t="str">
        <f t="shared" si="123"/>
        <v/>
      </c>
      <c r="E87" s="29" t="str">
        <f t="shared" si="123"/>
        <v/>
      </c>
      <c r="F87" s="30" t="str">
        <f t="shared" si="123"/>
        <v/>
      </c>
      <c r="G87" s="31" t="str">
        <f t="shared" ref="G87:G94" si="125">IF(J87&lt;&gt;0, IFERROR(IF( $F87=2,  MROUND($AH87*J87,1),    IF( OR($F87="",$F87=1),   MROUND($AH87*J87,2.5),  MROUND($AH87*J87, 0.1))), "" ), "")</f>
        <v/>
      </c>
      <c r="H87" s="32"/>
      <c r="I87" s="32"/>
      <c r="J87" s="33"/>
      <c r="K87" s="31" t="str">
        <f t="shared" ref="K87:K94" si="126">IF(N87&lt;&gt;0, IFERROR(IF( $F87=2,  MROUND($AH87*N87,1),    IF( OR($F87="",$F87=1),   MROUND($AH87*N87,2.5),  MROUND($AH87*N87, 0.1))), "" ), "")</f>
        <v/>
      </c>
      <c r="L87" s="32"/>
      <c r="M87" s="32"/>
      <c r="N87" s="33"/>
      <c r="O87" s="31" t="str">
        <f t="shared" ref="O87:O94" si="127">IF(R87&lt;&gt;0, IFERROR(IF( $F87=2,  MROUND($AH87*R87,1),    IF( OR($F87="",$F87=1),   MROUND($AH87*R87,2.5),  MROUND($AH87*R87, 0.1))), "" ), "")</f>
        <v/>
      </c>
      <c r="P87" s="32"/>
      <c r="Q87" s="32"/>
      <c r="R87" s="33"/>
      <c r="S87" s="31" t="str">
        <f t="shared" ref="S87:S94" si="128">IF(V87&lt;&gt;0, IFERROR(IF( $F87=2,  MROUND($AH87*V87,1),    IF( OR($F87="",$F87=1),   MROUND($AH87*V87,2.5),  MROUND($AH87*V87, 0.1))), "" ), "")</f>
        <v/>
      </c>
      <c r="T87" s="32"/>
      <c r="U87" s="32"/>
      <c r="V87" s="33"/>
      <c r="W87" s="31" t="str">
        <f t="shared" ref="W87:W94" si="129">IF(Z87&lt;&gt;0, IFERROR(IF( $F87=2,  MROUND($AH87*Z87,1),    IF( OR($F87="",$F87=1),   MROUND($AH87*Z87,2.5),  MROUND($AH87*Z87, 0.1))), "" ), "")</f>
        <v/>
      </c>
      <c r="X87" s="32"/>
      <c r="Y87" s="32"/>
      <c r="Z87" s="33"/>
      <c r="AA87" s="31" t="str">
        <f t="shared" ref="AA87:AA94" si="130">IF(AD87&lt;&gt;0, IFERROR(IF( $F87=2,  MROUND($AH87*AD87,1),    IF( OR($F87="",$F87=1),   MROUND($AH87*AD87,2.5),  MROUND($AH87*AD87, 0.1))), "" ), "")</f>
        <v/>
      </c>
      <c r="AB87" s="32"/>
      <c r="AC87" s="32"/>
      <c r="AD87" s="33"/>
      <c r="AE87" s="35">
        <f t="shared" ref="AE87:AE94" si="131">(IF(ISNUMBER(G87),G87,0)*H87*I87+IF(ISNUMBER(K87),K87,1)*L87*M87+IF(ISNUMBER(O87),O87,1)*P87*Q87+IF(ISNUMBER(S87),S87,1)*T87*U87+IF(ISNUMBER(W87),W87,1)*X87*Y87+IF(ISNUMBER(AA87),AA87,1)*AB87*AC87)*IF(ISNUMBER(F87),F87,1)</f>
        <v>0</v>
      </c>
      <c r="AF87" s="36">
        <f t="shared" si="74"/>
        <v>0</v>
      </c>
      <c r="AG87" s="195">
        <f t="shared" ref="AG87:AG94" si="132">IFERROR((AF87/(AH87*IF(ISNUMBER(F87),F87,1))),0)</f>
        <v>0</v>
      </c>
      <c r="AH87" s="169" t="str">
        <f t="shared" ref="AH87:AH94" si="133">IF(ISNUMBER(AH31), AH31+(AH31*$AH$58),"")</f>
        <v/>
      </c>
      <c r="AI87" s="196">
        <f> ( IF(ISNUMBER(G87), VLOOKUP(G87/$AH87,F!$A1:$B101,2,1)*G87*$H87*$I87,0)+IF(ISNUMBER(K87), VLOOKUP(K87/$AH87,F!$A1:$B101,2,1)*K87*$L87*$M87,0)+IF(ISNUMBER(O87), VLOOKUP(O87/$AH87,F!$A1:$B101,2,1)*O87*$P87*$Q87,0)+IF(ISNUMBER(S87), VLOOKUP(S87/$AH87,F!$A1:$B101,2,1)*S87*$T87*$U87,0)+IF(ISNUMBER(W87), VLOOKUP(W87/$AH87,F!$A1:$B101,2,1)*W87*$X87*$Y87,0)+IF(ISNUMBER(AA87), VLOOKUP(AA87/$AH87,F!$A1:$B101,2,1)*AA87*$AB87*$AC87,0))*IF(ISNUMBER(F87),F87,1)*IF(ISNUMBER(E87),E87,1)</f>
        <v>0</v>
      </c>
      <c r="AJ87" s="40">
        <f t="shared" ref="AJ87:AJ94" si="134">H87*I87+L87*M87+P87*Q87+T87*U87+X87*Y87+AB87*AC87</f>
        <v>0</v>
      </c>
      <c r="AK87" s="41">
        <f t="array" ref="AK87">IFERROR(I87*INDEX(F!$P$21:$AB$33, MATCH(G87/$AH87, F!$O$21:$O$33,1), MATCH(E87, F!$P$20:$AB$20,1)), 0 ) +IFERROR( M87*INDEX(F!$P$21:$AB$33, MATCH(K87/$AH87, F!$O$21:$O$33,1), MATCH(E87, F!$P$20:$AB$20,1)),0) +  IFERROR( Q87*INDEX(F!$P$21:$AB$33, MATCH(O87/$AH87, F!$O$21:$O$33,1), MATCH(E87, F!$P$20:$AB$20,1)), 0) + IFERROR( U87*INDEX(F!$P$21:$AB$33, MATCH(S87/$AH87, F!$O$21:$O$33,1), MATCH(E87, F!$P$20:$AB$20,1)),0)  + IFERROR(Y87*INDEX(F!$P$21:$AB$33, MATCH(W87/$AH87, F!$O$21:$O$33,1), MATCH(E87, F!$P$20:$AB$20,1)),0)  + IFERROR( AC87*INDEX(F!$P$21:$AB$33, MATCH(AA87/$AH87, F!$O$21:$O$33,1), MATCH(E87, F!$P$20:$AB$20,1)),)</f>
        <v>0</v>
      </c>
      <c r="AL87" s="42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ht="15.75" hidden="1" customHeight="1">
      <c r="A88" s="44">
        <f>A32+A2</f>
        <v>43792</v>
      </c>
      <c r="B88" s="45" t="str">
        <f t="shared" ref="B88:F88" si="124">IF(B32="","",B32)</f>
        <v/>
      </c>
      <c r="C88" s="46" t="str">
        <f t="shared" si="124"/>
        <v/>
      </c>
      <c r="D88" s="47" t="str">
        <f t="shared" si="124"/>
        <v/>
      </c>
      <c r="E88" s="48" t="str">
        <f t="shared" si="124"/>
        <v/>
      </c>
      <c r="F88" s="49" t="str">
        <f t="shared" si="124"/>
        <v/>
      </c>
      <c r="G88" s="50" t="str">
        <f t="shared" si="125"/>
        <v/>
      </c>
      <c r="H88" s="51"/>
      <c r="I88" s="51"/>
      <c r="J88" s="52"/>
      <c r="K88" s="50" t="str">
        <f t="shared" si="126"/>
        <v/>
      </c>
      <c r="L88" s="51"/>
      <c r="M88" s="51"/>
      <c r="N88" s="52"/>
      <c r="O88" s="50" t="str">
        <f t="shared" si="127"/>
        <v/>
      </c>
      <c r="P88" s="51"/>
      <c r="Q88" s="51"/>
      <c r="R88" s="52"/>
      <c r="S88" s="50" t="str">
        <f t="shared" si="128"/>
        <v/>
      </c>
      <c r="T88" s="51"/>
      <c r="U88" s="51"/>
      <c r="V88" s="52"/>
      <c r="W88" s="50" t="str">
        <f t="shared" si="129"/>
        <v/>
      </c>
      <c r="X88" s="51"/>
      <c r="Y88" s="51"/>
      <c r="Z88" s="52"/>
      <c r="AA88" s="50" t="str">
        <f t="shared" si="130"/>
        <v/>
      </c>
      <c r="AB88" s="51"/>
      <c r="AC88" s="51"/>
      <c r="AD88" s="52"/>
      <c r="AE88" s="53">
        <f t="shared" si="131"/>
        <v>0</v>
      </c>
      <c r="AF88" s="54">
        <f t="shared" si="74"/>
        <v>0</v>
      </c>
      <c r="AG88" s="75">
        <f t="shared" si="132"/>
        <v>0</v>
      </c>
      <c r="AH88" s="76" t="str">
        <f t="shared" si="133"/>
        <v/>
      </c>
      <c r="AI88" s="77">
        <f> ( IF(ISNUMBER(G88), VLOOKUP(G88/$AH88,F!$A1:$B101,2,1)*G88*$H88*$I88,0)+IF(ISNUMBER(K88), VLOOKUP(K88/$AH88,F!$A1:$B101,2,1)*K88*$L88*$M88,0)+IF(ISNUMBER(O88), VLOOKUP(O88/$AH88,F!$A1:$B101,2,1)*O88*$P88*$Q88,0)+IF(ISNUMBER(S88), VLOOKUP(S88/$AH88,F!$A1:$B101,2,1)*S88*$T88*$U88,0)+IF(ISNUMBER(W88), VLOOKUP(W88/$AH88,F!$A1:$B101,2,1)*W88*$X88*$Y88,0)+IF(ISNUMBER(AA88), VLOOKUP(AA88/$AH88,F!$A1:$B101,2,1)*AA88*$AB88*$AC88,0))*IF(ISNUMBER(F88),F88,1)*IF(ISNUMBER(E88),E88,1)</f>
        <v>0</v>
      </c>
      <c r="AJ88" s="57">
        <f t="shared" si="134"/>
        <v>0</v>
      </c>
      <c r="AK88" s="58">
        <f t="array" ref="AK88">IFERROR(I88*INDEX(F!$P$21:$AB$33, MATCH(G88/$AH88, F!$O$21:$O$33,1), MATCH(E88, F!$P$20:$AB$20,1)), 0 ) +IFERROR( M88*INDEX(F!$P$21:$AB$33, MATCH(K88/$AH88, F!$O$21:$O$33,1), MATCH(E88, F!$P$20:$AB$20,1)),0) +  IFERROR( Q88*INDEX(F!$P$21:$AB$33, MATCH(O88/$AH88, F!$O$21:$O$33,1), MATCH(E88, F!$P$20:$AB$20,1)), 0) + IFERROR( U88*INDEX(F!$P$21:$AB$33, MATCH(S88/$AH88, F!$O$21:$O$33,1), MATCH(E88, F!$P$20:$AB$20,1)),0)  + IFERROR(Y88*INDEX(F!$P$21:$AB$33, MATCH(W88/$AH88, F!$O$21:$O$33,1), MATCH(E88, F!$P$20:$AB$20,1)),0)  + IFERROR( AC88*INDEX(F!$P$21:$AB$33, MATCH(AA88/$AH88, F!$O$21:$O$33,1), MATCH(E88, F!$P$20:$AB$20,1)),)</f>
        <v>0</v>
      </c>
      <c r="AL88" s="59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ht="15.0" hidden="1" customHeight="1">
      <c r="A89" s="59"/>
      <c r="B89" s="60" t="str">
        <f t="shared" ref="B89:F89" si="135">IF(B33="","",B33)</f>
        <v/>
      </c>
      <c r="C89" s="61" t="str">
        <f t="shared" si="135"/>
        <v/>
      </c>
      <c r="D89" s="62" t="str">
        <f t="shared" si="135"/>
        <v/>
      </c>
      <c r="E89" s="48" t="str">
        <f t="shared" si="135"/>
        <v/>
      </c>
      <c r="F89" s="63" t="str">
        <f t="shared" si="135"/>
        <v/>
      </c>
      <c r="G89" s="64" t="str">
        <f t="shared" si="125"/>
        <v/>
      </c>
      <c r="H89" s="34"/>
      <c r="I89" s="34"/>
      <c r="J89" s="65"/>
      <c r="K89" s="64" t="str">
        <f t="shared" si="126"/>
        <v/>
      </c>
      <c r="L89" s="34"/>
      <c r="M89" s="34"/>
      <c r="N89" s="65"/>
      <c r="O89" s="64" t="str">
        <f t="shared" si="127"/>
        <v/>
      </c>
      <c r="P89" s="34"/>
      <c r="Q89" s="34"/>
      <c r="R89" s="65"/>
      <c r="S89" s="64" t="str">
        <f t="shared" si="128"/>
        <v/>
      </c>
      <c r="T89" s="34"/>
      <c r="U89" s="34"/>
      <c r="V89" s="65"/>
      <c r="W89" s="64" t="str">
        <f t="shared" si="129"/>
        <v/>
      </c>
      <c r="X89" s="34"/>
      <c r="Y89" s="34"/>
      <c r="Z89" s="65"/>
      <c r="AA89" s="64" t="str">
        <f t="shared" si="130"/>
        <v/>
      </c>
      <c r="AB89" s="34"/>
      <c r="AC89" s="34"/>
      <c r="AD89" s="65"/>
      <c r="AE89" s="66">
        <f t="shared" si="131"/>
        <v>0</v>
      </c>
      <c r="AF89" s="67">
        <f t="shared" si="74"/>
        <v>0</v>
      </c>
      <c r="AG89" s="68">
        <f t="shared" si="132"/>
        <v>0</v>
      </c>
      <c r="AH89" s="76" t="str">
        <f t="shared" si="133"/>
        <v/>
      </c>
      <c r="AI89" s="70">
        <f> ( IF(ISNUMBER(G89), VLOOKUP(G89/$AH89,F!$A1:$B101,2,1)*G89*$H89*$I89,0)+IF(ISNUMBER(K89), VLOOKUP(K89/$AH89,F!$A1:$B101,2,1)*K89*$L89*$M89,0)+IF(ISNUMBER(O89), VLOOKUP(O89/$AH89,F!$A1:$B101,2,1)*O89*$P89*$Q89,0)+IF(ISNUMBER(S89), VLOOKUP(S89/$AH89,F!$A1:$B101,2,1)*S89*$T89*$U89,0)+IF(ISNUMBER(W89), VLOOKUP(W89/$AH89,F!$A1:$B101,2,1)*W89*$X89*$Y89,0)+IF(ISNUMBER(AA89), VLOOKUP(AA89/$AH89,F!$A1:$B101,2,1)*AA89*$AB89*$AC89,0))*IF(ISNUMBER(F89),F89,1)*IF(ISNUMBER(E89),E89,1)</f>
        <v>0</v>
      </c>
      <c r="AJ89" s="71">
        <f t="shared" si="134"/>
        <v>0</v>
      </c>
      <c r="AK89" s="72">
        <f t="array" ref="AK89">IFERROR(I89*INDEX(F!$P$21:$AB$33, MATCH(G89/$AH89, F!$O$21:$O$33,1), MATCH(E89, F!$P$20:$AB$20,1)), 0 ) +IFERROR( M89*INDEX(F!$P$21:$AB$33, MATCH(K89/$AH89, F!$O$21:$O$33,1), MATCH(E89, F!$P$20:$AB$20,1)),0) +  IFERROR( Q89*INDEX(F!$P$21:$AB$33, MATCH(O89/$AH89, F!$O$21:$O$33,1), MATCH(E89, F!$P$20:$AB$20,1)), 0) + IFERROR( U89*INDEX(F!$P$21:$AB$33, MATCH(S89/$AH89, F!$O$21:$O$33,1), MATCH(E89, F!$P$20:$AB$20,1)),0)  + IFERROR(Y89*INDEX(F!$P$21:$AB$33, MATCH(W89/$AH89, F!$O$21:$O$33,1), MATCH(E89, F!$P$20:$AB$20,1)),0)  + IFERROR( AC89*INDEX(F!$P$21:$AB$33, MATCH(AA89/$AH89, F!$O$21:$O$33,1), MATCH(E89, F!$P$20:$AB$20,1)),)</f>
        <v>0</v>
      </c>
      <c r="AL89" s="59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ht="15.75" hidden="1" customHeight="1">
      <c r="A90" s="59"/>
      <c r="B90" s="215" t="str">
        <f t="shared" ref="B90:F90" si="136">IF(B34="","",B34)</f>
        <v/>
      </c>
      <c r="C90" s="73" t="str">
        <f t="shared" si="136"/>
        <v/>
      </c>
      <c r="D90" s="47" t="str">
        <f t="shared" si="136"/>
        <v/>
      </c>
      <c r="E90" s="48" t="str">
        <f t="shared" si="136"/>
        <v/>
      </c>
      <c r="F90" s="74" t="str">
        <f t="shared" si="136"/>
        <v/>
      </c>
      <c r="G90" s="50" t="str">
        <f t="shared" si="125"/>
        <v/>
      </c>
      <c r="H90" s="51"/>
      <c r="I90" s="51"/>
      <c r="J90" s="52"/>
      <c r="K90" s="50" t="str">
        <f t="shared" si="126"/>
        <v/>
      </c>
      <c r="L90" s="51"/>
      <c r="M90" s="51"/>
      <c r="N90" s="52"/>
      <c r="O90" s="50" t="str">
        <f t="shared" si="127"/>
        <v/>
      </c>
      <c r="P90" s="51"/>
      <c r="Q90" s="51"/>
      <c r="R90" s="52"/>
      <c r="S90" s="50" t="str">
        <f t="shared" si="128"/>
        <v/>
      </c>
      <c r="T90" s="51"/>
      <c r="U90" s="51"/>
      <c r="V90" s="52"/>
      <c r="W90" s="50" t="str">
        <f t="shared" si="129"/>
        <v/>
      </c>
      <c r="X90" s="51"/>
      <c r="Y90" s="51"/>
      <c r="Z90" s="52"/>
      <c r="AA90" s="50" t="str">
        <f t="shared" si="130"/>
        <v/>
      </c>
      <c r="AB90" s="51"/>
      <c r="AC90" s="51"/>
      <c r="AD90" s="52"/>
      <c r="AE90" s="53">
        <f t="shared" si="131"/>
        <v>0</v>
      </c>
      <c r="AF90" s="54">
        <f t="shared" si="74"/>
        <v>0</v>
      </c>
      <c r="AG90" s="75">
        <f t="shared" si="132"/>
        <v>0</v>
      </c>
      <c r="AH90" s="76" t="str">
        <f t="shared" si="133"/>
        <v/>
      </c>
      <c r="AI90" s="77">
        <f> ( IF(ISNUMBER(G90), VLOOKUP(G90/$AH90,F!$A1:$B101,2,1)*G90*$H90*$I90,0)+IF(ISNUMBER(K90), VLOOKUP(K90/$AH90,F!$A1:$B101,2,1)*K90*$L90*$M90,0)+IF(ISNUMBER(O90), VLOOKUP(O90/$AH90,F!$A1:$B101,2,1)*O90*$P90*$Q90,0)+IF(ISNUMBER(S90), VLOOKUP(S90/$AH90,F!$A1:$B101,2,1)*S90*$T90*$U90,0)+IF(ISNUMBER(W90), VLOOKUP(W90/$AH90,F!$A1:$B101,2,1)*W90*$X90*$Y90,0)+IF(ISNUMBER(AA90), VLOOKUP(AA90/$AH90,F!$A1:$B101,2,1)*AA90*$AB90*$AC90,0))*IF(ISNUMBER(F90),F90,1)*IF(ISNUMBER(E90),E90,1)</f>
        <v>0</v>
      </c>
      <c r="AJ90" s="57">
        <f t="shared" si="134"/>
        <v>0</v>
      </c>
      <c r="AK90" s="58">
        <f t="array" ref="AK90">IFERROR(I90*INDEX(F!$P$21:$AB$33, MATCH(G90/$AH90, F!$O$21:$O$33,1), MATCH(E90, F!$P$20:$AB$20,1)), 0 ) +IFERROR( M90*INDEX(F!$P$21:$AB$33, MATCH(K90/$AH90, F!$O$21:$O$33,1), MATCH(E90, F!$P$20:$AB$20,1)),0) +  IFERROR( Q90*INDEX(F!$P$21:$AB$33, MATCH(O90/$AH90, F!$O$21:$O$33,1), MATCH(E90, F!$P$20:$AB$20,1)), 0) + IFERROR( U90*INDEX(F!$P$21:$AB$33, MATCH(S90/$AH90, F!$O$21:$O$33,1), MATCH(E90, F!$P$20:$AB$20,1)),0)  + IFERROR(Y90*INDEX(F!$P$21:$AB$33, MATCH(W90/$AH90, F!$O$21:$O$33,1), MATCH(E90, F!$P$20:$AB$20,1)),0)  + IFERROR( AC90*INDEX(F!$P$21:$AB$33, MATCH(AA90/$AH90, F!$O$21:$O$33,1), MATCH(E90, F!$P$20:$AB$20,1)),)</f>
        <v>0</v>
      </c>
      <c r="AL90" s="59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ht="15.75" hidden="1" customHeight="1">
      <c r="A91" s="59"/>
      <c r="B91" s="216" t="str">
        <f t="shared" ref="B91:F91" si="137">IF(B35="","",B35)</f>
        <v/>
      </c>
      <c r="C91" s="78" t="str">
        <f t="shared" si="137"/>
        <v/>
      </c>
      <c r="D91" s="62" t="str">
        <f t="shared" si="137"/>
        <v/>
      </c>
      <c r="E91" s="48" t="str">
        <f t="shared" si="137"/>
        <v/>
      </c>
      <c r="F91" s="79" t="str">
        <f t="shared" si="137"/>
        <v/>
      </c>
      <c r="G91" s="64" t="str">
        <f t="shared" si="125"/>
        <v/>
      </c>
      <c r="H91" s="34"/>
      <c r="I91" s="34"/>
      <c r="J91" s="65"/>
      <c r="K91" s="64" t="str">
        <f t="shared" si="126"/>
        <v/>
      </c>
      <c r="L91" s="34"/>
      <c r="M91" s="34"/>
      <c r="N91" s="65"/>
      <c r="O91" s="64" t="str">
        <f t="shared" si="127"/>
        <v/>
      </c>
      <c r="P91" s="34"/>
      <c r="Q91" s="34"/>
      <c r="R91" s="65"/>
      <c r="S91" s="64" t="str">
        <f t="shared" si="128"/>
        <v/>
      </c>
      <c r="T91" s="34"/>
      <c r="U91" s="34"/>
      <c r="V91" s="65"/>
      <c r="W91" s="64" t="str">
        <f t="shared" si="129"/>
        <v/>
      </c>
      <c r="X91" s="34"/>
      <c r="Y91" s="34"/>
      <c r="Z91" s="65"/>
      <c r="AA91" s="64" t="str">
        <f t="shared" si="130"/>
        <v/>
      </c>
      <c r="AB91" s="34"/>
      <c r="AC91" s="34"/>
      <c r="AD91" s="65"/>
      <c r="AE91" s="66">
        <f t="shared" si="131"/>
        <v>0</v>
      </c>
      <c r="AF91" s="67">
        <f t="shared" si="74"/>
        <v>0</v>
      </c>
      <c r="AG91" s="68">
        <f t="shared" si="132"/>
        <v>0</v>
      </c>
      <c r="AH91" s="76" t="str">
        <f t="shared" si="133"/>
        <v/>
      </c>
      <c r="AI91" s="70">
        <f> ( IF(ISNUMBER(G91), VLOOKUP(G91/$AH91,F!$A1:$B101,2,1)*G91*$H91*$I91,0)+IF(ISNUMBER(K91), VLOOKUP(K91/$AH91,F!$A1:$B101,2,1)*K91*$L91*$M91,0)+IF(ISNUMBER(O91), VLOOKUP(O91/$AH91,F!$A1:$B101,2,1)*O91*$P91*$Q91,0)+IF(ISNUMBER(S91), VLOOKUP(S91/$AH91,F!$A1:$B101,2,1)*S91*$T91*$U91,0)+IF(ISNUMBER(W91), VLOOKUP(W91/$AH91,F!$A1:$B101,2,1)*W91*$X91*$Y91,0)+IF(ISNUMBER(AA91), VLOOKUP(AA91/$AH91,F!$A1:$B101,2,1)*AA91*$AB91*$AC91,0))*IF(ISNUMBER(F91),F91,1)*IF(ISNUMBER(E91),E91,1)</f>
        <v>0</v>
      </c>
      <c r="AJ91" s="71">
        <f t="shared" si="134"/>
        <v>0</v>
      </c>
      <c r="AK91" s="72">
        <f t="array" ref="AK91">IFERROR(I91*INDEX(F!$P$21:$AB$33, MATCH(G91/$AH91, F!$O$21:$O$33,1), MATCH(E91, F!$P$20:$AB$20,1)), 0 ) +IFERROR( M91*INDEX(F!$P$21:$AB$33, MATCH(K91/$AH91, F!$O$21:$O$33,1), MATCH(E91, F!$P$20:$AB$20,1)),0) +  IFERROR( Q91*INDEX(F!$P$21:$AB$33, MATCH(O91/$AH91, F!$O$21:$O$33,1), MATCH(E91, F!$P$20:$AB$20,1)), 0) + IFERROR( U91*INDEX(F!$P$21:$AB$33, MATCH(S91/$AH91, F!$O$21:$O$33,1), MATCH(E91, F!$P$20:$AB$20,1)),0)  + IFERROR(Y91*INDEX(F!$P$21:$AB$33, MATCH(W91/$AH91, F!$O$21:$O$33,1), MATCH(E91, F!$P$20:$AB$20,1)),0)  + IFERROR( AC91*INDEX(F!$P$21:$AB$33, MATCH(AA91/$AH91, F!$O$21:$O$33,1), MATCH(E91, F!$P$20:$AB$20,1)),)</f>
        <v>0</v>
      </c>
      <c r="AL91" s="59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ht="15.75" hidden="1" customHeight="1">
      <c r="A92" s="59"/>
      <c r="B92" s="45" t="str">
        <f t="shared" ref="B92:F92" si="138">IF(B36="","",B36)</f>
        <v/>
      </c>
      <c r="C92" s="46" t="str">
        <f t="shared" si="138"/>
        <v/>
      </c>
      <c r="D92" s="197" t="str">
        <f t="shared" si="138"/>
        <v/>
      </c>
      <c r="E92" s="48" t="str">
        <f t="shared" si="138"/>
        <v/>
      </c>
      <c r="F92" s="83" t="str">
        <f t="shared" si="138"/>
        <v/>
      </c>
      <c r="G92" s="50" t="str">
        <f t="shared" si="125"/>
        <v/>
      </c>
      <c r="H92" s="51"/>
      <c r="I92" s="51"/>
      <c r="J92" s="52"/>
      <c r="K92" s="50" t="str">
        <f t="shared" si="126"/>
        <v/>
      </c>
      <c r="L92" s="51"/>
      <c r="M92" s="51"/>
      <c r="N92" s="52"/>
      <c r="O92" s="50" t="str">
        <f t="shared" si="127"/>
        <v/>
      </c>
      <c r="P92" s="51"/>
      <c r="Q92" s="51"/>
      <c r="R92" s="52"/>
      <c r="S92" s="50" t="str">
        <f t="shared" si="128"/>
        <v/>
      </c>
      <c r="T92" s="51"/>
      <c r="U92" s="51"/>
      <c r="V92" s="52"/>
      <c r="W92" s="50" t="str">
        <f t="shared" si="129"/>
        <v/>
      </c>
      <c r="X92" s="51"/>
      <c r="Y92" s="51"/>
      <c r="Z92" s="52"/>
      <c r="AA92" s="50" t="str">
        <f t="shared" si="130"/>
        <v/>
      </c>
      <c r="AB92" s="51"/>
      <c r="AC92" s="51"/>
      <c r="AD92" s="52"/>
      <c r="AE92" s="53">
        <f t="shared" si="131"/>
        <v>0</v>
      </c>
      <c r="AF92" s="54">
        <f t="shared" si="74"/>
        <v>0</v>
      </c>
      <c r="AG92" s="75">
        <f t="shared" si="132"/>
        <v>0</v>
      </c>
      <c r="AH92" s="76" t="str">
        <f t="shared" si="133"/>
        <v/>
      </c>
      <c r="AI92" s="77">
        <f> ( IF(ISNUMBER(G92), VLOOKUP(G92/$AH92,F!$A1:$B101,2,1)*G92*$H92*$I92,0)+IF(ISNUMBER(K92), VLOOKUP(K92/$AH92,F!$A1:$B101,2,1)*K92*$L92*$M92,0)+IF(ISNUMBER(O92), VLOOKUP(O92/$AH92,F!$A1:$B101,2,1)*O92*$P92*$Q92,0)+IF(ISNUMBER(S92), VLOOKUP(S92/$AH92,F!$A1:$B101,2,1)*S92*$T92*$U92,0)+IF(ISNUMBER(W92), VLOOKUP(W92/$AH92,F!$A1:$B101,2,1)*W92*$X92*$Y92,0)+IF(ISNUMBER(AA92), VLOOKUP(AA92/$AH92,F!$A1:$B101,2,1)*AA92*$AB92*$AC92,0))*IF(ISNUMBER(F92),F92,1)*IF(ISNUMBER(E92),E92,1)</f>
        <v>0</v>
      </c>
      <c r="AJ92" s="86">
        <f t="shared" si="134"/>
        <v>0</v>
      </c>
      <c r="AK92" s="58">
        <f t="array" ref="AK92">IFERROR(I92*INDEX(F!$P$21:$AB$33, MATCH(G92/$AH92, F!$O$21:$O$33,1), MATCH(E92, F!$P$20:$AB$20,1)), 0 ) +IFERROR( M92*INDEX(F!$P$21:$AB$33, MATCH(K92/$AH92, F!$O$21:$O$33,1), MATCH(E92, F!$P$20:$AB$20,1)),0) +  IFERROR( Q92*INDEX(F!$P$21:$AB$33, MATCH(O92/$AH92, F!$O$21:$O$33,1), MATCH(E92, F!$P$20:$AB$20,1)), 0) + IFERROR( U92*INDEX(F!$P$21:$AB$33, MATCH(S92/$AH92, F!$O$21:$O$33,1), MATCH(E92, F!$P$20:$AB$20,1)),0)  + IFERROR(Y92*INDEX(F!$P$21:$AB$33, MATCH(W92/$AH92, F!$O$21:$O$33,1), MATCH(E92, F!$P$20:$AB$20,1)),0)  + IFERROR( AC92*INDEX(F!$P$21:$AB$33, MATCH(AA92/$AH92, F!$O$21:$O$33,1), MATCH(E92, F!$P$20:$AB$20,1)),)</f>
        <v>0</v>
      </c>
      <c r="AL92" s="59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ht="15.75" hidden="1" customHeight="1">
      <c r="A93" s="59"/>
      <c r="B93" s="60" t="str">
        <f t="shared" ref="B93:F93" si="139">IF(B37="","",B37)</f>
        <v/>
      </c>
      <c r="C93" s="61" t="str">
        <f t="shared" si="139"/>
        <v/>
      </c>
      <c r="D93" s="198" t="str">
        <f t="shared" si="139"/>
        <v/>
      </c>
      <c r="E93" s="48" t="str">
        <f t="shared" si="139"/>
        <v/>
      </c>
      <c r="F93" s="79" t="str">
        <f t="shared" si="139"/>
        <v/>
      </c>
      <c r="G93" s="64" t="str">
        <f t="shared" si="125"/>
        <v/>
      </c>
      <c r="H93" s="34"/>
      <c r="I93" s="34"/>
      <c r="J93" s="65"/>
      <c r="K93" s="64" t="str">
        <f t="shared" si="126"/>
        <v/>
      </c>
      <c r="L93" s="34"/>
      <c r="M93" s="34"/>
      <c r="N93" s="65"/>
      <c r="O93" s="64" t="str">
        <f t="shared" si="127"/>
        <v/>
      </c>
      <c r="P93" s="34"/>
      <c r="Q93" s="34"/>
      <c r="R93" s="65"/>
      <c r="S93" s="64" t="str">
        <f t="shared" si="128"/>
        <v/>
      </c>
      <c r="T93" s="34"/>
      <c r="U93" s="34"/>
      <c r="V93" s="65"/>
      <c r="W93" s="64" t="str">
        <f t="shared" si="129"/>
        <v/>
      </c>
      <c r="X93" s="34"/>
      <c r="Y93" s="34"/>
      <c r="Z93" s="65"/>
      <c r="AA93" s="64" t="str">
        <f t="shared" si="130"/>
        <v/>
      </c>
      <c r="AB93" s="34"/>
      <c r="AC93" s="34"/>
      <c r="AD93" s="65"/>
      <c r="AE93" s="66">
        <f t="shared" si="131"/>
        <v>0</v>
      </c>
      <c r="AF93" s="67">
        <f t="shared" si="74"/>
        <v>0</v>
      </c>
      <c r="AG93" s="68">
        <f t="shared" si="132"/>
        <v>0</v>
      </c>
      <c r="AH93" s="76" t="str">
        <f t="shared" si="133"/>
        <v/>
      </c>
      <c r="AI93" s="90">
        <f> ( IF(ISNUMBER(G93), VLOOKUP(G93/$AH93,F!$A1:$B101,2,1)*G93*$H93*$I93,0)+IF(ISNUMBER(K93), VLOOKUP(K93/$AH93,F!$A1:$B101,2,1)*K93*$L93*$M93,0)+IF(ISNUMBER(O93), VLOOKUP(O93/$AH93,F!$A1:$B101,2,1)*O93*$P93*$Q93,0)+IF(ISNUMBER(S93), VLOOKUP(S93/$AH93,F!$A1:$B101,2,1)*S93*$T93*$U93,0)+IF(ISNUMBER(W93), VLOOKUP(W93/$AH93,F!$A1:$B101,2,1)*W93*$X93*$Y93,0)+IF(ISNUMBER(AA93), VLOOKUP(AA93/$AH93,F!$A1:$B101,2,1)*AA93*$AB93*$AC93,0))*IF(ISNUMBER(F93),F93,1)*IF(ISNUMBER(E93),E93,1)</f>
        <v>0</v>
      </c>
      <c r="AJ93" s="34">
        <f t="shared" si="134"/>
        <v>0</v>
      </c>
      <c r="AK93" s="91">
        <f t="array" ref="AK93">IFERROR(I93*INDEX(F!$P$21:$AB$33, MATCH(G93/$AH93, F!$O$21:$O$33,1), MATCH(E93, F!$P$20:$AB$20,1)), 0 ) +IFERROR( M93*INDEX(F!$P$21:$AB$33, MATCH(K93/$AH93, F!$O$21:$O$33,1), MATCH(E93, F!$P$20:$AB$20,1)),0) +  IFERROR( Q93*INDEX(F!$P$21:$AB$33, MATCH(O93/$AH93, F!$O$21:$O$33,1), MATCH(E93, F!$P$20:$AB$20,1)), 0) + IFERROR( U93*INDEX(F!$P$21:$AB$33, MATCH(S93/$AH93, F!$O$21:$O$33,1), MATCH(E93, F!$P$20:$AB$20,1)),0)  + IFERROR(Y93*INDEX(F!$P$21:$AB$33, MATCH(W93/$AH93, F!$O$21:$O$33,1), MATCH(E93, F!$P$20:$AB$20,1)),0)  + IFERROR( AC93*INDEX(F!$P$21:$AB$33, MATCH(AA93/$AH93, F!$O$21:$O$33,1), MATCH(E93, F!$P$20:$AB$20,1)),)</f>
        <v>0</v>
      </c>
      <c r="AL93" s="59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ht="15.75" hidden="1" customHeight="1">
      <c r="A94" s="59"/>
      <c r="B94" s="45" t="str">
        <f t="shared" ref="B94:F94" si="140">IF(B38="","",B38)</f>
        <v/>
      </c>
      <c r="C94" s="46" t="str">
        <f t="shared" si="140"/>
        <v/>
      </c>
      <c r="D94" s="92" t="str">
        <f t="shared" si="140"/>
        <v/>
      </c>
      <c r="E94" s="48" t="str">
        <f t="shared" si="140"/>
        <v/>
      </c>
      <c r="F94" s="74" t="str">
        <f t="shared" si="140"/>
        <v/>
      </c>
      <c r="G94" s="50" t="str">
        <f t="shared" si="125"/>
        <v/>
      </c>
      <c r="H94" s="51"/>
      <c r="I94" s="51"/>
      <c r="J94" s="52"/>
      <c r="K94" s="50" t="str">
        <f t="shared" si="126"/>
        <v/>
      </c>
      <c r="L94" s="51"/>
      <c r="M94" s="51"/>
      <c r="N94" s="52"/>
      <c r="O94" s="50" t="str">
        <f t="shared" si="127"/>
        <v/>
      </c>
      <c r="P94" s="51"/>
      <c r="Q94" s="51"/>
      <c r="R94" s="52"/>
      <c r="S94" s="50" t="str">
        <f t="shared" si="128"/>
        <v/>
      </c>
      <c r="T94" s="51"/>
      <c r="U94" s="51"/>
      <c r="V94" s="52"/>
      <c r="W94" s="50" t="str">
        <f t="shared" si="129"/>
        <v/>
      </c>
      <c r="X94" s="51"/>
      <c r="Y94" s="51"/>
      <c r="Z94" s="52"/>
      <c r="AA94" s="50" t="str">
        <f t="shared" si="130"/>
        <v/>
      </c>
      <c r="AB94" s="51"/>
      <c r="AC94" s="51"/>
      <c r="AD94" s="52"/>
      <c r="AE94" s="53">
        <f t="shared" si="131"/>
        <v>0</v>
      </c>
      <c r="AF94" s="93">
        <f t="shared" si="74"/>
        <v>0</v>
      </c>
      <c r="AG94" s="94">
        <f t="shared" si="132"/>
        <v>0</v>
      </c>
      <c r="AH94" s="76" t="str">
        <f t="shared" si="133"/>
        <v/>
      </c>
      <c r="AI94" s="95">
        <f> ( IF(ISNUMBER(G94), VLOOKUP(G94/$AH94,F!$A1:$B101,2,1)*G94*$H94*$I94,0)+IF(ISNUMBER(K94), VLOOKUP(K94/$AH94,F!$A1:$B101,2,1)*K94*$L94*$M94,0)+IF(ISNUMBER(O94), VLOOKUP(O94/$AH94,F!$A1:$B101,2,1)*O94*$P94*$Q94,0)+IF(ISNUMBER(S94), VLOOKUP(S94/$AH94,F!$A1:$B101,2,1)*S94*$T94*$U94,0)+IF(ISNUMBER(W94), VLOOKUP(W94/$AH94,F!$A1:$B101,2,1)*W94*$X94*$Y94,0)+IF(ISNUMBER(AA94), VLOOKUP(AA94/$AH94,F!$A1:$B101,2,1)*AA94*$AB94*$AC94,0))*IF(ISNUMBER(F94),F94,1)*IF(ISNUMBER(E94),E94,1)</f>
        <v>0</v>
      </c>
      <c r="AJ94" s="96">
        <f t="shared" si="134"/>
        <v>0</v>
      </c>
      <c r="AK94" s="97">
        <f t="array" ref="AK94">IFERROR(I94*INDEX(F!$P$21:$AB$33, MATCH(G94/$AH94, F!$O$21:$O$33,1), MATCH(E94, F!$P$20:$AB$20,1)), 0 ) +IFERROR( M94*INDEX(F!$P$21:$AB$33, MATCH(K94/$AH94, F!$O$21:$O$33,1), MATCH(E94, F!$P$20:$AB$20,1)),0) +  IFERROR( Q94*INDEX(F!$P$21:$AB$33, MATCH(O94/$AH94, F!$O$21:$O$33,1), MATCH(E94, F!$P$20:$AB$20,1)), 0) + IFERROR( U94*INDEX(F!$P$21:$AB$33, MATCH(S94/$AH94, F!$O$21:$O$33,1), MATCH(E94, F!$P$20:$AB$20,1)),0)  + IFERROR(Y94*INDEX(F!$P$21:$AB$33, MATCH(W94/$AH94, F!$O$21:$O$33,1), MATCH(E94, F!$P$20:$AB$20,1)),0)  + IFERROR( AC94*INDEX(F!$P$21:$AB$33, MATCH(AA94/$AH94, F!$O$21:$O$33,1), MATCH(E94, F!$P$20:$AB$20,1)),)</f>
        <v>0</v>
      </c>
      <c r="AL94" s="59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ht="15.75" hidden="1" customHeight="1">
      <c r="A95" s="98"/>
      <c r="B95" s="99"/>
      <c r="C95" s="100"/>
      <c r="D95" s="101"/>
      <c r="E95" s="102">
        <f>ROUND(IFERROR(SUMPRODUCT(AJ87:AJ94,E87:E94)/AJ95,0),3)</f>
        <v>0</v>
      </c>
      <c r="F95" s="199"/>
      <c r="G95" s="104"/>
      <c r="H95" s="105"/>
      <c r="I95" s="105"/>
      <c r="J95" s="106"/>
      <c r="K95" s="104"/>
      <c r="L95" s="105"/>
      <c r="M95" s="105"/>
      <c r="N95" s="106"/>
      <c r="O95" s="104"/>
      <c r="P95" s="105"/>
      <c r="Q95" s="105"/>
      <c r="R95" s="106"/>
      <c r="S95" s="104"/>
      <c r="T95" s="105"/>
      <c r="U95" s="105"/>
      <c r="V95" s="106"/>
      <c r="W95" s="104"/>
      <c r="X95" s="105"/>
      <c r="Y95" s="105"/>
      <c r="Z95" s="106"/>
      <c r="AA95" s="104"/>
      <c r="AB95" s="105"/>
      <c r="AC95" s="105"/>
      <c r="AD95" s="106"/>
      <c r="AE95" s="107">
        <f>SUM(AE87:AE94)</f>
        <v>0</v>
      </c>
      <c r="AF95" s="108">
        <f t="shared" si="74"/>
        <v>0</v>
      </c>
      <c r="AG95" s="109">
        <f>IFERROR(  SUMPRODUCT(AG87:AG94,AJ87:AJ94)/AJ95,0)</f>
        <v>0</v>
      </c>
      <c r="AH95" s="157"/>
      <c r="AI95" s="111">
        <f t="shared" ref="AI95:AJ95" si="141">SUM(AI87:AI94)</f>
        <v>0</v>
      </c>
      <c r="AJ95" s="111">
        <f t="shared" si="141"/>
        <v>0</v>
      </c>
      <c r="AK95" s="112">
        <f>IF(SUM(AK87:AK94)=0,TIME(,0,),TIME(,SUM(AK87:AK94)+F!$V$37,))</f>
        <v>0</v>
      </c>
      <c r="AL95" s="98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ht="15.75" hidden="1" customHeight="1">
      <c r="A96" s="113">
        <f>A97</f>
        <v>43793</v>
      </c>
      <c r="B96" s="114" t="str">
        <f t="shared" ref="B96:F96" si="142">IF(B40="","",B40)</f>
        <v/>
      </c>
      <c r="C96" s="115" t="str">
        <f t="shared" si="142"/>
        <v/>
      </c>
      <c r="D96" s="116" t="str">
        <f t="shared" si="142"/>
        <v/>
      </c>
      <c r="E96" s="29" t="str">
        <f t="shared" si="142"/>
        <v/>
      </c>
      <c r="F96" s="117" t="str">
        <f t="shared" si="142"/>
        <v/>
      </c>
      <c r="G96" s="118" t="str">
        <f t="shared" ref="G96:G103" si="144">IF(J96&lt;&gt;0, IFERROR(IF( $F96=2,  MROUND($AH96*J96,1),    IF( OR($F96="",$F96=1),   MROUND($AH96*J96,2.5),  MROUND($AH96*J96, 0.1))), "" ), "")</f>
        <v/>
      </c>
      <c r="H96" s="119"/>
      <c r="I96" s="119"/>
      <c r="J96" s="120"/>
      <c r="K96" s="118" t="str">
        <f t="shared" ref="K96:K103" si="145">IF(N96&lt;&gt;0, IFERROR(IF( $F96=2,  MROUND($AH96*N96,1),    IF( OR($F96="",$F96=1),   MROUND($AH96*N96,2.5),  MROUND($AH96*N96, 0.1))), "" ), "")</f>
        <v/>
      </c>
      <c r="L96" s="119"/>
      <c r="M96" s="119"/>
      <c r="N96" s="120"/>
      <c r="O96" s="118" t="str">
        <f t="shared" ref="O96:O103" si="146">IF(R96&lt;&gt;0, IFERROR(IF( $F96=2,  MROUND($AH96*R96,1),    IF( OR($F96="",$F96=1),   MROUND($AH96*R96,2.5),  MROUND($AH96*R96, 0.1))), "" ), "")</f>
        <v/>
      </c>
      <c r="P96" s="119"/>
      <c r="Q96" s="119"/>
      <c r="R96" s="120"/>
      <c r="S96" s="118" t="str">
        <f t="shared" ref="S96:S103" si="147">IF(V96&lt;&gt;0, IFERROR(IF( $F96=2,  MROUND($AH96*V96,1),    IF( OR($F96="",$F96=1),   MROUND($AH96*V96,2.5),  MROUND($AH96*V96, 0.1))), "" ), "")</f>
        <v/>
      </c>
      <c r="T96" s="119"/>
      <c r="U96" s="119"/>
      <c r="V96" s="120"/>
      <c r="W96" s="118" t="str">
        <f t="shared" ref="W96:W103" si="148">IF(Z96&lt;&gt;0, IFERROR(IF( $F96=2,  MROUND($AH96*Z96,1),    IF( OR($F96="",$F96=1),   MROUND($AH96*Z96,2.5),  MROUND($AH96*Z96, 0.1))), "" ), "")</f>
        <v/>
      </c>
      <c r="X96" s="119"/>
      <c r="Y96" s="119"/>
      <c r="Z96" s="120"/>
      <c r="AA96" s="118" t="str">
        <f t="shared" ref="AA96:AA103" si="149">IF(AD96&lt;&gt;0, IFERROR(IF( $F96=2,  MROUND($AH96*AD96,1),    IF( OR($F96="",$F96=1),   MROUND($AH96*AD96,2.5),  MROUND($AH96*AD96, 0.1))), "" ), "")</f>
        <v/>
      </c>
      <c r="AB96" s="119"/>
      <c r="AC96" s="119"/>
      <c r="AD96" s="120"/>
      <c r="AE96" s="121">
        <f t="shared" ref="AE96:AE103" si="150">(IF(ISNUMBER(G96),G96,0)*H96*I96+IF(ISNUMBER(K96),K96,1)*L96*M96+IF(ISNUMBER(O96),O96,1)*P96*Q96+IF(ISNUMBER(S96),S96,1)*T96*U96+IF(ISNUMBER(W96),W96,1)*X96*Y96+IF(ISNUMBER(AA96),AA96,1)*AB96*AC96)*IF(ISNUMBER(F96),F96,1)</f>
        <v>0</v>
      </c>
      <c r="AF96" s="122">
        <f t="shared" si="74"/>
        <v>0</v>
      </c>
      <c r="AG96" s="200">
        <f t="shared" ref="AG96:AG103" si="151">IFERROR((AF96/(AH96*IF(ISNUMBER(F96),F96,1))),0)</f>
        <v>0</v>
      </c>
      <c r="AH96" s="169" t="str">
        <f t="shared" ref="AH96:AH103" si="152">IF(ISNUMBER(AH40), AH40+(AH40*$AH$58),"")</f>
        <v/>
      </c>
      <c r="AI96" s="122">
        <f> ( IF(ISNUMBER(G96), VLOOKUP(G96/$AH96,F!$A1:$B101,2,1)*G96*$H96*$I96,0)+IF(ISNUMBER(K96), VLOOKUP(K96/$AH96,F!$A1:$B101,2,1)*K96*$L96*$M96,0)+IF(ISNUMBER(O96), VLOOKUP(O96/$AH96,F!$A1:$B101,2,1)*O96*$P96*$Q96,0)+IF(ISNUMBER(S96), VLOOKUP(S96/$AH96,F!$A1:$B101,2,1)*S96*$T96*$U96,0)+IF(ISNUMBER(W96), VLOOKUP(W96/$AH96,F!$A1:$B101,2,1)*W96*$X96*$Y96,0)+IF(ISNUMBER(AA96), VLOOKUP(AA96/$AH96,F!$A1:$B101,2,1)*AA96*$AB96*$AC96,0))*IF(ISNUMBER(F96),F96,1)*IF(ISNUMBER(E96),E96,1)</f>
        <v>0</v>
      </c>
      <c r="AJ96" s="119">
        <f t="shared" ref="AJ96:AJ103" si="153">H96*I96+L96*M96+P96*Q96+T96*U96+X96*Y96+AB96*AC96</f>
        <v>0</v>
      </c>
      <c r="AK96" s="125">
        <f t="array" ref="AK96">IFERROR(I96*INDEX(F!$P$21:$AB$33, MATCH(G96/$AH96, F!$O$21:$O$33,1), MATCH(E96, F!$P$20:$AB$20,1)), 0 ) +IFERROR( M96*INDEX(F!$P$21:$AB$33, MATCH(K96/$AH96, F!$O$21:$O$33,1), MATCH(E96, F!$P$20:$AB$20,1)),0) +  IFERROR( Q96*INDEX(F!$P$21:$AB$33, MATCH(O96/$AH96, F!$O$21:$O$33,1), MATCH(E96, F!$P$20:$AB$20,1)), 0) + IFERROR( U96*INDEX(F!$P$21:$AB$33, MATCH(S96/$AH96, F!$O$21:$O$33,1), MATCH(E96, F!$P$20:$AB$20,1)),0)  + IFERROR(Y96*INDEX(F!$P$21:$AB$33, MATCH(W96/$AH96, F!$O$21:$O$33,1), MATCH(E96, F!$P$20:$AB$20,1)),0)  + IFERROR( AC96*INDEX(F!$P$21:$AB$33, MATCH(AA96/$AH96, F!$O$21:$O$33,1), MATCH(E96, F!$P$20:$AB$20,1)),)</f>
        <v>0</v>
      </c>
      <c r="AL96" s="42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ht="15.75" hidden="1" customHeight="1">
      <c r="A97" s="44">
        <f>A41+A2</f>
        <v>43793</v>
      </c>
      <c r="B97" s="126" t="str">
        <f t="shared" ref="B97:F97" si="143">IF(B41="","",B41)</f>
        <v/>
      </c>
      <c r="C97" s="127" t="str">
        <f t="shared" si="143"/>
        <v/>
      </c>
      <c r="D97" s="128" t="str">
        <f t="shared" si="143"/>
        <v/>
      </c>
      <c r="E97" s="48" t="str">
        <f t="shared" si="143"/>
        <v/>
      </c>
      <c r="F97" s="129" t="str">
        <f t="shared" si="143"/>
        <v/>
      </c>
      <c r="G97" s="130" t="str">
        <f t="shared" si="144"/>
        <v/>
      </c>
      <c r="H97" s="34"/>
      <c r="I97" s="34"/>
      <c r="J97" s="65"/>
      <c r="K97" s="130" t="str">
        <f t="shared" si="145"/>
        <v/>
      </c>
      <c r="L97" s="34"/>
      <c r="M97" s="34"/>
      <c r="N97" s="65"/>
      <c r="O97" s="130" t="str">
        <f t="shared" si="146"/>
        <v/>
      </c>
      <c r="P97" s="34"/>
      <c r="Q97" s="34"/>
      <c r="R97" s="65"/>
      <c r="S97" s="130" t="str">
        <f t="shared" si="147"/>
        <v/>
      </c>
      <c r="T97" s="34"/>
      <c r="U97" s="34"/>
      <c r="V97" s="65"/>
      <c r="W97" s="130" t="str">
        <f t="shared" si="148"/>
        <v/>
      </c>
      <c r="X97" s="34"/>
      <c r="Y97" s="34"/>
      <c r="Z97" s="65"/>
      <c r="AA97" s="130" t="str">
        <f t="shared" si="149"/>
        <v/>
      </c>
      <c r="AB97" s="34"/>
      <c r="AC97" s="34"/>
      <c r="AD97" s="65"/>
      <c r="AE97" s="131">
        <f t="shared" si="150"/>
        <v>0</v>
      </c>
      <c r="AF97" s="132">
        <f t="shared" si="74"/>
        <v>0</v>
      </c>
      <c r="AG97" s="133">
        <f t="shared" si="151"/>
        <v>0</v>
      </c>
      <c r="AH97" s="76" t="str">
        <f t="shared" si="152"/>
        <v/>
      </c>
      <c r="AI97" s="132">
        <f> ( IF(ISNUMBER(G97), VLOOKUP(G97/$AH97,F!$A1:$B101,2,1)*G97*$H97*$I97,0)+IF(ISNUMBER(K97), VLOOKUP(K97/$AH97,F!$A1:$B101,2,1)*K97*$L97*$M97,0)+IF(ISNUMBER(O97), VLOOKUP(O97/$AH97,F!$A1:$B101,2,1)*O97*$P97*$Q97,0)+IF(ISNUMBER(S97), VLOOKUP(S97/$AH97,F!$A1:$B101,2,1)*S97*$T97*$U97,0)+IF(ISNUMBER(W97), VLOOKUP(W97/$AH97,F!$A1:$B101,2,1)*W97*$X97*$Y97,0)+IF(ISNUMBER(AA97), VLOOKUP(AA97/$AH97,F!$A1:$B101,2,1)*AA97*$AB97*$AC97,0))*IF(ISNUMBER(F97),F97,1)*IF(ISNUMBER(E97),E97,1)</f>
        <v>0</v>
      </c>
      <c r="AJ97" s="34">
        <f t="shared" si="153"/>
        <v>0</v>
      </c>
      <c r="AK97" s="134">
        <f t="array" ref="AK97">IFERROR(I97*INDEX(F!$P$21:$AB$33, MATCH(G97/$AH97, F!$O$21:$O$33,1), MATCH(E97, F!$P$20:$AB$20,1)), 0 ) +IFERROR( M97*INDEX(F!$P$21:$AB$33, MATCH(K97/$AH97, F!$O$21:$O$33,1), MATCH(E97, F!$P$20:$AB$20,1)),0) +  IFERROR( Q97*INDEX(F!$P$21:$AB$33, MATCH(O97/$AH97, F!$O$21:$O$33,1), MATCH(E97, F!$P$20:$AB$20,1)), 0) + IFERROR( U97*INDEX(F!$P$21:$AB$33, MATCH(S97/$AH97, F!$O$21:$O$33,1), MATCH(E97, F!$P$20:$AB$20,1)),0)  + IFERROR(Y97*INDEX(F!$P$21:$AB$33, MATCH(W97/$AH97, F!$O$21:$O$33,1), MATCH(E97, F!$P$20:$AB$20,1)),0)  + IFERROR( AC97*INDEX(F!$P$21:$AB$33, MATCH(AA97/$AH97, F!$O$21:$O$33,1), MATCH(E97, F!$P$20:$AB$20,1)),)</f>
        <v>0</v>
      </c>
      <c r="AL97" s="59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ht="15.0" hidden="1" customHeight="1">
      <c r="A98" s="59"/>
      <c r="B98" s="135" t="str">
        <f t="shared" ref="B98:F98" si="154">IF(B42="","",B42)</f>
        <v/>
      </c>
      <c r="C98" s="136" t="str">
        <f t="shared" si="154"/>
        <v/>
      </c>
      <c r="D98" s="137" t="str">
        <f t="shared" si="154"/>
        <v/>
      </c>
      <c r="E98" s="48" t="str">
        <f t="shared" si="154"/>
        <v/>
      </c>
      <c r="F98" s="138" t="str">
        <f t="shared" si="154"/>
        <v/>
      </c>
      <c r="G98" s="139" t="str">
        <f t="shared" si="144"/>
        <v/>
      </c>
      <c r="H98" s="140"/>
      <c r="I98" s="140"/>
      <c r="J98" s="141"/>
      <c r="K98" s="139" t="str">
        <f t="shared" si="145"/>
        <v/>
      </c>
      <c r="L98" s="140"/>
      <c r="M98" s="140"/>
      <c r="N98" s="141"/>
      <c r="O98" s="139" t="str">
        <f t="shared" si="146"/>
        <v/>
      </c>
      <c r="P98" s="140"/>
      <c r="Q98" s="140"/>
      <c r="R98" s="141"/>
      <c r="S98" s="139" t="str">
        <f t="shared" si="147"/>
        <v/>
      </c>
      <c r="T98" s="140"/>
      <c r="U98" s="140"/>
      <c r="V98" s="141"/>
      <c r="W98" s="139" t="str">
        <f t="shared" si="148"/>
        <v/>
      </c>
      <c r="X98" s="140"/>
      <c r="Y98" s="140"/>
      <c r="Z98" s="141"/>
      <c r="AA98" s="139" t="str">
        <f t="shared" si="149"/>
        <v/>
      </c>
      <c r="AB98" s="140"/>
      <c r="AC98" s="140"/>
      <c r="AD98" s="141"/>
      <c r="AE98" s="142">
        <f t="shared" si="150"/>
        <v>0</v>
      </c>
      <c r="AF98" s="143">
        <f t="shared" si="74"/>
        <v>0</v>
      </c>
      <c r="AG98" s="144">
        <f t="shared" si="151"/>
        <v>0</v>
      </c>
      <c r="AH98" s="76" t="str">
        <f t="shared" si="152"/>
        <v/>
      </c>
      <c r="AI98" s="143">
        <f> ( IF(ISNUMBER(G98), VLOOKUP(G98/$AH98,F!$A1:$B101,2,1)*G98*$H98*$I98,0)+IF(ISNUMBER(K98), VLOOKUP(K98/$AH98,F!$A1:$B101,2,1)*K98*$L98*$M98,0)+IF(ISNUMBER(O98), VLOOKUP(O98/$AH98,F!$A1:$B101,2,1)*O98*$P98*$Q98,0)+IF(ISNUMBER(S98), VLOOKUP(S98/$AH98,F!$A1:$B101,2,1)*S98*$T98*$U98,0)+IF(ISNUMBER(W98), VLOOKUP(W98/$AH98,F!$A1:$B101,2,1)*W98*$X98*$Y98,0)+IF(ISNUMBER(AA98), VLOOKUP(AA98/$AH98,F!$A1:$B101,2,1)*AA98*$AB98*$AC98,0))*IF(ISNUMBER(F98),F98,1)*IF(ISNUMBER(E98),E98,1)</f>
        <v>0</v>
      </c>
      <c r="AJ98" s="140">
        <f t="shared" si="153"/>
        <v>0</v>
      </c>
      <c r="AK98" s="145">
        <f t="array" ref="AK98">IFERROR(I98*INDEX(F!$P$21:$AB$33, MATCH(G98/$AH98, F!$O$21:$O$33,1), MATCH(E98, F!$P$20:$AB$20,1)), 0 ) +IFERROR( M98*INDEX(F!$P$21:$AB$33, MATCH(K98/$AH98, F!$O$21:$O$33,1), MATCH(E98, F!$P$20:$AB$20,1)),0) +  IFERROR( Q98*INDEX(F!$P$21:$AB$33, MATCH(O98/$AH98, F!$O$21:$O$33,1), MATCH(E98, F!$P$20:$AB$20,1)), 0) + IFERROR( U98*INDEX(F!$P$21:$AB$33, MATCH(S98/$AH98, F!$O$21:$O$33,1), MATCH(E98, F!$P$20:$AB$20,1)),0)  + IFERROR(Y98*INDEX(F!$P$21:$AB$33, MATCH(W98/$AH98, F!$O$21:$O$33,1), MATCH(E98, F!$P$20:$AB$20,1)),0)  + IFERROR( AC98*INDEX(F!$P$21:$AB$33, MATCH(AA98/$AH98, F!$O$21:$O$33,1), MATCH(E98, F!$P$20:$AB$20,1)),)</f>
        <v>0</v>
      </c>
      <c r="AL98" s="59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ht="15.75" hidden="1" customHeight="1">
      <c r="A99" s="59"/>
      <c r="B99" s="126" t="str">
        <f t="shared" ref="B99:F99" si="155">IF(B43="","",B43)</f>
        <v/>
      </c>
      <c r="C99" s="127" t="str">
        <f t="shared" si="155"/>
        <v/>
      </c>
      <c r="D99" s="128" t="str">
        <f t="shared" si="155"/>
        <v/>
      </c>
      <c r="E99" s="48" t="str">
        <f t="shared" si="155"/>
        <v/>
      </c>
      <c r="F99" s="129" t="str">
        <f t="shared" si="155"/>
        <v/>
      </c>
      <c r="G99" s="130" t="str">
        <f t="shared" si="144"/>
        <v/>
      </c>
      <c r="H99" s="34"/>
      <c r="I99" s="34"/>
      <c r="J99" s="65"/>
      <c r="K99" s="130" t="str">
        <f t="shared" si="145"/>
        <v/>
      </c>
      <c r="L99" s="34"/>
      <c r="M99" s="34"/>
      <c r="N99" s="65"/>
      <c r="O99" s="130" t="str">
        <f t="shared" si="146"/>
        <v/>
      </c>
      <c r="P99" s="34"/>
      <c r="Q99" s="34"/>
      <c r="R99" s="65"/>
      <c r="S99" s="130" t="str">
        <f t="shared" si="147"/>
        <v/>
      </c>
      <c r="T99" s="34"/>
      <c r="U99" s="34"/>
      <c r="V99" s="65"/>
      <c r="W99" s="130" t="str">
        <f t="shared" si="148"/>
        <v/>
      </c>
      <c r="X99" s="34"/>
      <c r="Y99" s="34"/>
      <c r="Z99" s="65"/>
      <c r="AA99" s="130" t="str">
        <f t="shared" si="149"/>
        <v/>
      </c>
      <c r="AB99" s="34"/>
      <c r="AC99" s="34"/>
      <c r="AD99" s="65"/>
      <c r="AE99" s="131">
        <f t="shared" si="150"/>
        <v>0</v>
      </c>
      <c r="AF99" s="132">
        <f t="shared" si="74"/>
        <v>0</v>
      </c>
      <c r="AG99" s="133">
        <f t="shared" si="151"/>
        <v>0</v>
      </c>
      <c r="AH99" s="76" t="str">
        <f t="shared" si="152"/>
        <v/>
      </c>
      <c r="AI99" s="132">
        <f> ( IF(ISNUMBER(G99), VLOOKUP(G99/$AH99,F!$A1:$B101,2,1)*G99*$H99*$I99,0)+IF(ISNUMBER(K99), VLOOKUP(K99/$AH99,F!$A1:$B101,2,1)*K99*$L99*$M99,0)+IF(ISNUMBER(O99), VLOOKUP(O99/$AH99,F!$A1:$B101,2,1)*O99*$P99*$Q99,0)+IF(ISNUMBER(S99), VLOOKUP(S99/$AH99,F!$A1:$B101,2,1)*S99*$T99*$U99,0)+IF(ISNUMBER(W99), VLOOKUP(W99/$AH99,F!$A1:$B101,2,1)*W99*$X99*$Y99,0)+IF(ISNUMBER(AA99), VLOOKUP(AA99/$AH99,F!$A1:$B101,2,1)*AA99*$AB99*$AC99,0))*IF(ISNUMBER(F99),F99,1)*IF(ISNUMBER(E99),E99,1)</f>
        <v>0</v>
      </c>
      <c r="AJ99" s="34">
        <f t="shared" si="153"/>
        <v>0</v>
      </c>
      <c r="AK99" s="134">
        <f t="array" ref="AK99">IFERROR(I99*INDEX(F!$P$21:$AB$33, MATCH(G99/$AH99, F!$O$21:$O$33,1), MATCH(E99, F!$P$20:$AB$20,1)), 0 ) +IFERROR( M99*INDEX(F!$P$21:$AB$33, MATCH(K99/$AH99, F!$O$21:$O$33,1), MATCH(E99, F!$P$20:$AB$20,1)),0) +  IFERROR( Q99*INDEX(F!$P$21:$AB$33, MATCH(O99/$AH99, F!$O$21:$O$33,1), MATCH(E99, F!$P$20:$AB$20,1)), 0) + IFERROR( U99*INDEX(F!$P$21:$AB$33, MATCH(S99/$AH99, F!$O$21:$O$33,1), MATCH(E99, F!$P$20:$AB$20,1)),0)  + IFERROR(Y99*INDEX(F!$P$21:$AB$33, MATCH(W99/$AH99, F!$O$21:$O$33,1), MATCH(E99, F!$P$20:$AB$20,1)),0)  + IFERROR( AC99*INDEX(F!$P$21:$AB$33, MATCH(AA99/$AH99, F!$O$21:$O$33,1), MATCH(E99, F!$P$20:$AB$20,1)),)</f>
        <v>0</v>
      </c>
      <c r="AL99" s="59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ht="15.75" hidden="1" customHeight="1">
      <c r="A100" s="59"/>
      <c r="B100" s="135" t="str">
        <f t="shared" ref="B100:F100" si="156">IF(B44="","",B44)</f>
        <v/>
      </c>
      <c r="C100" s="136" t="str">
        <f t="shared" si="156"/>
        <v/>
      </c>
      <c r="D100" s="137" t="str">
        <f t="shared" si="156"/>
        <v/>
      </c>
      <c r="E100" s="48" t="str">
        <f t="shared" si="156"/>
        <v/>
      </c>
      <c r="F100" s="138" t="str">
        <f t="shared" si="156"/>
        <v/>
      </c>
      <c r="G100" s="139" t="str">
        <f t="shared" si="144"/>
        <v/>
      </c>
      <c r="H100" s="140"/>
      <c r="I100" s="140"/>
      <c r="J100" s="141"/>
      <c r="K100" s="139" t="str">
        <f t="shared" si="145"/>
        <v/>
      </c>
      <c r="L100" s="140"/>
      <c r="M100" s="140"/>
      <c r="N100" s="141"/>
      <c r="O100" s="139" t="str">
        <f t="shared" si="146"/>
        <v/>
      </c>
      <c r="P100" s="140"/>
      <c r="Q100" s="140"/>
      <c r="R100" s="141"/>
      <c r="S100" s="139" t="str">
        <f t="shared" si="147"/>
        <v/>
      </c>
      <c r="T100" s="140"/>
      <c r="U100" s="140"/>
      <c r="V100" s="141"/>
      <c r="W100" s="139" t="str">
        <f t="shared" si="148"/>
        <v/>
      </c>
      <c r="X100" s="140"/>
      <c r="Y100" s="140"/>
      <c r="Z100" s="141"/>
      <c r="AA100" s="139" t="str">
        <f t="shared" si="149"/>
        <v/>
      </c>
      <c r="AB100" s="140"/>
      <c r="AC100" s="140"/>
      <c r="AD100" s="141"/>
      <c r="AE100" s="142">
        <f t="shared" si="150"/>
        <v>0</v>
      </c>
      <c r="AF100" s="143">
        <f t="shared" si="74"/>
        <v>0</v>
      </c>
      <c r="AG100" s="144">
        <f t="shared" si="151"/>
        <v>0</v>
      </c>
      <c r="AH100" s="76" t="str">
        <f t="shared" si="152"/>
        <v/>
      </c>
      <c r="AI100" s="143">
        <f> ( IF(ISNUMBER(G100), VLOOKUP(G100/$AH100,F!$A1:$B101,2,1)*G100*$H100*$I100,0)+IF(ISNUMBER(K100), VLOOKUP(K100/$AH100,F!$A1:$B101,2,1)*K100*$L100*$M100,0)+IF(ISNUMBER(O100), VLOOKUP(O100/$AH100,F!$A1:$B101,2,1)*O100*$P100*$Q100,0)+IF(ISNUMBER(S100), VLOOKUP(S100/$AH100,F!$A1:$B101,2,1)*S100*$T100*$U100,0)+IF(ISNUMBER(W100), VLOOKUP(W100/$AH100,F!$A1:$B101,2,1)*W100*$X100*$Y100,0)+IF(ISNUMBER(AA100), VLOOKUP(AA100/$AH100,F!$A1:$B101,2,1)*AA100*$AB100*$AC100,0))*IF(ISNUMBER(F100),F100,1)*IF(ISNUMBER(E100),E100,1)</f>
        <v>0</v>
      </c>
      <c r="AJ100" s="140">
        <f t="shared" si="153"/>
        <v>0</v>
      </c>
      <c r="AK100" s="145">
        <f t="array" ref="AK100">IFERROR(I100*INDEX(F!$P$21:$AB$33, MATCH(G100/$AH100, F!$O$21:$O$33,1), MATCH(E100, F!$P$20:$AB$20,1)), 0 ) +IFERROR( M100*INDEX(F!$P$21:$AB$33, MATCH(K100/$AH100, F!$O$21:$O$33,1), MATCH(E100, F!$P$20:$AB$20,1)),0) +  IFERROR( Q100*INDEX(F!$P$21:$AB$33, MATCH(O100/$AH100, F!$O$21:$O$33,1), MATCH(E100, F!$P$20:$AB$20,1)), 0) + IFERROR( U100*INDEX(F!$P$21:$AB$33, MATCH(S100/$AH100, F!$O$21:$O$33,1), MATCH(E100, F!$P$20:$AB$20,1)),0)  + IFERROR(Y100*INDEX(F!$P$21:$AB$33, MATCH(W100/$AH100, F!$O$21:$O$33,1), MATCH(E100, F!$P$20:$AB$20,1)),0)  + IFERROR( AC100*INDEX(F!$P$21:$AB$33, MATCH(AA100/$AH100, F!$O$21:$O$33,1), MATCH(E100, F!$P$20:$AB$20,1)),)</f>
        <v>0</v>
      </c>
      <c r="AL100" s="59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ht="15.75" hidden="1" customHeight="1">
      <c r="A101" s="59"/>
      <c r="B101" s="126" t="str">
        <f t="shared" ref="B101:F101" si="157">IF(B45="","",B45)</f>
        <v/>
      </c>
      <c r="C101" s="127" t="str">
        <f t="shared" si="157"/>
        <v/>
      </c>
      <c r="D101" s="128" t="str">
        <f t="shared" si="157"/>
        <v/>
      </c>
      <c r="E101" s="48" t="str">
        <f t="shared" si="157"/>
        <v/>
      </c>
      <c r="F101" s="129" t="str">
        <f t="shared" si="157"/>
        <v/>
      </c>
      <c r="G101" s="130" t="str">
        <f t="shared" si="144"/>
        <v/>
      </c>
      <c r="H101" s="34"/>
      <c r="I101" s="34"/>
      <c r="J101" s="65"/>
      <c r="K101" s="130" t="str">
        <f t="shared" si="145"/>
        <v/>
      </c>
      <c r="L101" s="34"/>
      <c r="M101" s="34"/>
      <c r="N101" s="65"/>
      <c r="O101" s="130" t="str">
        <f t="shared" si="146"/>
        <v/>
      </c>
      <c r="P101" s="34"/>
      <c r="Q101" s="34"/>
      <c r="R101" s="65"/>
      <c r="S101" s="130" t="str">
        <f t="shared" si="147"/>
        <v/>
      </c>
      <c r="T101" s="34"/>
      <c r="U101" s="34"/>
      <c r="V101" s="65"/>
      <c r="W101" s="130" t="str">
        <f t="shared" si="148"/>
        <v/>
      </c>
      <c r="X101" s="34"/>
      <c r="Y101" s="34"/>
      <c r="Z101" s="65"/>
      <c r="AA101" s="130" t="str">
        <f t="shared" si="149"/>
        <v/>
      </c>
      <c r="AB101" s="34"/>
      <c r="AC101" s="34"/>
      <c r="AD101" s="65"/>
      <c r="AE101" s="131">
        <f t="shared" si="150"/>
        <v>0</v>
      </c>
      <c r="AF101" s="132">
        <f t="shared" si="74"/>
        <v>0</v>
      </c>
      <c r="AG101" s="133">
        <f t="shared" si="151"/>
        <v>0</v>
      </c>
      <c r="AH101" s="76" t="str">
        <f t="shared" si="152"/>
        <v/>
      </c>
      <c r="AI101" s="132">
        <f> ( IF(ISNUMBER(G101), VLOOKUP(G101/$AH101,F!$A1:$B101,2,1)*G101*$H101*$I101,0)+IF(ISNUMBER(K101), VLOOKUP(K101/$AH101,F!$A1:$B101,2,1)*K101*$L101*$M101,0)+IF(ISNUMBER(O101), VLOOKUP(O101/$AH101,F!$A1:$B101,2,1)*O101*$P101*$Q101,0)+IF(ISNUMBER(S101), VLOOKUP(S101/$AH101,F!$A1:$B101,2,1)*S101*$T101*$U101,0)+IF(ISNUMBER(W101), VLOOKUP(W101/$AH101,F!$A1:$B101,2,1)*W101*$X101*$Y101,0)+IF(ISNUMBER(AA101), VLOOKUP(AA101/$AH101,F!$A1:$B101,2,1)*AA101*$AB101*$AC101,0))*IF(ISNUMBER(F101),F101,1)*IF(ISNUMBER(E101),E101,1)</f>
        <v>0</v>
      </c>
      <c r="AJ101" s="34">
        <f t="shared" si="153"/>
        <v>0</v>
      </c>
      <c r="AK101" s="134">
        <f t="array" ref="AK101">IFERROR(I101*INDEX(F!$P$21:$AB$33, MATCH(G101/$AH101, F!$O$21:$O$33,1), MATCH(E101, F!$P$20:$AB$20,1)), 0 ) +IFERROR( M101*INDEX(F!$P$21:$AB$33, MATCH(K101/$AH101, F!$O$21:$O$33,1), MATCH(E101, F!$P$20:$AB$20,1)),0) +  IFERROR( Q101*INDEX(F!$P$21:$AB$33, MATCH(O101/$AH101, F!$O$21:$O$33,1), MATCH(E101, F!$P$20:$AB$20,1)), 0) + IFERROR( U101*INDEX(F!$P$21:$AB$33, MATCH(S101/$AH101, F!$O$21:$O$33,1), MATCH(E101, F!$P$20:$AB$20,1)),0)  + IFERROR(Y101*INDEX(F!$P$21:$AB$33, MATCH(W101/$AH101, F!$O$21:$O$33,1), MATCH(E101, F!$P$20:$AB$20,1)),0)  + IFERROR( AC101*INDEX(F!$P$21:$AB$33, MATCH(AA101/$AH101, F!$O$21:$O$33,1), MATCH(E101, F!$P$20:$AB$20,1)),)</f>
        <v>0</v>
      </c>
      <c r="AL101" s="59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ht="15.75" hidden="1" customHeight="1">
      <c r="A102" s="59"/>
      <c r="B102" s="135" t="str">
        <f t="shared" ref="B102:F102" si="158">IF(B46="","",B46)</f>
        <v/>
      </c>
      <c r="C102" s="136" t="str">
        <f t="shared" si="158"/>
        <v/>
      </c>
      <c r="D102" s="137" t="str">
        <f t="shared" si="158"/>
        <v/>
      </c>
      <c r="E102" s="48" t="str">
        <f t="shared" si="158"/>
        <v/>
      </c>
      <c r="F102" s="138" t="str">
        <f t="shared" si="158"/>
        <v/>
      </c>
      <c r="G102" s="139" t="str">
        <f t="shared" si="144"/>
        <v/>
      </c>
      <c r="H102" s="140"/>
      <c r="I102" s="140"/>
      <c r="J102" s="141"/>
      <c r="K102" s="139" t="str">
        <f t="shared" si="145"/>
        <v/>
      </c>
      <c r="L102" s="140"/>
      <c r="M102" s="140"/>
      <c r="N102" s="141"/>
      <c r="O102" s="139" t="str">
        <f t="shared" si="146"/>
        <v/>
      </c>
      <c r="P102" s="140"/>
      <c r="Q102" s="140"/>
      <c r="R102" s="141"/>
      <c r="S102" s="139" t="str">
        <f t="shared" si="147"/>
        <v/>
      </c>
      <c r="T102" s="140"/>
      <c r="U102" s="140"/>
      <c r="V102" s="141"/>
      <c r="W102" s="139" t="str">
        <f t="shared" si="148"/>
        <v/>
      </c>
      <c r="X102" s="140"/>
      <c r="Y102" s="140"/>
      <c r="Z102" s="141"/>
      <c r="AA102" s="139" t="str">
        <f t="shared" si="149"/>
        <v/>
      </c>
      <c r="AB102" s="140"/>
      <c r="AC102" s="140"/>
      <c r="AD102" s="141"/>
      <c r="AE102" s="142">
        <f t="shared" si="150"/>
        <v>0</v>
      </c>
      <c r="AF102" s="143">
        <f t="shared" si="74"/>
        <v>0</v>
      </c>
      <c r="AG102" s="144">
        <f t="shared" si="151"/>
        <v>0</v>
      </c>
      <c r="AH102" s="76" t="str">
        <f t="shared" si="152"/>
        <v/>
      </c>
      <c r="AI102" s="143">
        <f> ( IF(ISNUMBER(G102), VLOOKUP(G102/$AH102,F!$A1:$B101,2,1)*G102*$H102*$I102,0)+IF(ISNUMBER(K102), VLOOKUP(K102/$AH102,F!$A1:$B101,2,1)*K102*$L102*$M102,0)+IF(ISNUMBER(O102), VLOOKUP(O102/$AH102,F!$A1:$B101,2,1)*O102*$P102*$Q102,0)+IF(ISNUMBER(S102), VLOOKUP(S102/$AH102,F!$A1:$B101,2,1)*S102*$T102*$U102,0)+IF(ISNUMBER(W102), VLOOKUP(W102/$AH102,F!$A1:$B101,2,1)*W102*$X102*$Y102,0)+IF(ISNUMBER(AA102), VLOOKUP(AA102/$AH102,F!$A1:$B101,2,1)*AA102*$AB102*$AC102,0))*IF(ISNUMBER(F102),F102,1)*IF(ISNUMBER(E102),E102,1)</f>
        <v>0</v>
      </c>
      <c r="AJ102" s="140">
        <f t="shared" si="153"/>
        <v>0</v>
      </c>
      <c r="AK102" s="145">
        <f t="array" ref="AK102">IFERROR(I102*INDEX(F!$P$21:$AB$33, MATCH(G102/$AH102, F!$O$21:$O$33,1), MATCH(E102, F!$P$20:$AB$20,1)), 0 ) +IFERROR( M102*INDEX(F!$P$21:$AB$33, MATCH(K102/$AH102, F!$O$21:$O$33,1), MATCH(E102, F!$P$20:$AB$20,1)),0) +  IFERROR( Q102*INDEX(F!$P$21:$AB$33, MATCH(O102/$AH102, F!$O$21:$O$33,1), MATCH(E102, F!$P$20:$AB$20,1)), 0) + IFERROR( U102*INDEX(F!$P$21:$AB$33, MATCH(S102/$AH102, F!$O$21:$O$33,1), MATCH(E102, F!$P$20:$AB$20,1)),0)  + IFERROR(Y102*INDEX(F!$P$21:$AB$33, MATCH(W102/$AH102, F!$O$21:$O$33,1), MATCH(E102, F!$P$20:$AB$20,1)),0)  + IFERROR( AC102*INDEX(F!$P$21:$AB$33, MATCH(AA102/$AH102, F!$O$21:$O$33,1), MATCH(E102, F!$P$20:$AB$20,1)),)</f>
        <v>0</v>
      </c>
      <c r="AL102" s="59"/>
      <c r="AM102" s="217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ht="15.75" hidden="1" customHeight="1">
      <c r="A103" s="59"/>
      <c r="B103" s="126" t="str">
        <f t="shared" ref="B103:F103" si="159">IF(B47="","",B47)</f>
        <v/>
      </c>
      <c r="C103" s="127" t="str">
        <f t="shared" si="159"/>
        <v/>
      </c>
      <c r="D103" s="128" t="str">
        <f t="shared" si="159"/>
        <v/>
      </c>
      <c r="E103" s="48" t="str">
        <f t="shared" si="159"/>
        <v/>
      </c>
      <c r="F103" s="129" t="str">
        <f t="shared" si="159"/>
        <v/>
      </c>
      <c r="G103" s="130" t="str">
        <f t="shared" si="144"/>
        <v/>
      </c>
      <c r="H103" s="34"/>
      <c r="I103" s="34"/>
      <c r="J103" s="65"/>
      <c r="K103" s="130" t="str">
        <f t="shared" si="145"/>
        <v/>
      </c>
      <c r="L103" s="34"/>
      <c r="M103" s="34"/>
      <c r="N103" s="65"/>
      <c r="O103" s="130" t="str">
        <f t="shared" si="146"/>
        <v/>
      </c>
      <c r="P103" s="34"/>
      <c r="Q103" s="34"/>
      <c r="R103" s="65"/>
      <c r="S103" s="130" t="str">
        <f t="shared" si="147"/>
        <v/>
      </c>
      <c r="T103" s="34"/>
      <c r="U103" s="34"/>
      <c r="V103" s="65"/>
      <c r="W103" s="130" t="str">
        <f t="shared" si="148"/>
        <v/>
      </c>
      <c r="X103" s="34"/>
      <c r="Y103" s="34"/>
      <c r="Z103" s="65"/>
      <c r="AA103" s="130" t="str">
        <f t="shared" si="149"/>
        <v/>
      </c>
      <c r="AB103" s="34"/>
      <c r="AC103" s="34"/>
      <c r="AD103" s="65"/>
      <c r="AE103" s="131">
        <f t="shared" si="150"/>
        <v>0</v>
      </c>
      <c r="AF103" s="132">
        <f t="shared" si="74"/>
        <v>0</v>
      </c>
      <c r="AG103" s="133">
        <f t="shared" si="151"/>
        <v>0</v>
      </c>
      <c r="AH103" s="76" t="str">
        <f t="shared" si="152"/>
        <v/>
      </c>
      <c r="AI103" s="132">
        <f> ( IF(ISNUMBER(G103), VLOOKUP(G103/$AH103,F!$A1:$B101,2,1)*G103*$H103*$I103,0)+IF(ISNUMBER(K103), VLOOKUP(K103/$AH103,F!$A1:$B101,2,1)*K103*$L103*$M103,0)+IF(ISNUMBER(O103), VLOOKUP(O103/$AH103,F!$A1:$B101,2,1)*O103*$P103*$Q103,0)+IF(ISNUMBER(S103), VLOOKUP(S103/$AH103,F!$A1:$B101,2,1)*S103*$T103*$U103,0)+IF(ISNUMBER(W103), VLOOKUP(W103/$AH103,F!$A1:$B101,2,1)*W103*$X103*$Y103,0)+IF(ISNUMBER(AA103), VLOOKUP(AA103/$AH103,F!$A1:$B101,2,1)*AA103*$AB103*$AC103,0))*IF(ISNUMBER(F103),F103,1)*IF(ISNUMBER(E103),E103,1)</f>
        <v>0</v>
      </c>
      <c r="AJ103" s="34">
        <f t="shared" si="153"/>
        <v>0</v>
      </c>
      <c r="AK103" s="134">
        <f t="array" ref="AK103">IFERROR(I103*INDEX(F!$P$21:$AB$33, MATCH(G103/$AH103, F!$O$21:$O$33,1), MATCH(E103, F!$P$20:$AB$20,1)), 0 ) +IFERROR( M103*INDEX(F!$P$21:$AB$33, MATCH(K103/$AH103, F!$O$21:$O$33,1), MATCH(E103, F!$P$20:$AB$20,1)),0) +  IFERROR( Q103*INDEX(F!$P$21:$AB$33, MATCH(O103/$AH103, F!$O$21:$O$33,1), MATCH(E103, F!$P$20:$AB$20,1)), 0) + IFERROR( U103*INDEX(F!$P$21:$AB$33, MATCH(S103/$AH103, F!$O$21:$O$33,1), MATCH(E103, F!$P$20:$AB$20,1)),0)  + IFERROR(Y103*INDEX(F!$P$21:$AB$33, MATCH(W103/$AH103, F!$O$21:$O$33,1), MATCH(E103, F!$P$20:$AB$20,1)),0)  + IFERROR( AC103*INDEX(F!$P$21:$AB$33, MATCH(AA103/$AH103, F!$O$21:$O$33,1), MATCH(E103, F!$P$20:$AB$20,1)),)</f>
        <v>0</v>
      </c>
      <c r="AL103" s="59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ht="16.5" hidden="1" customHeight="1">
      <c r="A104" s="98"/>
      <c r="B104" s="150"/>
      <c r="C104" s="151"/>
      <c r="D104" s="152"/>
      <c r="E104" s="102">
        <f>ROUND(IFERROR(SUMPRODUCT(AJ96:AJ103,E96:E103)/AJ104,0),3)</f>
        <v>0</v>
      </c>
      <c r="F104" s="153"/>
      <c r="G104" s="154"/>
      <c r="H104" s="155"/>
      <c r="I104" s="155"/>
      <c r="J104" s="156"/>
      <c r="K104" s="154"/>
      <c r="L104" s="155"/>
      <c r="M104" s="155"/>
      <c r="N104" s="156"/>
      <c r="O104" s="154"/>
      <c r="P104" s="155"/>
      <c r="Q104" s="155"/>
      <c r="R104" s="156"/>
      <c r="S104" s="154"/>
      <c r="T104" s="155"/>
      <c r="U104" s="155"/>
      <c r="V104" s="156"/>
      <c r="W104" s="154"/>
      <c r="X104" s="155"/>
      <c r="Y104" s="155"/>
      <c r="Z104" s="156"/>
      <c r="AA104" s="154"/>
      <c r="AB104" s="155"/>
      <c r="AC104" s="155"/>
      <c r="AD104" s="156"/>
      <c r="AE104" s="107">
        <f>SUM(AE96:AE103)</f>
        <v>0</v>
      </c>
      <c r="AF104" s="108">
        <f t="shared" si="74"/>
        <v>0</v>
      </c>
      <c r="AG104" s="109">
        <f>IFERROR(  SUMPRODUCT(AG96:AG103,AJ96:AJ103)/AJ104,0)</f>
        <v>0</v>
      </c>
      <c r="AH104" s="157"/>
      <c r="AI104" s="111">
        <f t="shared" ref="AI104:AJ104" si="160">SUM(AI96:AI103)</f>
        <v>0</v>
      </c>
      <c r="AJ104" s="111">
        <f t="shared" si="160"/>
        <v>0</v>
      </c>
      <c r="AK104" s="112">
        <f>IF(SUM(AK96:AK103)=0,TIME(,0,),TIME(,SUM(AK96:AK103)+F!$V$37,))</f>
        <v>0</v>
      </c>
      <c r="AL104" s="98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ht="16.5" hidden="1" customHeight="1">
      <c r="A105" s="158">
        <f>A106</f>
        <v>43794</v>
      </c>
      <c r="B105" s="159" t="str">
        <f t="shared" ref="B105:F105" si="161">IF(B49="","",B49)</f>
        <v/>
      </c>
      <c r="C105" s="160" t="str">
        <f t="shared" si="161"/>
        <v/>
      </c>
      <c r="D105" s="161" t="str">
        <f t="shared" si="161"/>
        <v/>
      </c>
      <c r="E105" s="29" t="str">
        <f t="shared" si="161"/>
        <v/>
      </c>
      <c r="F105" s="162" t="str">
        <f t="shared" si="161"/>
        <v/>
      </c>
      <c r="G105" s="163" t="str">
        <f t="shared" ref="G105:G112" si="163">IF(J105&lt;&gt;0, IFERROR(IF( $F105=2,  MROUND($AH105*J105,1),    IF( OR($F105="",$F105=1),   MROUND($AH105*J105,2.5),  MROUND($AH105*J105, 0.1))), "" ), "")</f>
        <v/>
      </c>
      <c r="H105" s="164"/>
      <c r="I105" s="164"/>
      <c r="J105" s="165"/>
      <c r="K105" s="163" t="str">
        <f t="shared" ref="K105:K112" si="164">IF(N105&lt;&gt;0, IFERROR(IF( $F105=2,  MROUND($AH105*N105,1),    IF( OR($F105="",$F105=1),   MROUND($AH105*N105,2.5),  MROUND($AH105*N105, 0.1))), "" ), "")</f>
        <v/>
      </c>
      <c r="L105" s="164"/>
      <c r="M105" s="164"/>
      <c r="N105" s="165"/>
      <c r="O105" s="163" t="str">
        <f t="shared" ref="O105:O112" si="165">IF(R105&lt;&gt;0, IFERROR(IF( $F105=2,  MROUND($AH105*R105,1),    IF( OR($F105="",$F105=1),   MROUND($AH105*R105,2.5),  MROUND($AH105*R105, 0.1))), "" ), "")</f>
        <v/>
      </c>
      <c r="P105" s="164"/>
      <c r="Q105" s="164"/>
      <c r="R105" s="165"/>
      <c r="S105" s="163" t="str">
        <f t="shared" ref="S105:S112" si="166">IF(V105&lt;&gt;0, IFERROR(IF( $F105=2,  MROUND($AH105*V105,1),    IF( OR($F105="",$F105=1),   MROUND($AH105*V105,2.5),  MROUND($AH105*V105, 0.1))), "" ), "")</f>
        <v/>
      </c>
      <c r="T105" s="164"/>
      <c r="U105" s="164"/>
      <c r="V105" s="165"/>
      <c r="W105" s="163" t="str">
        <f t="shared" ref="W105:W112" si="167">IF(Z105&lt;&gt;0, IFERROR(IF( $F105=2,  MROUND($AH105*Z105,1),    IF( OR($F105="",$F105=1),   MROUND($AH105*Z105,2.5),  MROUND($AH105*Z105, 0.1))), "" ), "")</f>
        <v/>
      </c>
      <c r="X105" s="164"/>
      <c r="Y105" s="164"/>
      <c r="Z105" s="165"/>
      <c r="AA105" s="163" t="str">
        <f t="shared" ref="AA105:AA112" si="168">IF(AD105&lt;&gt;0, IFERROR(IF( $F105=2,  MROUND($AH105*AD105,1),    IF( OR($F105="",$F105=1),   MROUND($AH105*AD105,2.5),  MROUND($AH105*AD105, 0.1))), "" ), "")</f>
        <v/>
      </c>
      <c r="AB105" s="164"/>
      <c r="AC105" s="164"/>
      <c r="AD105" s="165"/>
      <c r="AE105" s="166">
        <f t="shared" ref="AE105:AE112" si="169">(IF(ISNUMBER(G105),G105,0)*H105*I105+IF(ISNUMBER(K105),K105,1)*L105*M105+IF(ISNUMBER(O105),O105,1)*P105*Q105+IF(ISNUMBER(S105),S105,1)*T105*U105+IF(ISNUMBER(W105),W105,1)*X105*Y105+IF(ISNUMBER(AA105),AA105,1)*AB105*AC105)*IF(ISNUMBER(F105),F105,1)</f>
        <v>0</v>
      </c>
      <c r="AF105" s="167">
        <f t="shared" si="74"/>
        <v>0</v>
      </c>
      <c r="AG105" s="168">
        <f t="shared" ref="AG105:AG112" si="170">IFERROR((AF105/(AH105*IF(ISNUMBER(F105),F105,1))),0)</f>
        <v>0</v>
      </c>
      <c r="AH105" s="169" t="str">
        <f t="shared" ref="AH105:AH112" si="171">IF(ISNUMBER(AH49), AH49+(AH49*$AH$58),"")</f>
        <v/>
      </c>
      <c r="AI105" s="167">
        <f> ( IF(ISNUMBER(G105), VLOOKUP(G105/$AH105,F!$A1:$B101,2,1)*G105*$H105*$I105,0)+IF(ISNUMBER(K105), VLOOKUP(K105/$AH105,F!$A1:$B101,2,1)*K105*$L105*$M105,0)+IF(ISNUMBER(O105), VLOOKUP(O105/$AH105,F!$A1:$B101,2,1)*O105*$P105*$Q105,0)+IF(ISNUMBER(S105), VLOOKUP(S105/$AH105,F!$A1:$B101,2,1)*S105*$T105*$U105,0)+IF(ISNUMBER(W105), VLOOKUP(W105/$AH105,F!$A1:$B101,2,1)*W105*$X105*$Y105,0)+IF(ISNUMBER(AA105), VLOOKUP(AA105/$AH105,F!$A1:$B101,2,1)*AA105*$AB105*$AC105,0))*IF(ISNUMBER(F105),F105,1)*IF(ISNUMBER(E105),E105,1)</f>
        <v>0</v>
      </c>
      <c r="AJ105" s="164">
        <f t="shared" ref="AJ105:AJ112" si="172">H105*I105+L105*M105+P105*Q105+T105*U105+X105*Y105+AB105*AC105</f>
        <v>0</v>
      </c>
      <c r="AK105" s="170">
        <f t="array" ref="AK105">IFERROR(I105*INDEX(F!$P$21:$AB$33, MATCH(G105/$AH105, F!$O$21:$O$33,1), MATCH(E105, F!$P$20:$AB$20,1)), 0 ) +IFERROR( M105*INDEX(F!$P$21:$AB$33, MATCH(K105/$AH105, F!$O$21:$O$33,1), MATCH(E105, F!$P$20:$AB$20,1)),0) +  IFERROR( Q105*INDEX(F!$P$21:$AB$33, MATCH(O105/$AH105, F!$O$21:$O$33,1), MATCH(E105, F!$P$20:$AB$20,1)), 0) + IFERROR( U105*INDEX(F!$P$21:$AB$33, MATCH(S105/$AH105, F!$O$21:$O$33,1), MATCH(E105, F!$P$20:$AB$20,1)),0)  + IFERROR(Y105*INDEX(F!$P$21:$AB$33, MATCH(W105/$AH105, F!$O$21:$O$33,1), MATCH(E105, F!$P$20:$AB$20,1)),0)  + IFERROR( AC105*INDEX(F!$P$21:$AB$33, MATCH(AA105/$AH105, F!$O$21:$O$33,1), MATCH(E105, F!$P$20:$AB$20,1)),)</f>
        <v>0</v>
      </c>
      <c r="AL105" s="42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ht="15.75" hidden="1" customHeight="1">
      <c r="A106" s="44">
        <f>A50+A2</f>
        <v>43794</v>
      </c>
      <c r="B106" s="135" t="str">
        <f t="shared" ref="B106:F106" si="162">IF(B50="","",B50)</f>
        <v/>
      </c>
      <c r="C106" s="136" t="str">
        <f t="shared" si="162"/>
        <v/>
      </c>
      <c r="D106" s="137" t="str">
        <f t="shared" si="162"/>
        <v/>
      </c>
      <c r="E106" s="48" t="str">
        <f t="shared" si="162"/>
        <v/>
      </c>
      <c r="F106" s="138" t="str">
        <f t="shared" si="162"/>
        <v/>
      </c>
      <c r="G106" s="139" t="str">
        <f t="shared" si="163"/>
        <v/>
      </c>
      <c r="H106" s="140"/>
      <c r="I106" s="140"/>
      <c r="J106" s="141"/>
      <c r="K106" s="139" t="str">
        <f t="shared" si="164"/>
        <v/>
      </c>
      <c r="L106" s="140"/>
      <c r="M106" s="140"/>
      <c r="N106" s="141"/>
      <c r="O106" s="139" t="str">
        <f t="shared" si="165"/>
        <v/>
      </c>
      <c r="P106" s="140"/>
      <c r="Q106" s="140"/>
      <c r="R106" s="141"/>
      <c r="S106" s="139" t="str">
        <f t="shared" si="166"/>
        <v/>
      </c>
      <c r="T106" s="140"/>
      <c r="U106" s="140"/>
      <c r="V106" s="141"/>
      <c r="W106" s="139" t="str">
        <f t="shared" si="167"/>
        <v/>
      </c>
      <c r="X106" s="140"/>
      <c r="Y106" s="140"/>
      <c r="Z106" s="141"/>
      <c r="AA106" s="139" t="str">
        <f t="shared" si="168"/>
        <v/>
      </c>
      <c r="AB106" s="140"/>
      <c r="AC106" s="140"/>
      <c r="AD106" s="141"/>
      <c r="AE106" s="142">
        <f t="shared" si="169"/>
        <v>0</v>
      </c>
      <c r="AF106" s="143">
        <f t="shared" si="74"/>
        <v>0</v>
      </c>
      <c r="AG106" s="144">
        <f t="shared" si="170"/>
        <v>0</v>
      </c>
      <c r="AH106" s="76" t="str">
        <f t="shared" si="171"/>
        <v/>
      </c>
      <c r="AI106" s="143">
        <f> ( IF(ISNUMBER(G106), VLOOKUP(G106/$AH106,F!$A1:$B101,2,1)*G106*$H106*$I106,0)+IF(ISNUMBER(K106), VLOOKUP(K106/$AH106,F!$A1:$B101,2,1)*K106*$L106*$M106,0)+IF(ISNUMBER(O106), VLOOKUP(O106/$AH106,F!$A1:$B101,2,1)*O106*$P106*$Q106,0)+IF(ISNUMBER(S106), VLOOKUP(S106/$AH106,F!$A1:$B101,2,1)*S106*$T106*$U106,0)+IF(ISNUMBER(W106), VLOOKUP(W106/$AH106,F!$A1:$B101,2,1)*W106*$X106*$Y106,0)+IF(ISNUMBER(AA106), VLOOKUP(AA106/$AH106,F!$A1:$B101,2,1)*AA106*$AB106*$AC106,0))*IF(ISNUMBER(F106),F106,1)*IF(ISNUMBER(E106),E106,1)</f>
        <v>0</v>
      </c>
      <c r="AJ106" s="140">
        <f t="shared" si="172"/>
        <v>0</v>
      </c>
      <c r="AK106" s="145">
        <f t="array" ref="AK106">IFERROR(I106*INDEX(F!$P$21:$AB$33, MATCH(G106/$AH106, F!$O$21:$O$33,1), MATCH(E106, F!$P$20:$AB$20,1)), 0 ) +IFERROR( M106*INDEX(F!$P$21:$AB$33, MATCH(K106/$AH106, F!$O$21:$O$33,1), MATCH(E106, F!$P$20:$AB$20,1)),0) +  IFERROR( Q106*INDEX(F!$P$21:$AB$33, MATCH(O106/$AH106, F!$O$21:$O$33,1), MATCH(E106, F!$P$20:$AB$20,1)), 0) + IFERROR( U106*INDEX(F!$P$21:$AB$33, MATCH(S106/$AH106, F!$O$21:$O$33,1), MATCH(E106, F!$P$20:$AB$20,1)),0)  + IFERROR(Y106*INDEX(F!$P$21:$AB$33, MATCH(W106/$AH106, F!$O$21:$O$33,1), MATCH(E106, F!$P$20:$AB$20,1)),0)  + IFERROR( AC106*INDEX(F!$P$21:$AB$33, MATCH(AA106/$AH106, F!$O$21:$O$33,1), MATCH(E106, F!$P$20:$AB$20,1)),)</f>
        <v>0</v>
      </c>
      <c r="AL106" s="59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ht="15.75" hidden="1" customHeight="1">
      <c r="A107" s="59"/>
      <c r="B107" s="173" t="str">
        <f t="shared" ref="B107:F107" si="173">IF(B51="","",B51)</f>
        <v/>
      </c>
      <c r="C107" s="174" t="str">
        <f t="shared" si="173"/>
        <v/>
      </c>
      <c r="D107" s="175" t="str">
        <f t="shared" si="173"/>
        <v/>
      </c>
      <c r="E107" s="48" t="str">
        <f t="shared" si="173"/>
        <v/>
      </c>
      <c r="F107" s="176" t="str">
        <f t="shared" si="173"/>
        <v/>
      </c>
      <c r="G107" s="177" t="str">
        <f t="shared" si="163"/>
        <v/>
      </c>
      <c r="H107" s="178"/>
      <c r="I107" s="178"/>
      <c r="J107" s="179"/>
      <c r="K107" s="177" t="str">
        <f t="shared" si="164"/>
        <v/>
      </c>
      <c r="L107" s="178"/>
      <c r="M107" s="178"/>
      <c r="N107" s="179"/>
      <c r="O107" s="177" t="str">
        <f t="shared" si="165"/>
        <v/>
      </c>
      <c r="P107" s="178"/>
      <c r="Q107" s="178"/>
      <c r="R107" s="179"/>
      <c r="S107" s="177" t="str">
        <f t="shared" si="166"/>
        <v/>
      </c>
      <c r="T107" s="178"/>
      <c r="U107" s="178"/>
      <c r="V107" s="179"/>
      <c r="W107" s="177" t="str">
        <f t="shared" si="167"/>
        <v/>
      </c>
      <c r="X107" s="178"/>
      <c r="Y107" s="178"/>
      <c r="Z107" s="179"/>
      <c r="AA107" s="177" t="str">
        <f t="shared" si="168"/>
        <v/>
      </c>
      <c r="AB107" s="178"/>
      <c r="AC107" s="178"/>
      <c r="AD107" s="179"/>
      <c r="AE107" s="180">
        <f t="shared" si="169"/>
        <v>0</v>
      </c>
      <c r="AF107" s="181">
        <f t="shared" si="74"/>
        <v>0</v>
      </c>
      <c r="AG107" s="182">
        <f t="shared" si="170"/>
        <v>0</v>
      </c>
      <c r="AH107" s="76" t="str">
        <f t="shared" si="171"/>
        <v/>
      </c>
      <c r="AI107" s="181">
        <f> ( IF(ISNUMBER(G107), VLOOKUP(G107/$AH107,F!$A1:$B101,2,1)*G107*$H107*$I107,0)+IF(ISNUMBER(K107), VLOOKUP(K107/$AH107,F!$A1:$B101,2,1)*K107*$L107*$M107,0)+IF(ISNUMBER(O107), VLOOKUP(O107/$AH107,F!$A1:$B101,2,1)*O107*$P107*$Q107,0)+IF(ISNUMBER(S107), VLOOKUP(S107/$AH107,F!$A1:$B101,2,1)*S107*$T107*$U107,0)+IF(ISNUMBER(W107), VLOOKUP(W107/$AH107,F!$A1:$B101,2,1)*W107*$X107*$Y107,0)+IF(ISNUMBER(AA107), VLOOKUP(AA107/$AH107,F!$A1:$B101,2,1)*AA107*$AB107*$AC107,0))*IF(ISNUMBER(F107),F107,1)*IF(ISNUMBER(E107),E107,1)</f>
        <v>0</v>
      </c>
      <c r="AJ107" s="178">
        <f t="shared" si="172"/>
        <v>0</v>
      </c>
      <c r="AK107" s="183">
        <f t="array" ref="AK107">IFERROR(I107*INDEX(F!$P$21:$AB$33, MATCH(G107/$AH107, F!$O$21:$O$33,1), MATCH(E107, F!$P$20:$AB$20,1)), 0 ) +IFERROR( M107*INDEX(F!$P$21:$AB$33, MATCH(K107/$AH107, F!$O$21:$O$33,1), MATCH(E107, F!$P$20:$AB$20,1)),0) +  IFERROR( Q107*INDEX(F!$P$21:$AB$33, MATCH(O107/$AH107, F!$O$21:$O$33,1), MATCH(E107, F!$P$20:$AB$20,1)), 0) + IFERROR( U107*INDEX(F!$P$21:$AB$33, MATCH(S107/$AH107, F!$O$21:$O$33,1), MATCH(E107, F!$P$20:$AB$20,1)),0)  + IFERROR(Y107*INDEX(F!$P$21:$AB$33, MATCH(W107/$AH107, F!$O$21:$O$33,1), MATCH(E107, F!$P$20:$AB$20,1)),0)  + IFERROR( AC107*INDEX(F!$P$21:$AB$33, MATCH(AA107/$AH107, F!$O$21:$O$33,1), MATCH(E107, F!$P$20:$AB$20,1)),)</f>
        <v>0</v>
      </c>
      <c r="AL107" s="59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ht="15.75" hidden="1" customHeight="1">
      <c r="A108" s="59"/>
      <c r="B108" s="135" t="str">
        <f t="shared" ref="B108:F108" si="174">IF(B52="","",B52)</f>
        <v/>
      </c>
      <c r="C108" s="136" t="str">
        <f t="shared" si="174"/>
        <v/>
      </c>
      <c r="D108" s="137" t="str">
        <f t="shared" si="174"/>
        <v/>
      </c>
      <c r="E108" s="48" t="str">
        <f t="shared" si="174"/>
        <v/>
      </c>
      <c r="F108" s="138" t="str">
        <f t="shared" si="174"/>
        <v/>
      </c>
      <c r="G108" s="139" t="str">
        <f t="shared" si="163"/>
        <v/>
      </c>
      <c r="H108" s="140"/>
      <c r="I108" s="140"/>
      <c r="J108" s="141"/>
      <c r="K108" s="139" t="str">
        <f t="shared" si="164"/>
        <v/>
      </c>
      <c r="L108" s="140"/>
      <c r="M108" s="140"/>
      <c r="N108" s="141"/>
      <c r="O108" s="139" t="str">
        <f t="shared" si="165"/>
        <v/>
      </c>
      <c r="P108" s="140"/>
      <c r="Q108" s="140"/>
      <c r="R108" s="141"/>
      <c r="S108" s="139" t="str">
        <f t="shared" si="166"/>
        <v/>
      </c>
      <c r="T108" s="140"/>
      <c r="U108" s="140"/>
      <c r="V108" s="141"/>
      <c r="W108" s="139" t="str">
        <f t="shared" si="167"/>
        <v/>
      </c>
      <c r="X108" s="140"/>
      <c r="Y108" s="140"/>
      <c r="Z108" s="141"/>
      <c r="AA108" s="139" t="str">
        <f t="shared" si="168"/>
        <v/>
      </c>
      <c r="AB108" s="140"/>
      <c r="AC108" s="140"/>
      <c r="AD108" s="141"/>
      <c r="AE108" s="142">
        <f t="shared" si="169"/>
        <v>0</v>
      </c>
      <c r="AF108" s="143">
        <f t="shared" si="74"/>
        <v>0</v>
      </c>
      <c r="AG108" s="144">
        <f t="shared" si="170"/>
        <v>0</v>
      </c>
      <c r="AH108" s="76" t="str">
        <f t="shared" si="171"/>
        <v/>
      </c>
      <c r="AI108" s="143">
        <f> ( IF(ISNUMBER(G108), VLOOKUP(G108/$AH108,F!$A1:$B101,2,1)*G108*$H108*$I108,0)+IF(ISNUMBER(K108), VLOOKUP(K108/$AH108,F!$A1:$B101,2,1)*K108*$L108*$M108,0)+IF(ISNUMBER(O108), VLOOKUP(O108/$AH108,F!$A1:$B101,2,1)*O108*$P108*$Q108,0)+IF(ISNUMBER(S108), VLOOKUP(S108/$AH108,F!$A1:$B101,2,1)*S108*$T108*$U108,0)+IF(ISNUMBER(W108), VLOOKUP(W108/$AH108,F!$A1:$B101,2,1)*W108*$X108*$Y108,0)+IF(ISNUMBER(AA108), VLOOKUP(AA108/$AH108,F!$A1:$B101,2,1)*AA108*$AB108*$AC108,0))*IF(ISNUMBER(F108),F108,1)*IF(ISNUMBER(E108),E108,1)</f>
        <v>0</v>
      </c>
      <c r="AJ108" s="140">
        <f t="shared" si="172"/>
        <v>0</v>
      </c>
      <c r="AK108" s="145">
        <f t="array" ref="AK108">IFERROR(I108*INDEX(F!$P$21:$AB$33, MATCH(G108/$AH108, F!$O$21:$O$33,1), MATCH(E108, F!$P$20:$AB$20,1)), 0 ) +IFERROR( M108*INDEX(F!$P$21:$AB$33, MATCH(K108/$AH108, F!$O$21:$O$33,1), MATCH(E108, F!$P$20:$AB$20,1)),0) +  IFERROR( Q108*INDEX(F!$P$21:$AB$33, MATCH(O108/$AH108, F!$O$21:$O$33,1), MATCH(E108, F!$P$20:$AB$20,1)), 0) + IFERROR( U108*INDEX(F!$P$21:$AB$33, MATCH(S108/$AH108, F!$O$21:$O$33,1), MATCH(E108, F!$P$20:$AB$20,1)),0)  + IFERROR(Y108*INDEX(F!$P$21:$AB$33, MATCH(W108/$AH108, F!$O$21:$O$33,1), MATCH(E108, F!$P$20:$AB$20,1)),0)  + IFERROR( AC108*INDEX(F!$P$21:$AB$33, MATCH(AA108/$AH108, F!$O$21:$O$33,1), MATCH(E108, F!$P$20:$AB$20,1)),)</f>
        <v>0</v>
      </c>
      <c r="AL108" s="59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ht="15.75" hidden="1" customHeight="1">
      <c r="A109" s="59"/>
      <c r="B109" s="173" t="str">
        <f t="shared" ref="B109:F109" si="175">IF(B53="","",B53)</f>
        <v/>
      </c>
      <c r="C109" s="174" t="str">
        <f t="shared" si="175"/>
        <v/>
      </c>
      <c r="D109" s="175" t="str">
        <f t="shared" si="175"/>
        <v/>
      </c>
      <c r="E109" s="48" t="str">
        <f t="shared" si="175"/>
        <v/>
      </c>
      <c r="F109" s="176" t="str">
        <f t="shared" si="175"/>
        <v/>
      </c>
      <c r="G109" s="177" t="str">
        <f t="shared" si="163"/>
        <v/>
      </c>
      <c r="H109" s="178"/>
      <c r="I109" s="178"/>
      <c r="J109" s="179"/>
      <c r="K109" s="177" t="str">
        <f t="shared" si="164"/>
        <v/>
      </c>
      <c r="L109" s="178"/>
      <c r="M109" s="178"/>
      <c r="N109" s="179"/>
      <c r="O109" s="177" t="str">
        <f t="shared" si="165"/>
        <v/>
      </c>
      <c r="P109" s="178"/>
      <c r="Q109" s="178"/>
      <c r="R109" s="179"/>
      <c r="S109" s="177" t="str">
        <f t="shared" si="166"/>
        <v/>
      </c>
      <c r="T109" s="178"/>
      <c r="U109" s="178"/>
      <c r="V109" s="179"/>
      <c r="W109" s="177" t="str">
        <f t="shared" si="167"/>
        <v/>
      </c>
      <c r="X109" s="178"/>
      <c r="Y109" s="178"/>
      <c r="Z109" s="179"/>
      <c r="AA109" s="177" t="str">
        <f t="shared" si="168"/>
        <v/>
      </c>
      <c r="AB109" s="178"/>
      <c r="AC109" s="178"/>
      <c r="AD109" s="179"/>
      <c r="AE109" s="180">
        <f t="shared" si="169"/>
        <v>0</v>
      </c>
      <c r="AF109" s="181">
        <f t="shared" si="74"/>
        <v>0</v>
      </c>
      <c r="AG109" s="182">
        <f t="shared" si="170"/>
        <v>0</v>
      </c>
      <c r="AH109" s="76" t="str">
        <f t="shared" si="171"/>
        <v/>
      </c>
      <c r="AI109" s="181">
        <f> ( IF(ISNUMBER(G109), VLOOKUP(G109/$AH109,F!$A1:$B101,2,1)*G109*$H109*$I109,0)+IF(ISNUMBER(K109), VLOOKUP(K109/$AH109,F!$A1:$B101,2,1)*K109*$L109*$M109,0)+IF(ISNUMBER(O109), VLOOKUP(O109/$AH109,F!$A1:$B101,2,1)*O109*$P109*$Q109,0)+IF(ISNUMBER(S109), VLOOKUP(S109/$AH109,F!$A1:$B101,2,1)*S109*$T109*$U109,0)+IF(ISNUMBER(W109), VLOOKUP(W109/$AH109,F!$A1:$B101,2,1)*W109*$X109*$Y109,0)+IF(ISNUMBER(AA109), VLOOKUP(AA109/$AH109,F!$A1:$B101,2,1)*AA109*$AB109*$AC109,0))*IF(ISNUMBER(F109),F109,1)*IF(ISNUMBER(E109),E109,1)</f>
        <v>0</v>
      </c>
      <c r="AJ109" s="178">
        <f t="shared" si="172"/>
        <v>0</v>
      </c>
      <c r="AK109" s="183">
        <f t="array" ref="AK109">IFERROR(I109*INDEX(F!$P$21:$AB$33, MATCH(G109/$AH109, F!$O$21:$O$33,1), MATCH(E109, F!$P$20:$AB$20,1)), 0 ) +IFERROR( M109*INDEX(F!$P$21:$AB$33, MATCH(K109/$AH109, F!$O$21:$O$33,1), MATCH(E109, F!$P$20:$AB$20,1)),0) +  IFERROR( Q109*INDEX(F!$P$21:$AB$33, MATCH(O109/$AH109, F!$O$21:$O$33,1), MATCH(E109, F!$P$20:$AB$20,1)), 0) + IFERROR( U109*INDEX(F!$P$21:$AB$33, MATCH(S109/$AH109, F!$O$21:$O$33,1), MATCH(E109, F!$P$20:$AB$20,1)),0)  + IFERROR(Y109*INDEX(F!$P$21:$AB$33, MATCH(W109/$AH109, F!$O$21:$O$33,1), MATCH(E109, F!$P$20:$AB$20,1)),0)  + IFERROR( AC109*INDEX(F!$P$21:$AB$33, MATCH(AA109/$AH109, F!$O$21:$O$33,1), MATCH(E109, F!$P$20:$AB$20,1)),)</f>
        <v>0</v>
      </c>
      <c r="AL109" s="59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ht="15.75" hidden="1" customHeight="1">
      <c r="A110" s="59"/>
      <c r="B110" s="135" t="str">
        <f t="shared" ref="B110:F110" si="176">IF(B54="","",B54)</f>
        <v/>
      </c>
      <c r="C110" s="136" t="str">
        <f t="shared" si="176"/>
        <v/>
      </c>
      <c r="D110" s="137" t="str">
        <f t="shared" si="176"/>
        <v/>
      </c>
      <c r="E110" s="48" t="str">
        <f t="shared" si="176"/>
        <v/>
      </c>
      <c r="F110" s="138" t="str">
        <f t="shared" si="176"/>
        <v/>
      </c>
      <c r="G110" s="139" t="str">
        <f t="shared" si="163"/>
        <v/>
      </c>
      <c r="H110" s="140"/>
      <c r="I110" s="140"/>
      <c r="J110" s="141"/>
      <c r="K110" s="139" t="str">
        <f t="shared" si="164"/>
        <v/>
      </c>
      <c r="L110" s="140"/>
      <c r="M110" s="140"/>
      <c r="N110" s="141"/>
      <c r="O110" s="139" t="str">
        <f t="shared" si="165"/>
        <v/>
      </c>
      <c r="P110" s="140"/>
      <c r="Q110" s="140"/>
      <c r="R110" s="141"/>
      <c r="S110" s="139" t="str">
        <f t="shared" si="166"/>
        <v/>
      </c>
      <c r="T110" s="140"/>
      <c r="U110" s="140"/>
      <c r="V110" s="141"/>
      <c r="W110" s="139" t="str">
        <f t="shared" si="167"/>
        <v/>
      </c>
      <c r="X110" s="140"/>
      <c r="Y110" s="140"/>
      <c r="Z110" s="141"/>
      <c r="AA110" s="139" t="str">
        <f t="shared" si="168"/>
        <v/>
      </c>
      <c r="AB110" s="140"/>
      <c r="AC110" s="140"/>
      <c r="AD110" s="141"/>
      <c r="AE110" s="142">
        <f t="shared" si="169"/>
        <v>0</v>
      </c>
      <c r="AF110" s="143">
        <f t="shared" si="74"/>
        <v>0</v>
      </c>
      <c r="AG110" s="144">
        <f t="shared" si="170"/>
        <v>0</v>
      </c>
      <c r="AH110" s="76" t="str">
        <f t="shared" si="171"/>
        <v/>
      </c>
      <c r="AI110" s="143">
        <f> ( IF(ISNUMBER(G110), VLOOKUP(G110/$AH110,F!$A1:$B101,2,1)*G110*$H110*$I110,0)+IF(ISNUMBER(K110), VLOOKUP(K110/$AH110,F!$A1:$B101,2,1)*K110*$L110*$M110,0)+IF(ISNUMBER(O110), VLOOKUP(O110/$AH110,F!$A1:$B101,2,1)*O110*$P110*$Q110,0)+IF(ISNUMBER(S110), VLOOKUP(S110/$AH110,F!$A1:$B101,2,1)*S110*$T110*$U110,0)+IF(ISNUMBER(W110), VLOOKUP(W110/$AH110,F!$A1:$B101,2,1)*W110*$X110*$Y110,0)+IF(ISNUMBER(AA110), VLOOKUP(AA110/$AH110,F!$A1:$B101,2,1)*AA110*$AB110*$AC110,0))*IF(ISNUMBER(F110),F110,1)*IF(ISNUMBER(E110),E110,1)</f>
        <v>0</v>
      </c>
      <c r="AJ110" s="140">
        <f t="shared" si="172"/>
        <v>0</v>
      </c>
      <c r="AK110" s="145">
        <f t="array" ref="AK110">IFERROR(I110*INDEX(F!$P$21:$AB$33, MATCH(G110/$AH110, F!$O$21:$O$33,1), MATCH(E110, F!$P$20:$AB$20,1)), 0 ) +IFERROR( M110*INDEX(F!$P$21:$AB$33, MATCH(K110/$AH110, F!$O$21:$O$33,1), MATCH(E110, F!$P$20:$AB$20,1)),0) +  IFERROR( Q110*INDEX(F!$P$21:$AB$33, MATCH(O110/$AH110, F!$O$21:$O$33,1), MATCH(E110, F!$P$20:$AB$20,1)), 0) + IFERROR( U110*INDEX(F!$P$21:$AB$33, MATCH(S110/$AH110, F!$O$21:$O$33,1), MATCH(E110, F!$P$20:$AB$20,1)),0)  + IFERROR(Y110*INDEX(F!$P$21:$AB$33, MATCH(W110/$AH110, F!$O$21:$O$33,1), MATCH(E110, F!$P$20:$AB$20,1)),0)  + IFERROR( AC110*INDEX(F!$P$21:$AB$33, MATCH(AA110/$AH110, F!$O$21:$O$33,1), MATCH(E110, F!$P$20:$AB$20,1)),)</f>
        <v>0</v>
      </c>
      <c r="AL110" s="59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ht="15.75" hidden="1" customHeight="1">
      <c r="A111" s="59"/>
      <c r="B111" s="173" t="str">
        <f t="shared" ref="B111:F111" si="177">IF(B55="","",B55)</f>
        <v/>
      </c>
      <c r="C111" s="174" t="str">
        <f t="shared" si="177"/>
        <v/>
      </c>
      <c r="D111" s="175" t="str">
        <f t="shared" si="177"/>
        <v/>
      </c>
      <c r="E111" s="48" t="str">
        <f t="shared" si="177"/>
        <v/>
      </c>
      <c r="F111" s="176" t="str">
        <f t="shared" si="177"/>
        <v/>
      </c>
      <c r="G111" s="177" t="str">
        <f t="shared" si="163"/>
        <v/>
      </c>
      <c r="H111" s="178"/>
      <c r="I111" s="178"/>
      <c r="J111" s="179"/>
      <c r="K111" s="177" t="str">
        <f t="shared" si="164"/>
        <v/>
      </c>
      <c r="L111" s="178"/>
      <c r="M111" s="178"/>
      <c r="N111" s="179"/>
      <c r="O111" s="177" t="str">
        <f t="shared" si="165"/>
        <v/>
      </c>
      <c r="P111" s="178"/>
      <c r="Q111" s="178"/>
      <c r="R111" s="179"/>
      <c r="S111" s="177" t="str">
        <f t="shared" si="166"/>
        <v/>
      </c>
      <c r="T111" s="178"/>
      <c r="U111" s="178"/>
      <c r="V111" s="179"/>
      <c r="W111" s="177" t="str">
        <f t="shared" si="167"/>
        <v/>
      </c>
      <c r="X111" s="178"/>
      <c r="Y111" s="178"/>
      <c r="Z111" s="179"/>
      <c r="AA111" s="177" t="str">
        <f t="shared" si="168"/>
        <v/>
      </c>
      <c r="AB111" s="178"/>
      <c r="AC111" s="178"/>
      <c r="AD111" s="179"/>
      <c r="AE111" s="180">
        <f t="shared" si="169"/>
        <v>0</v>
      </c>
      <c r="AF111" s="181">
        <f t="shared" si="74"/>
        <v>0</v>
      </c>
      <c r="AG111" s="182">
        <f t="shared" si="170"/>
        <v>0</v>
      </c>
      <c r="AH111" s="76" t="str">
        <f t="shared" si="171"/>
        <v/>
      </c>
      <c r="AI111" s="181">
        <f> ( IF(ISNUMBER(G111), VLOOKUP(G111/$AH111,F!$A1:$B101,2,1)*G111*$H111*$I111,0)+IF(ISNUMBER(K111), VLOOKUP(K111/$AH111,F!$A1:$B101,2,1)*K111*$L111*$M111,0)+IF(ISNUMBER(O111), VLOOKUP(O111/$AH111,F!$A1:$B101,2,1)*O111*$P111*$Q111,0)+IF(ISNUMBER(S111), VLOOKUP(S111/$AH111,F!$A1:$B101,2,1)*S111*$T111*$U111,0)+IF(ISNUMBER(W111), VLOOKUP(W111/$AH111,F!$A1:$B101,2,1)*W111*$X111*$Y111,0)+IF(ISNUMBER(AA111), VLOOKUP(AA111/$AH111,F!$A1:$B101,2,1)*AA111*$AB111*$AC111,0))*IF(ISNUMBER(F111),F111,1)*IF(ISNUMBER(E111),E111,1)</f>
        <v>0</v>
      </c>
      <c r="AJ111" s="178">
        <f t="shared" si="172"/>
        <v>0</v>
      </c>
      <c r="AK111" s="183">
        <f t="array" ref="AK111">IFERROR(I111*INDEX(F!$P$21:$AB$33, MATCH(G111/$AH111, F!$O$21:$O$33,1), MATCH(E111, F!$P$20:$AB$20,1)), 0 ) +IFERROR( M111*INDEX(F!$P$21:$AB$33, MATCH(K111/$AH111, F!$O$21:$O$33,1), MATCH(E111, F!$P$20:$AB$20,1)),0) +  IFERROR( Q111*INDEX(F!$P$21:$AB$33, MATCH(O111/$AH111, F!$O$21:$O$33,1), MATCH(E111, F!$P$20:$AB$20,1)), 0) + IFERROR( U111*INDEX(F!$P$21:$AB$33, MATCH(S111/$AH111, F!$O$21:$O$33,1), MATCH(E111, F!$P$20:$AB$20,1)),0)  + IFERROR(Y111*INDEX(F!$P$21:$AB$33, MATCH(W111/$AH111, F!$O$21:$O$33,1), MATCH(E111, F!$P$20:$AB$20,1)),0)  + IFERROR( AC111*INDEX(F!$P$21:$AB$33, MATCH(AA111/$AH111, F!$O$21:$O$33,1), MATCH(E111, F!$P$20:$AB$20,1)),)</f>
        <v>0</v>
      </c>
      <c r="AL111" s="59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ht="15.0" hidden="1" customHeight="1">
      <c r="A112" s="59"/>
      <c r="B112" s="135" t="str">
        <f t="shared" ref="B112:F112" si="178">IF(B56="","",B56)</f>
        <v/>
      </c>
      <c r="C112" s="136" t="str">
        <f t="shared" si="178"/>
        <v/>
      </c>
      <c r="D112" s="137" t="str">
        <f t="shared" si="178"/>
        <v/>
      </c>
      <c r="E112" s="48" t="str">
        <f t="shared" si="178"/>
        <v/>
      </c>
      <c r="F112" s="138" t="str">
        <f t="shared" si="178"/>
        <v/>
      </c>
      <c r="G112" s="139" t="str">
        <f t="shared" si="163"/>
        <v/>
      </c>
      <c r="H112" s="140"/>
      <c r="I112" s="140"/>
      <c r="J112" s="141"/>
      <c r="K112" s="139" t="str">
        <f t="shared" si="164"/>
        <v/>
      </c>
      <c r="L112" s="140"/>
      <c r="M112" s="140"/>
      <c r="N112" s="141"/>
      <c r="O112" s="139" t="str">
        <f t="shared" si="165"/>
        <v/>
      </c>
      <c r="P112" s="140"/>
      <c r="Q112" s="140"/>
      <c r="R112" s="141"/>
      <c r="S112" s="139" t="str">
        <f t="shared" si="166"/>
        <v/>
      </c>
      <c r="T112" s="140"/>
      <c r="U112" s="140"/>
      <c r="V112" s="141"/>
      <c r="W112" s="139" t="str">
        <f t="shared" si="167"/>
        <v/>
      </c>
      <c r="X112" s="140"/>
      <c r="Y112" s="140"/>
      <c r="Z112" s="141"/>
      <c r="AA112" s="139" t="str">
        <f t="shared" si="168"/>
        <v/>
      </c>
      <c r="AB112" s="140"/>
      <c r="AC112" s="140"/>
      <c r="AD112" s="141"/>
      <c r="AE112" s="142">
        <f t="shared" si="169"/>
        <v>0</v>
      </c>
      <c r="AF112" s="143">
        <f t="shared" si="74"/>
        <v>0</v>
      </c>
      <c r="AG112" s="144">
        <f t="shared" si="170"/>
        <v>0</v>
      </c>
      <c r="AH112" s="76" t="str">
        <f t="shared" si="171"/>
        <v/>
      </c>
      <c r="AI112" s="143">
        <f> ( IF(ISNUMBER(G112), VLOOKUP(G112/$AH112,F!$A1:$B101,2,1)*G112*$H112*$I112,0)+IF(ISNUMBER(K112), VLOOKUP(K112/$AH112,F!$A1:$B101,2,1)*K112*$L112*$M112,0)+IF(ISNUMBER(O112), VLOOKUP(O112/$AH112,F!$A1:$B101,2,1)*O112*$P112*$Q112,0)+IF(ISNUMBER(S112), VLOOKUP(S112/$AH112,F!$A1:$B101,2,1)*S112*$T112*$U112,0)+IF(ISNUMBER(W112), VLOOKUP(W112/$AH112,F!$A1:$B101,2,1)*W112*$X112*$Y112,0)+IF(ISNUMBER(AA112), VLOOKUP(AA112/$AH112,F!$A1:$B101,2,1)*AA112*$AB112*$AC112,0))*IF(ISNUMBER(F112),F112,1)*IF(ISNUMBER(E112),E112,1)</f>
        <v>0</v>
      </c>
      <c r="AJ112" s="140">
        <f t="shared" si="172"/>
        <v>0</v>
      </c>
      <c r="AK112" s="145">
        <f t="array" ref="AK112">IFERROR(I112*INDEX(F!$P$21:$AB$33, MATCH(G112/$AH112, F!$O$21:$O$33,1), MATCH(E112, F!$P$20:$AB$20,1)), 0 ) +IFERROR( M112*INDEX(F!$P$21:$AB$33, MATCH(K112/$AH112, F!$O$21:$O$33,1), MATCH(E112, F!$P$20:$AB$20,1)),0) +  IFERROR( Q112*INDEX(F!$P$21:$AB$33, MATCH(O112/$AH112, F!$O$21:$O$33,1), MATCH(E112, F!$P$20:$AB$20,1)), 0) + IFERROR( U112*INDEX(F!$P$21:$AB$33, MATCH(S112/$AH112, F!$O$21:$O$33,1), MATCH(E112, F!$P$20:$AB$20,1)),0)  + IFERROR(Y112*INDEX(F!$P$21:$AB$33, MATCH(W112/$AH112, F!$O$21:$O$33,1), MATCH(E112, F!$P$20:$AB$20,1)),0)  + IFERROR( AC112*INDEX(F!$P$21:$AB$33, MATCH(AA112/$AH112, F!$O$21:$O$33,1), MATCH(E112, F!$P$20:$AB$20,1)),)</f>
        <v>0</v>
      </c>
      <c r="AL112" s="59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ht="15.75" hidden="1" customHeight="1">
      <c r="A113" s="98"/>
      <c r="B113" s="188"/>
      <c r="C113" s="189"/>
      <c r="D113" s="190"/>
      <c r="E113" s="102">
        <f>ROUND(IFERROR(SUMPRODUCT(AJ105:AJ112,E105:E112)/AJ113,0),3)</f>
        <v>0</v>
      </c>
      <c r="F113" s="191"/>
      <c r="G113" s="201"/>
      <c r="H113" s="193"/>
      <c r="I113" s="193"/>
      <c r="J113" s="194"/>
      <c r="K113" s="201"/>
      <c r="L113" s="193"/>
      <c r="M113" s="193"/>
      <c r="N113" s="194"/>
      <c r="O113" s="201"/>
      <c r="P113" s="193"/>
      <c r="Q113" s="193"/>
      <c r="R113" s="194"/>
      <c r="S113" s="201"/>
      <c r="T113" s="193"/>
      <c r="U113" s="193"/>
      <c r="V113" s="194"/>
      <c r="W113" s="201"/>
      <c r="X113" s="193"/>
      <c r="Y113" s="193"/>
      <c r="Z113" s="194"/>
      <c r="AA113" s="201"/>
      <c r="AB113" s="193"/>
      <c r="AC113" s="193"/>
      <c r="AD113" s="194"/>
      <c r="AE113" s="107">
        <f>SUM(AE105:AE112)</f>
        <v>0</v>
      </c>
      <c r="AF113" s="108">
        <f t="shared" si="74"/>
        <v>0</v>
      </c>
      <c r="AG113" s="109">
        <f>IFERROR(  SUMPRODUCT(AG105:AG112,AJ105:AJ112)/AJ113,0)</f>
        <v>0</v>
      </c>
      <c r="AH113" s="157"/>
      <c r="AI113" s="111">
        <f t="shared" ref="AI113:AJ113" si="179">SUM(AI105:AI112)</f>
        <v>0</v>
      </c>
      <c r="AJ113" s="111">
        <f t="shared" si="179"/>
        <v>0</v>
      </c>
      <c r="AK113" s="112">
        <f>IF(SUM(AK105:AK112)=0,TIME(,0,),TIME(,SUM(AK105:AK112)+F!$V$37,))</f>
        <v>0</v>
      </c>
      <c r="AL113" s="98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ht="15.75" customHeight="1">
      <c r="A114" s="5">
        <f>A58</f>
        <v>7</v>
      </c>
      <c r="B114" s="6"/>
      <c r="C114" s="6"/>
      <c r="D114" s="6"/>
      <c r="E114" s="7">
        <f>IF(AJ114=0,0,(E124*AJ124 + E133*AJ133 + E142*AJ142 + E151*AJ151 + E160*AJ160 + E169*AJ169   ) /AJ114 )</f>
        <v>0.9507198582</v>
      </c>
      <c r="F114" s="8" t="s">
        <v>0</v>
      </c>
      <c r="G114" s="9"/>
      <c r="H114" s="9"/>
      <c r="I114" s="9"/>
      <c r="J114" s="9"/>
      <c r="K114" s="9"/>
      <c r="L114" s="9"/>
      <c r="M114" s="10"/>
      <c r="N114" s="11">
        <f>N58+1</f>
        <v>3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  <c r="AE114" s="12">
        <f>AE124+AE133+AE142+AE151+AE160+AE169</f>
        <v>16650</v>
      </c>
      <c r="AF114" s="13">
        <f t="shared" si="74"/>
        <v>59.04255319</v>
      </c>
      <c r="AG114" s="14">
        <f>IF(AJ114=0,0,(AG124*AJ124 + AG133*AJ133 + AG142*AJ142 + AG151*AJ151 + AG160*AJ160 + AG169*AJ169   ) /AJ114 )</f>
        <v>0.5809872402</v>
      </c>
      <c r="AH114" s="210">
        <f>AH58</f>
        <v>0.02</v>
      </c>
      <c r="AI114" s="12" t="str">
        <f t="shared" ref="AI114:AK114" si="180">AI124+AI133+AI142+AI151+AI160+AI169</f>
        <v>#DIV/0!</v>
      </c>
      <c r="AJ114" s="12">
        <f t="shared" si="180"/>
        <v>282</v>
      </c>
      <c r="AK114" s="15">
        <f t="shared" si="180"/>
        <v>0.2361111111</v>
      </c>
      <c r="AL114" s="218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ht="15.75" customHeight="1">
      <c r="A115" s="19" t="s">
        <v>1</v>
      </c>
      <c r="B115" s="20" t="s">
        <v>2</v>
      </c>
      <c r="C115" s="20" t="s">
        <v>3</v>
      </c>
      <c r="D115" s="20" t="s">
        <v>4</v>
      </c>
      <c r="E115" s="20" t="s">
        <v>5</v>
      </c>
      <c r="F115" s="20" t="s">
        <v>6</v>
      </c>
      <c r="G115" s="20" t="s">
        <v>7</v>
      </c>
      <c r="H115" s="20" t="s">
        <v>8</v>
      </c>
      <c r="I115" s="20" t="s">
        <v>9</v>
      </c>
      <c r="J115" s="20" t="s">
        <v>10</v>
      </c>
      <c r="K115" s="20" t="s">
        <v>7</v>
      </c>
      <c r="L115" s="20" t="s">
        <v>8</v>
      </c>
      <c r="M115" s="20" t="s">
        <v>9</v>
      </c>
      <c r="N115" s="20" t="s">
        <v>10</v>
      </c>
      <c r="O115" s="20" t="s">
        <v>7</v>
      </c>
      <c r="P115" s="20" t="s">
        <v>8</v>
      </c>
      <c r="Q115" s="20" t="s">
        <v>9</v>
      </c>
      <c r="R115" s="20" t="s">
        <v>10</v>
      </c>
      <c r="S115" s="20" t="s">
        <v>7</v>
      </c>
      <c r="T115" s="20" t="s">
        <v>8</v>
      </c>
      <c r="U115" s="20" t="s">
        <v>9</v>
      </c>
      <c r="V115" s="20" t="s">
        <v>10</v>
      </c>
      <c r="W115" s="20" t="s">
        <v>7</v>
      </c>
      <c r="X115" s="20" t="s">
        <v>8</v>
      </c>
      <c r="Y115" s="20" t="s">
        <v>9</v>
      </c>
      <c r="Z115" s="20" t="s">
        <v>10</v>
      </c>
      <c r="AA115" s="20" t="s">
        <v>7</v>
      </c>
      <c r="AB115" s="20" t="s">
        <v>8</v>
      </c>
      <c r="AC115" s="20" t="s">
        <v>9</v>
      </c>
      <c r="AD115" s="21" t="s">
        <v>10</v>
      </c>
      <c r="AE115" s="20" t="s">
        <v>11</v>
      </c>
      <c r="AF115" s="20" t="s">
        <v>12</v>
      </c>
      <c r="AG115" s="20" t="s">
        <v>13</v>
      </c>
      <c r="AH115" s="213" t="s">
        <v>14</v>
      </c>
      <c r="AI115" s="23" t="s">
        <v>15</v>
      </c>
      <c r="AJ115" s="20" t="s">
        <v>16</v>
      </c>
      <c r="AK115" s="21" t="s">
        <v>17</v>
      </c>
      <c r="AL115" s="214" t="s">
        <v>18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ht="15.75" customHeight="1">
      <c r="A116" s="25">
        <f>A117</f>
        <v>43794</v>
      </c>
      <c r="B116" s="26" t="str">
        <f t="shared" ref="B116:F116" si="181">IF(B60="","",B60)</f>
        <v>Тяжелая</v>
      </c>
      <c r="C116" s="27" t="str">
        <f t="shared" si="181"/>
        <v>ПР</v>
      </c>
      <c r="D116" s="28" t="str">
        <f t="shared" si="181"/>
        <v>Присед</v>
      </c>
      <c r="E116" s="29">
        <f t="shared" si="181"/>
        <v>1.2</v>
      </c>
      <c r="F116" s="30" t="str">
        <f t="shared" si="181"/>
        <v/>
      </c>
      <c r="G116" s="31">
        <f t="shared" ref="G116:G120" si="183">IF(J116&lt;&gt;0, IFERROR(IF( $F116=2,  MROUND($AH116*J116,1),    IF( OR($F116="",$F116=1),   MROUND($AH116*J116,2.5),  MROUND($AH116*J116, 0.1))), "" ), "")</f>
        <v>92.5</v>
      </c>
      <c r="H116" s="32">
        <v>4.0</v>
      </c>
      <c r="I116" s="32">
        <v>1.0</v>
      </c>
      <c r="J116" s="33">
        <v>0.65</v>
      </c>
      <c r="K116" s="31">
        <f t="shared" ref="K116:K123" si="184">IF(N116&lt;&gt;0, IFERROR(IF( $F116=2,  MROUND($AH116*N116,1),    IF( OR($F116="",$F116=1),   MROUND($AH116*N116,2.5),  MROUND($AH116*N116, 0.1))), "" ), "")</f>
        <v>105</v>
      </c>
      <c r="L116" s="32">
        <v>3.0</v>
      </c>
      <c r="M116" s="32">
        <v>3.0</v>
      </c>
      <c r="N116" s="33">
        <v>0.75</v>
      </c>
      <c r="O116" s="31" t="str">
        <f t="shared" ref="O116:O123" si="185">IF(R116&lt;&gt;0, IFERROR(IF( $F116=2,  MROUND($AH116*R116,1),    IF( OR($F116="",$F116=1),   MROUND($AH116*R116,2.5),  MROUND($AH116*R116, 0.1))), "" ), "")</f>
        <v/>
      </c>
      <c r="P116" s="32"/>
      <c r="Q116" s="32"/>
      <c r="R116" s="33"/>
      <c r="S116" s="31" t="str">
        <f t="shared" ref="S116:S123" si="186">IF(V116&lt;&gt;0, IFERROR(IF( $F116=2,  MROUND($AH116*V116,1),    IF( OR($F116="",$F116=1),   MROUND($AH116*V116,2.5),  MROUND($AH116*V116, 0.1))), "" ), "")</f>
        <v/>
      </c>
      <c r="T116" s="32"/>
      <c r="U116" s="32"/>
      <c r="V116" s="33"/>
      <c r="W116" s="31" t="str">
        <f t="shared" ref="W116:W123" si="187">IF(Z116&lt;&gt;0, IFERROR(IF( $F116=2,  MROUND($AH116*Z116,1),    IF( OR($F116="",$F116=1),   MROUND($AH116*Z116,2.5),  MROUND($AH116*Z116, 0.1))), "" ), "")</f>
        <v/>
      </c>
      <c r="X116" s="32"/>
      <c r="Y116" s="32"/>
      <c r="Z116" s="33"/>
      <c r="AA116" s="31" t="str">
        <f t="shared" ref="AA116:AA123" si="188">IF(AD116&lt;&gt;0, IFERROR(IF( $F116=2,  MROUND($AH116*AD116,1),    IF( OR($F116="",$F116=1),   MROUND($AH116*AD116,2.5),  MROUND($AH116*AD116, 0.1))), "" ), "")</f>
        <v/>
      </c>
      <c r="AB116" s="32"/>
      <c r="AC116" s="32"/>
      <c r="AD116" s="33"/>
      <c r="AE116" s="35">
        <f t="shared" ref="AE116:AE123" si="189">(IF(ISNUMBER(G116),G116,0)*H116*I116+IF(ISNUMBER(K116),K116,1)*L116*M116+IF(ISNUMBER(O116),O116,1)*P116*Q116+IF(ISNUMBER(S116),S116,1)*T116*U116+IF(ISNUMBER(W116),W116,1)*X116*Y116+IF(ISNUMBER(AA116),AA116,1)*AB116*AC116)*IF(ISNUMBER(F116),F116,1)</f>
        <v>1315</v>
      </c>
      <c r="AF116" s="36">
        <f t="shared" ref="AF116:AF170" si="190">IFERROR(AE116/AJ116,0)</f>
        <v>101.1538462</v>
      </c>
      <c r="AG116" s="195">
        <f t="shared" ref="AG116:AG123" si="191">IFERROR((AF116/(AH116*IF(ISNUMBER(F116),F116,1))),0)</f>
        <v>0.7201919928</v>
      </c>
      <c r="AH116" s="169">
        <f t="shared" ref="AH116:AH123" si="192">IF(ISNUMBER(AH60), AH60+(AH60*$AH$114),"")</f>
        <v>140.454</v>
      </c>
      <c r="AI116" s="70">
        <f> ( IF(ISNUMBER(G116), VLOOKUP(G116/$AH116,F!$A1:$B101,2,1)*G116*$H116*$I116,0)+IF(ISNUMBER(K116), VLOOKUP(K116/$AH116,F!$A1:$B101,2,1)*K116*$L116*$M116,0)+IF(ISNUMBER(O116), VLOOKUP(O116/$AH116,F!$A1:$B101,2,1)*O116*$P116*$Q116,0)+IF(ISNUMBER(S116), VLOOKUP(S116/$AH116,F!$A1:$B101,2,1)*S116*$T116*$U116,0)+IF(ISNUMBER(W116), VLOOKUP(W116/$AH116,F!$A1:$B101,2,1)*W116*$X116*$Y116,0)+IF(ISNUMBER(AA116), VLOOKUP(AA116/$AH116,F!$A1:$B101,2,1)*AA116*$AB116*$AC116,0))*IF(ISNUMBER(F116),F116,1)*IF(ISNUMBER(E116),E116,1)</f>
        <v>1647.96</v>
      </c>
      <c r="AJ116" s="40">
        <f t="shared" ref="AJ116:AJ123" si="193">H116*I116+L116*M116+P116*Q116+T116*U116+X116*Y116+AB116*AC116</f>
        <v>13</v>
      </c>
      <c r="AK116" s="41">
        <f t="array" ref="AK116">IFERROR(I116*INDEX(F!$P$21:$AB$33, MATCH(G116/$AH116, F!$O$21:$O$33,1), MATCH(E116, F!$P$20:$AB$20,1)), 0 ) +IFERROR( M116*INDEX(F!$P$21:$AB$33, MATCH(K116/$AH116, F!$O$21:$O$33,1), MATCH(E116, F!$P$20:$AB$20,1)),0) +  IFERROR( Q116*INDEX(F!$P$21:$AB$33, MATCH(O116/$AH116, F!$O$21:$O$33,1), MATCH(E116, F!$P$20:$AB$20,1)), 0) + IFERROR( U116*INDEX(F!$P$21:$AB$33, MATCH(S116/$AH116, F!$O$21:$O$33,1), MATCH(E116, F!$P$20:$AB$20,1)),0)  + IFERROR(Y116*INDEX(F!$P$21:$AB$33, MATCH(W116/$AH116, F!$O$21:$O$33,1), MATCH(E116, F!$P$20:$AB$20,1)),0)  + IFERROR( AC116*INDEX(F!$P$21:$AB$33, MATCH(AA116/$AH116, F!$O$21:$O$33,1), MATCH(E116, F!$P$20:$AB$20,1)),)</f>
        <v>19</v>
      </c>
      <c r="AL116" s="4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ht="15.75" customHeight="1">
      <c r="A117" s="44">
        <f>A61+A58</f>
        <v>43794</v>
      </c>
      <c r="B117" s="45" t="s">
        <v>24</v>
      </c>
      <c r="C117" s="46" t="str">
        <f t="shared" ref="C117:F117" si="182">IF(C61="","",C61)</f>
        <v>ЖМ</v>
      </c>
      <c r="D117" s="47" t="str">
        <f t="shared" si="182"/>
        <v>Жим лежа</v>
      </c>
      <c r="E117" s="48">
        <f t="shared" si="182"/>
        <v>1</v>
      </c>
      <c r="F117" s="49" t="str">
        <f t="shared" si="182"/>
        <v/>
      </c>
      <c r="G117" s="50">
        <f t="shared" si="183"/>
        <v>50</v>
      </c>
      <c r="H117" s="51">
        <v>5.0</v>
      </c>
      <c r="I117" s="51">
        <v>1.0</v>
      </c>
      <c r="J117" s="52">
        <v>0.5</v>
      </c>
      <c r="K117" s="50">
        <f t="shared" si="184"/>
        <v>60</v>
      </c>
      <c r="L117" s="51">
        <v>4.0</v>
      </c>
      <c r="M117" s="51">
        <v>4.0</v>
      </c>
      <c r="N117" s="52">
        <v>0.6</v>
      </c>
      <c r="O117" s="50" t="str">
        <f t="shared" si="185"/>
        <v/>
      </c>
      <c r="P117" s="51"/>
      <c r="Q117" s="51"/>
      <c r="R117" s="52"/>
      <c r="S117" s="50" t="str">
        <f t="shared" si="186"/>
        <v/>
      </c>
      <c r="T117" s="51"/>
      <c r="U117" s="51"/>
      <c r="V117" s="52"/>
      <c r="W117" s="50" t="str">
        <f t="shared" si="187"/>
        <v/>
      </c>
      <c r="X117" s="51"/>
      <c r="Y117" s="51"/>
      <c r="Z117" s="52"/>
      <c r="AA117" s="50" t="str">
        <f t="shared" si="188"/>
        <v/>
      </c>
      <c r="AB117" s="51"/>
      <c r="AC117" s="51"/>
      <c r="AD117" s="52"/>
      <c r="AE117" s="53">
        <f t="shared" si="189"/>
        <v>1210</v>
      </c>
      <c r="AF117" s="54">
        <f t="shared" si="190"/>
        <v>57.61904762</v>
      </c>
      <c r="AG117" s="75">
        <f t="shared" si="191"/>
        <v>0.582964524</v>
      </c>
      <c r="AH117" s="76">
        <f t="shared" si="192"/>
        <v>98.838</v>
      </c>
      <c r="AI117" s="77">
        <f> ( IF(ISNUMBER(G117), VLOOKUP(G117/$AH117,F!$A1:$B101,2,1)*G117*$H117*$I117,0)+IF(ISNUMBER(K117), VLOOKUP(K117/$AH117,F!$A1:$B101,2,1)*K117*$L117*$M117,0)+IF(ISNUMBER(O117), VLOOKUP(O117/$AH117,F!$A1:$B101,2,1)*O117*$P117*$Q117,0)+IF(ISNUMBER(S117), VLOOKUP(S117/$AH117,F!$A1:$B101,2,1)*S117*$T117*$U117,0)+IF(ISNUMBER(W117), VLOOKUP(W117/$AH117,F!$A1:$B101,2,1)*W117*$X117*$Y117,0)+IF(ISNUMBER(AA117), VLOOKUP(AA117/$AH117,F!$A1:$B101,2,1)*AA117*$AB117*$AC117,0))*IF(ISNUMBER(F117),F117,1)*IF(ISNUMBER(E117),E117,1)</f>
        <v>797</v>
      </c>
      <c r="AJ117" s="57">
        <f t="shared" si="193"/>
        <v>21</v>
      </c>
      <c r="AK117" s="58">
        <f t="array" ref="AK117">IFERROR(I117*INDEX(F!$P$21:$AB$33, MATCH(G117/$AH117, F!$O$21:$O$33,1), MATCH(E117, F!$P$20:$AB$20,1)), 0 ) +IFERROR( M117*INDEX(F!$P$21:$AB$33, MATCH(K117/$AH117, F!$O$21:$O$33,1), MATCH(E117, F!$P$20:$AB$20,1)),0) +  IFERROR( Q117*INDEX(F!$P$21:$AB$33, MATCH(O117/$AH117, F!$O$21:$O$33,1), MATCH(E117, F!$P$20:$AB$20,1)), 0) + IFERROR( U117*INDEX(F!$P$21:$AB$33, MATCH(S117/$AH117, F!$O$21:$O$33,1), MATCH(E117, F!$P$20:$AB$20,1)),0)  + IFERROR(Y117*INDEX(F!$P$21:$AB$33, MATCH(W117/$AH117, F!$O$21:$O$33,1), MATCH(E117, F!$P$20:$AB$20,1)),0)  + IFERROR( AC117*INDEX(F!$P$21:$AB$33, MATCH(AA117/$AH117, F!$O$21:$O$33,1), MATCH(E117, F!$P$20:$AB$20,1)),)</f>
        <v>14</v>
      </c>
      <c r="AL117" s="59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ht="15.75" customHeight="1">
      <c r="A118" s="59"/>
      <c r="B118" s="60" t="s">
        <v>19</v>
      </c>
      <c r="C118" s="61" t="str">
        <f t="shared" ref="C118:F118" si="194">IF(C62="","",C62)</f>
        <v>ПР</v>
      </c>
      <c r="D118" s="62" t="str">
        <f t="shared" si="194"/>
        <v>Присед</v>
      </c>
      <c r="E118" s="48">
        <f t="shared" si="194"/>
        <v>1.2</v>
      </c>
      <c r="F118" s="63" t="str">
        <f t="shared" si="194"/>
        <v/>
      </c>
      <c r="G118" s="64">
        <f t="shared" si="183"/>
        <v>85</v>
      </c>
      <c r="H118" s="34">
        <v>3.0</v>
      </c>
      <c r="I118" s="34">
        <v>1.0</v>
      </c>
      <c r="J118" s="65">
        <v>0.6</v>
      </c>
      <c r="K118" s="64">
        <f t="shared" si="184"/>
        <v>97.5</v>
      </c>
      <c r="L118" s="34">
        <v>2.0</v>
      </c>
      <c r="M118" s="34">
        <v>4.0</v>
      </c>
      <c r="N118" s="65">
        <v>0.7</v>
      </c>
      <c r="O118" s="64" t="str">
        <f t="shared" si="185"/>
        <v/>
      </c>
      <c r="P118" s="34"/>
      <c r="Q118" s="34"/>
      <c r="R118" s="65"/>
      <c r="S118" s="64" t="str">
        <f t="shared" si="186"/>
        <v/>
      </c>
      <c r="T118" s="34"/>
      <c r="U118" s="34"/>
      <c r="V118" s="65"/>
      <c r="W118" s="64" t="str">
        <f t="shared" si="187"/>
        <v/>
      </c>
      <c r="X118" s="34"/>
      <c r="Y118" s="34"/>
      <c r="Z118" s="65"/>
      <c r="AA118" s="64" t="str">
        <f t="shared" si="188"/>
        <v/>
      </c>
      <c r="AB118" s="34"/>
      <c r="AC118" s="34"/>
      <c r="AD118" s="65"/>
      <c r="AE118" s="66">
        <f t="shared" si="189"/>
        <v>1035</v>
      </c>
      <c r="AF118" s="67">
        <f t="shared" si="190"/>
        <v>94.09090909</v>
      </c>
      <c r="AG118" s="68">
        <f t="shared" si="191"/>
        <v>0.6699055142</v>
      </c>
      <c r="AH118" s="76">
        <f t="shared" si="192"/>
        <v>140.454</v>
      </c>
      <c r="AI118" s="70">
        <f> ( IF(ISNUMBER(G118), VLOOKUP(G118/$AH118,F!$A1:$B101,2,1)*G118*$H118*$I118,0)+IF(ISNUMBER(K118), VLOOKUP(K118/$AH118,F!$A1:$B101,2,1)*K118*$L118*$M118,0)+IF(ISNUMBER(O118), VLOOKUP(O118/$AH118,F!$A1:$B101,2,1)*O118*$P118*$Q118,0)+IF(ISNUMBER(S118), VLOOKUP(S118/$AH118,F!$A1:$B101,2,1)*S118*$T118*$U118,0)+IF(ISNUMBER(W118), VLOOKUP(W118/$AH118,F!$A1:$B101,2,1)*W118*$X118*$Y118,0)+IF(ISNUMBER(AA118), VLOOKUP(AA118/$AH118,F!$A1:$B101,2,1)*AA118*$AB118*$AC118,0))*IF(ISNUMBER(F118),F118,1)*IF(ISNUMBER(E118),E118,1)</f>
        <v>1047.24</v>
      </c>
      <c r="AJ118" s="71">
        <f t="shared" si="193"/>
        <v>11</v>
      </c>
      <c r="AK118" s="72">
        <f t="array" ref="AK118">IFERROR(I118*INDEX(F!$P$21:$AB$33, MATCH(G118/$AH118, F!$O$21:$O$33,1), MATCH(E118, F!$P$20:$AB$20,1)), 0 ) +IFERROR( M118*INDEX(F!$P$21:$AB$33, MATCH(K118/$AH118, F!$O$21:$O$33,1), MATCH(E118, F!$P$20:$AB$20,1)),0) +  IFERROR( Q118*INDEX(F!$P$21:$AB$33, MATCH(O118/$AH118, F!$O$21:$O$33,1), MATCH(E118, F!$P$20:$AB$20,1)), 0) + IFERROR( U118*INDEX(F!$P$21:$AB$33, MATCH(S118/$AH118, F!$O$21:$O$33,1), MATCH(E118, F!$P$20:$AB$20,1)),0)  + IFERROR(Y118*INDEX(F!$P$21:$AB$33, MATCH(W118/$AH118, F!$O$21:$O$33,1), MATCH(E118, F!$P$20:$AB$20,1)),0)  + IFERROR( AC118*INDEX(F!$P$21:$AB$33, MATCH(AA118/$AH118, F!$O$21:$O$33,1), MATCH(E118, F!$P$20:$AB$20,1)),)</f>
        <v>20</v>
      </c>
      <c r="AL118" s="59"/>
      <c r="AM118" s="1"/>
      <c r="AN118" s="217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ht="15.0" customHeight="1">
      <c r="A119" s="59"/>
      <c r="B119" s="215" t="s">
        <v>24</v>
      </c>
      <c r="C119" s="73" t="str">
        <f t="shared" ref="C119:F119" si="195">IF(C63="","",C63)</f>
        <v>ЖМ</v>
      </c>
      <c r="D119" s="47" t="str">
        <f t="shared" si="195"/>
        <v>Жим гантелей</v>
      </c>
      <c r="E119" s="48">
        <f t="shared" si="195"/>
        <v>1</v>
      </c>
      <c r="F119" s="74">
        <f t="shared" si="195"/>
        <v>2</v>
      </c>
      <c r="G119" s="50">
        <f t="shared" si="183"/>
        <v>19</v>
      </c>
      <c r="H119" s="51">
        <v>5.0</v>
      </c>
      <c r="I119" s="51">
        <v>3.0</v>
      </c>
      <c r="J119" s="52">
        <v>0.6</v>
      </c>
      <c r="K119" s="50" t="str">
        <f t="shared" si="184"/>
        <v/>
      </c>
      <c r="L119" s="51"/>
      <c r="M119" s="51"/>
      <c r="N119" s="52"/>
      <c r="O119" s="50" t="str">
        <f t="shared" si="185"/>
        <v/>
      </c>
      <c r="P119" s="51"/>
      <c r="Q119" s="51"/>
      <c r="R119" s="52"/>
      <c r="S119" s="50" t="str">
        <f t="shared" si="186"/>
        <v/>
      </c>
      <c r="T119" s="51"/>
      <c r="U119" s="51"/>
      <c r="V119" s="52"/>
      <c r="W119" s="50" t="str">
        <f t="shared" si="187"/>
        <v/>
      </c>
      <c r="X119" s="51"/>
      <c r="Y119" s="51"/>
      <c r="Z119" s="52"/>
      <c r="AA119" s="50" t="str">
        <f t="shared" si="188"/>
        <v/>
      </c>
      <c r="AB119" s="51"/>
      <c r="AC119" s="51"/>
      <c r="AD119" s="52"/>
      <c r="AE119" s="53">
        <f t="shared" si="189"/>
        <v>570</v>
      </c>
      <c r="AF119" s="54">
        <f t="shared" si="190"/>
        <v>38</v>
      </c>
      <c r="AG119" s="75">
        <f t="shared" si="191"/>
        <v>0.6007304883</v>
      </c>
      <c r="AH119" s="76">
        <f t="shared" si="192"/>
        <v>31.62816</v>
      </c>
      <c r="AI119" s="77">
        <f> ( IF(ISNUMBER(G119), VLOOKUP(G119/$AH119,F!$A1:$B101,2,1)*G119*$H119*$I119,0)+IF(ISNUMBER(K119), VLOOKUP(K119/$AH119,F!$A1:$B101,2,1)*K119*$L119*$M119,0)+IF(ISNUMBER(O119), VLOOKUP(O119/$AH119,F!$A1:$B101,2,1)*O119*$P119*$Q119,0)+IF(ISNUMBER(S119), VLOOKUP(S119/$AH119,F!$A1:$B101,2,1)*S119*$T119*$U119,0)+IF(ISNUMBER(W119), VLOOKUP(W119/$AH119,F!$A1:$B101,2,1)*W119*$X119*$Y119,0)+IF(ISNUMBER(AA119), VLOOKUP(AA119/$AH119,F!$A1:$B101,2,1)*AA119*$AB119*$AC119,0))*IF(ISNUMBER(F119),F119,1)*IF(ISNUMBER(E119),E119,1)</f>
        <v>399</v>
      </c>
      <c r="AJ119" s="57">
        <f t="shared" si="193"/>
        <v>15</v>
      </c>
      <c r="AK119" s="58">
        <f t="array" ref="AK119">IFERROR(I119*INDEX(F!$P$21:$AB$33, MATCH(G119/$AH119, F!$O$21:$O$33,1), MATCH(E119, F!$P$20:$AB$20,1)), 0 ) +IFERROR( M119*INDEX(F!$P$21:$AB$33, MATCH(K119/$AH119, F!$O$21:$O$33,1), MATCH(E119, F!$P$20:$AB$20,1)),0) +  IFERROR( Q119*INDEX(F!$P$21:$AB$33, MATCH(O119/$AH119, F!$O$21:$O$33,1), MATCH(E119, F!$P$20:$AB$20,1)), 0) + IFERROR( U119*INDEX(F!$P$21:$AB$33, MATCH(S119/$AH119, F!$O$21:$O$33,1), MATCH(E119, F!$P$20:$AB$20,1)),0)  + IFERROR(Y119*INDEX(F!$P$21:$AB$33, MATCH(W119/$AH119, F!$O$21:$O$33,1), MATCH(E119, F!$P$20:$AB$20,1)),0)  + IFERROR( AC119*INDEX(F!$P$21:$AB$33, MATCH(AA119/$AH119, F!$O$21:$O$33,1), MATCH(E119, F!$P$20:$AB$20,1)),)</f>
        <v>9</v>
      </c>
      <c r="AL119" s="59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ht="15.75" customHeight="1">
      <c r="A120" s="59"/>
      <c r="B120" s="216" t="s">
        <v>19</v>
      </c>
      <c r="C120" s="78" t="str">
        <f t="shared" ref="C120:F120" si="196">IF(C64="","",C64)</f>
        <v>ОФП</v>
      </c>
      <c r="D120" s="62" t="str">
        <f t="shared" si="196"/>
        <v>Французский жим</v>
      </c>
      <c r="E120" s="48">
        <f t="shared" si="196"/>
        <v>0.4</v>
      </c>
      <c r="F120" s="79" t="str">
        <f t="shared" si="196"/>
        <v/>
      </c>
      <c r="G120" s="64">
        <f t="shared" si="183"/>
        <v>22.5</v>
      </c>
      <c r="H120" s="34">
        <v>5.0</v>
      </c>
      <c r="I120" s="34">
        <v>1.0</v>
      </c>
      <c r="J120" s="65">
        <v>0.5</v>
      </c>
      <c r="K120" s="64">
        <f t="shared" si="184"/>
        <v>27.5</v>
      </c>
      <c r="L120" s="34">
        <v>4.0</v>
      </c>
      <c r="M120" s="34">
        <v>1.0</v>
      </c>
      <c r="N120" s="65">
        <v>0.6</v>
      </c>
      <c r="O120" s="64">
        <f t="shared" si="185"/>
        <v>32.5</v>
      </c>
      <c r="P120" s="34">
        <v>4.0</v>
      </c>
      <c r="Q120" s="34">
        <v>4.0</v>
      </c>
      <c r="R120" s="65">
        <v>0.7</v>
      </c>
      <c r="S120" s="64" t="str">
        <f t="shared" si="186"/>
        <v/>
      </c>
      <c r="T120" s="34"/>
      <c r="U120" s="34"/>
      <c r="V120" s="65"/>
      <c r="W120" s="64" t="str">
        <f t="shared" si="187"/>
        <v/>
      </c>
      <c r="X120" s="34"/>
      <c r="Y120" s="34"/>
      <c r="Z120" s="65"/>
      <c r="AA120" s="64" t="str">
        <f t="shared" si="188"/>
        <v/>
      </c>
      <c r="AB120" s="34"/>
      <c r="AC120" s="34"/>
      <c r="AD120" s="65"/>
      <c r="AE120" s="66">
        <f t="shared" si="189"/>
        <v>742.5</v>
      </c>
      <c r="AF120" s="67">
        <f t="shared" si="190"/>
        <v>29.7</v>
      </c>
      <c r="AG120" s="68">
        <f t="shared" si="191"/>
        <v>0.6532428559</v>
      </c>
      <c r="AH120" s="76">
        <f t="shared" si="192"/>
        <v>45.46548</v>
      </c>
      <c r="AI120" s="70">
        <f> ( IF(ISNUMBER(G120), VLOOKUP(G120/$AH120,F!$A1:$B101,2,1)*G120*$H120*$I120,0)+IF(ISNUMBER(K120), VLOOKUP(K120/$AH120,F!$A1:$B101,2,1)*K120*$L120*$M120,0)+IF(ISNUMBER(O120), VLOOKUP(O120/$AH120,F!$A1:$B101,2,1)*O120*$P120*$Q120,0)+IF(ISNUMBER(S120), VLOOKUP(S120/$AH120,F!$A1:$B101,2,1)*S120*$T120*$U120,0)+IF(ISNUMBER(W120), VLOOKUP(W120/$AH120,F!$A1:$B101,2,1)*W120*$X120*$Y120,0)+IF(ISNUMBER(AA120), VLOOKUP(AA120/$AH120,F!$A1:$B101,2,1)*AA120*$AB120*$AC120,0))*IF(ISNUMBER(F120),F120,1)*IF(ISNUMBER(E120),E120,1)</f>
        <v>250</v>
      </c>
      <c r="AJ120" s="71">
        <f t="shared" si="193"/>
        <v>25</v>
      </c>
      <c r="AK120" s="72">
        <f t="array" ref="AK120">IFERROR(I120*INDEX(F!$P$21:$AB$33, MATCH(G120/$AH120, F!$O$21:$O$33,1), MATCH(E120, F!$P$20:$AB$20,1)), 0 ) +IFERROR( M120*INDEX(F!$P$21:$AB$33, MATCH(K120/$AH120, F!$O$21:$O$33,1), MATCH(E120, F!$P$20:$AB$20,1)),0) +  IFERROR( Q120*INDEX(F!$P$21:$AB$33, MATCH(O120/$AH120, F!$O$21:$O$33,1), MATCH(E120, F!$P$20:$AB$20,1)), 0) + IFERROR( U120*INDEX(F!$P$21:$AB$33, MATCH(S120/$AH120, F!$O$21:$O$33,1), MATCH(E120, F!$P$20:$AB$20,1)),0)  + IFERROR(Y120*INDEX(F!$P$21:$AB$33, MATCH(W120/$AH120, F!$O$21:$O$33,1), MATCH(E120, F!$P$20:$AB$20,1)),0)  + IFERROR( AC120*INDEX(F!$P$21:$AB$33, MATCH(AA120/$AH120, F!$O$21:$O$33,1), MATCH(E120, F!$P$20:$AB$20,1)),)</f>
        <v>13.3</v>
      </c>
      <c r="AL120" s="59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ht="15.75" hidden="1" customHeight="1">
      <c r="A121" s="59"/>
      <c r="B121" s="45" t="str">
        <f t="shared" ref="B121:F121" si="197">IF(B65="","",B65)</f>
        <v/>
      </c>
      <c r="C121" s="46" t="str">
        <f t="shared" si="197"/>
        <v/>
      </c>
      <c r="D121" s="197" t="str">
        <f t="shared" si="197"/>
        <v/>
      </c>
      <c r="E121" s="48" t="str">
        <f t="shared" si="197"/>
        <v/>
      </c>
      <c r="F121" s="83" t="str">
        <f t="shared" si="197"/>
        <v/>
      </c>
      <c r="G121" s="84"/>
      <c r="H121" s="85"/>
      <c r="I121" s="85"/>
      <c r="J121" s="52"/>
      <c r="K121" s="50" t="str">
        <f t="shared" si="184"/>
        <v/>
      </c>
      <c r="L121" s="51"/>
      <c r="M121" s="51"/>
      <c r="N121" s="52"/>
      <c r="O121" s="50" t="str">
        <f t="shared" si="185"/>
        <v/>
      </c>
      <c r="P121" s="51"/>
      <c r="Q121" s="51"/>
      <c r="R121" s="52"/>
      <c r="S121" s="50" t="str">
        <f t="shared" si="186"/>
        <v/>
      </c>
      <c r="T121" s="51"/>
      <c r="U121" s="51"/>
      <c r="V121" s="52"/>
      <c r="W121" s="50" t="str">
        <f t="shared" si="187"/>
        <v/>
      </c>
      <c r="X121" s="51"/>
      <c r="Y121" s="51"/>
      <c r="Z121" s="52"/>
      <c r="AA121" s="50" t="str">
        <f t="shared" si="188"/>
        <v/>
      </c>
      <c r="AB121" s="51"/>
      <c r="AC121" s="51"/>
      <c r="AD121" s="52"/>
      <c r="AE121" s="53">
        <f t="shared" si="189"/>
        <v>0</v>
      </c>
      <c r="AF121" s="54">
        <f t="shared" si="190"/>
        <v>0</v>
      </c>
      <c r="AG121" s="75">
        <f t="shared" si="191"/>
        <v>0</v>
      </c>
      <c r="AH121" s="76" t="str">
        <f t="shared" si="192"/>
        <v/>
      </c>
      <c r="AI121" s="77">
        <f> ( IF(ISNUMBER(G121), VLOOKUP(G121/$AH121,F!$A1:$B101,2,1)*G121*$H121*$I121,0)+IF(ISNUMBER(K121), VLOOKUP(K121/$AH121,F!$A1:$B101,2,1)*K121*$L121*$M121,0)+IF(ISNUMBER(O121), VLOOKUP(O121/$AH121,F!$A1:$B101,2,1)*O121*$P121*$Q121,0)+IF(ISNUMBER(S121), VLOOKUP(S121/$AH121,F!$A1:$B101,2,1)*S121*$T121*$U121,0)+IF(ISNUMBER(W121), VLOOKUP(W121/$AH121,F!$A1:$B101,2,1)*W121*$X121*$Y121,0)+IF(ISNUMBER(AA121), VLOOKUP(AA121/$AH121,F!$A1:$B101,2,1)*AA121*$AB121*$AC121,0))*IF(ISNUMBER(F121),F121,1)*IF(ISNUMBER(E121),E121,1)</f>
        <v>0</v>
      </c>
      <c r="AJ121" s="86">
        <f t="shared" si="193"/>
        <v>0</v>
      </c>
      <c r="AK121" s="58">
        <f t="array" ref="AK121">IFERROR(I121*INDEX(F!$P$21:$AB$33, MATCH(G121/$AH121, F!$O$21:$O$33,1), MATCH(E121, F!$P$20:$AB$20,1)), 0 ) +IFERROR( M121*INDEX(F!$P$21:$AB$33, MATCH(K121/$AH121, F!$O$21:$O$33,1), MATCH(E121, F!$P$20:$AB$20,1)),0) +  IFERROR( Q121*INDEX(F!$P$21:$AB$33, MATCH(O121/$AH121, F!$O$21:$O$33,1), MATCH(E121, F!$P$20:$AB$20,1)), 0) + IFERROR( U121*INDEX(F!$P$21:$AB$33, MATCH(S121/$AH121, F!$O$21:$O$33,1), MATCH(E121, F!$P$20:$AB$20,1)),0)  + IFERROR(Y121*INDEX(F!$P$21:$AB$33, MATCH(W121/$AH121, F!$O$21:$O$33,1), MATCH(E121, F!$P$20:$AB$20,1)),0)  + IFERROR( AC121*INDEX(F!$P$21:$AB$33, MATCH(AA121/$AH121, F!$O$21:$O$33,1), MATCH(E121, F!$P$20:$AB$20,1)),)</f>
        <v>0</v>
      </c>
      <c r="AL121" s="59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ht="15.0" hidden="1" customHeight="1">
      <c r="A122" s="59"/>
      <c r="B122" s="60" t="str">
        <f t="shared" ref="B122:F122" si="198">IF(B66="","",B66)</f>
        <v/>
      </c>
      <c r="C122" s="61" t="str">
        <f t="shared" si="198"/>
        <v/>
      </c>
      <c r="D122" s="198" t="str">
        <f t="shared" si="198"/>
        <v/>
      </c>
      <c r="E122" s="48" t="str">
        <f t="shared" si="198"/>
        <v/>
      </c>
      <c r="F122" s="79" t="str">
        <f t="shared" si="198"/>
        <v/>
      </c>
      <c r="G122" s="88"/>
      <c r="H122" s="89"/>
      <c r="I122" s="89"/>
      <c r="J122" s="65"/>
      <c r="K122" s="64" t="str">
        <f t="shared" si="184"/>
        <v/>
      </c>
      <c r="L122" s="34"/>
      <c r="M122" s="34"/>
      <c r="N122" s="65"/>
      <c r="O122" s="64" t="str">
        <f t="shared" si="185"/>
        <v/>
      </c>
      <c r="P122" s="34"/>
      <c r="Q122" s="34"/>
      <c r="R122" s="65"/>
      <c r="S122" s="64" t="str">
        <f t="shared" si="186"/>
        <v/>
      </c>
      <c r="T122" s="34"/>
      <c r="U122" s="34"/>
      <c r="V122" s="65"/>
      <c r="W122" s="64" t="str">
        <f t="shared" si="187"/>
        <v/>
      </c>
      <c r="X122" s="34"/>
      <c r="Y122" s="34"/>
      <c r="Z122" s="65"/>
      <c r="AA122" s="64" t="str">
        <f t="shared" si="188"/>
        <v/>
      </c>
      <c r="AB122" s="34"/>
      <c r="AC122" s="34"/>
      <c r="AD122" s="65"/>
      <c r="AE122" s="66">
        <f t="shared" si="189"/>
        <v>0</v>
      </c>
      <c r="AF122" s="67">
        <f t="shared" si="190"/>
        <v>0</v>
      </c>
      <c r="AG122" s="68">
        <f t="shared" si="191"/>
        <v>0</v>
      </c>
      <c r="AH122" s="76" t="str">
        <f t="shared" si="192"/>
        <v/>
      </c>
      <c r="AI122" s="90">
        <f> ( IF(ISNUMBER(G122), VLOOKUP(G122/$AH122,F!$A1:$B101,2,1)*G122*$H122*$I122,0)+IF(ISNUMBER(K122), VLOOKUP(K122/$AH122,F!$A1:$B101,2,1)*K122*$L122*$M122,0)+IF(ISNUMBER(O122), VLOOKUP(O122/$AH122,F!$A1:$B101,2,1)*O122*$P122*$Q122,0)+IF(ISNUMBER(S122), VLOOKUP(S122/$AH122,F!$A1:$B101,2,1)*S122*$T122*$U122,0)+IF(ISNUMBER(W122), VLOOKUP(W122/$AH122,F!$A1:$B101,2,1)*W122*$X122*$Y122,0)+IF(ISNUMBER(AA122), VLOOKUP(AA122/$AH122,F!$A1:$B101,2,1)*AA122*$AB122*$AC122,0))*IF(ISNUMBER(F122),F122,1)*IF(ISNUMBER(E122),E122,1)</f>
        <v>0</v>
      </c>
      <c r="AJ122" s="34">
        <f t="shared" si="193"/>
        <v>0</v>
      </c>
      <c r="AK122" s="91">
        <f t="array" ref="AK122">IFERROR(I122*INDEX(F!$P$21:$AB$33, MATCH(G122/$AH122, F!$O$21:$O$33,1), MATCH(E122, F!$P$20:$AB$20,1)), 0 ) +IFERROR( M122*INDEX(F!$P$21:$AB$33, MATCH(K122/$AH122, F!$O$21:$O$33,1), MATCH(E122, F!$P$20:$AB$20,1)),0) +  IFERROR( Q122*INDEX(F!$P$21:$AB$33, MATCH(O122/$AH122, F!$O$21:$O$33,1), MATCH(E122, F!$P$20:$AB$20,1)), 0) + IFERROR( U122*INDEX(F!$P$21:$AB$33, MATCH(S122/$AH122, F!$O$21:$O$33,1), MATCH(E122, F!$P$20:$AB$20,1)),0)  + IFERROR(Y122*INDEX(F!$P$21:$AB$33, MATCH(W122/$AH122, F!$O$21:$O$33,1), MATCH(E122, F!$P$20:$AB$20,1)),0)  + IFERROR( AC122*INDEX(F!$P$21:$AB$33, MATCH(AA122/$AH122, F!$O$21:$O$33,1), MATCH(E122, F!$P$20:$AB$20,1)),)</f>
        <v>0</v>
      </c>
      <c r="AL122" s="59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ht="15.0" hidden="1" customHeight="1">
      <c r="A123" s="59"/>
      <c r="B123" s="45" t="str">
        <f t="shared" ref="B123:F123" si="199">IF(B67="","",B67)</f>
        <v/>
      </c>
      <c r="C123" s="46" t="str">
        <f t="shared" si="199"/>
        <v/>
      </c>
      <c r="D123" s="92" t="str">
        <f t="shared" si="199"/>
        <v/>
      </c>
      <c r="E123" s="48" t="str">
        <f t="shared" si="199"/>
        <v/>
      </c>
      <c r="F123" s="74" t="str">
        <f t="shared" si="199"/>
        <v/>
      </c>
      <c r="G123" s="50" t="str">
        <f>IF(J123&lt;&gt;0, IFERROR(IF( $F123=2,  MROUND($AH123*J123,1),    IF( OR($F123="",$F123=1),   MROUND($AH123*J123,2.5),  MROUND($AH123*J123, 0.1))), "" ), "")</f>
        <v/>
      </c>
      <c r="H123" s="51"/>
      <c r="I123" s="51"/>
      <c r="J123" s="52"/>
      <c r="K123" s="50" t="str">
        <f t="shared" si="184"/>
        <v/>
      </c>
      <c r="L123" s="51"/>
      <c r="M123" s="51"/>
      <c r="N123" s="52"/>
      <c r="O123" s="50" t="str">
        <f t="shared" si="185"/>
        <v/>
      </c>
      <c r="P123" s="51"/>
      <c r="Q123" s="51"/>
      <c r="R123" s="52"/>
      <c r="S123" s="50" t="str">
        <f t="shared" si="186"/>
        <v/>
      </c>
      <c r="T123" s="51"/>
      <c r="U123" s="51"/>
      <c r="V123" s="52"/>
      <c r="W123" s="50" t="str">
        <f t="shared" si="187"/>
        <v/>
      </c>
      <c r="X123" s="51"/>
      <c r="Y123" s="51"/>
      <c r="Z123" s="52"/>
      <c r="AA123" s="50" t="str">
        <f t="shared" si="188"/>
        <v/>
      </c>
      <c r="AB123" s="51"/>
      <c r="AC123" s="51"/>
      <c r="AD123" s="52"/>
      <c r="AE123" s="53">
        <f t="shared" si="189"/>
        <v>0</v>
      </c>
      <c r="AF123" s="93">
        <f t="shared" si="190"/>
        <v>0</v>
      </c>
      <c r="AG123" s="94">
        <f t="shared" si="191"/>
        <v>0</v>
      </c>
      <c r="AH123" s="76" t="str">
        <f t="shared" si="192"/>
        <v/>
      </c>
      <c r="AI123" s="95">
        <f> ( IF(ISNUMBER(G123), VLOOKUP(G123/$AH123,F!$A1:$B101,2,1)*G123*$H123*$I123,0)+IF(ISNUMBER(K123), VLOOKUP(K123/$AH123,F!$A1:$B101,2,1)*K123*$L123*$M123,0)+IF(ISNUMBER(O123), VLOOKUP(O123/$AH123,F!$A1:$B101,2,1)*O123*$P123*$Q123,0)+IF(ISNUMBER(S123), VLOOKUP(S123/$AH123,F!$A1:$B101,2,1)*S123*$T123*$U123,0)+IF(ISNUMBER(W123), VLOOKUP(W123/$AH123,F!$A1:$B101,2,1)*W123*$X123*$Y123,0)+IF(ISNUMBER(AA123), VLOOKUP(AA123/$AH123,F!$A1:$B101,2,1)*AA123*$AB123*$AC123,0))*IF(ISNUMBER(F123),F123,1)*IF(ISNUMBER(E123),E123,1)</f>
        <v>0</v>
      </c>
      <c r="AJ123" s="96">
        <f t="shared" si="193"/>
        <v>0</v>
      </c>
      <c r="AK123" s="97">
        <f t="array" ref="AK123">IFERROR(I123*INDEX(F!$P$21:$AB$33, MATCH(G123/$AH123, F!$O$21:$O$33,1), MATCH(E123, F!$P$20:$AB$20,1)), 0 ) +IFERROR( M123*INDEX(F!$P$21:$AB$33, MATCH(K123/$AH123, F!$O$21:$O$33,1), MATCH(E123, F!$P$20:$AB$20,1)),0) +  IFERROR( Q123*INDEX(F!$P$21:$AB$33, MATCH(O123/$AH123, F!$O$21:$O$33,1), MATCH(E123, F!$P$20:$AB$20,1)), 0) + IFERROR( U123*INDEX(F!$P$21:$AB$33, MATCH(S123/$AH123, F!$O$21:$O$33,1), MATCH(E123, F!$P$20:$AB$20,1)),0)  + IFERROR(Y123*INDEX(F!$P$21:$AB$33, MATCH(W123/$AH123, F!$O$21:$O$33,1), MATCH(E123, F!$P$20:$AB$20,1)),0)  + IFERROR( AC123*INDEX(F!$P$21:$AB$33, MATCH(AA123/$AH123, F!$O$21:$O$33,1), MATCH(E123, F!$P$20:$AB$20,1)),)</f>
        <v>0</v>
      </c>
      <c r="AL123" s="59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ht="15.75" customHeight="1">
      <c r="A124" s="98"/>
      <c r="B124" s="99"/>
      <c r="C124" s="100"/>
      <c r="D124" s="101"/>
      <c r="E124" s="102">
        <f>ROUND(IFERROR(SUMPRODUCT(AJ116:AJ123,E116:E123)/AJ124,0),3)</f>
        <v>0.88</v>
      </c>
      <c r="F124" s="199"/>
      <c r="G124" s="104"/>
      <c r="H124" s="105"/>
      <c r="I124" s="105"/>
      <c r="J124" s="106"/>
      <c r="K124" s="104"/>
      <c r="L124" s="105"/>
      <c r="M124" s="105"/>
      <c r="N124" s="106"/>
      <c r="O124" s="104"/>
      <c r="P124" s="105"/>
      <c r="Q124" s="105"/>
      <c r="R124" s="106"/>
      <c r="S124" s="104"/>
      <c r="T124" s="105"/>
      <c r="U124" s="105"/>
      <c r="V124" s="106"/>
      <c r="W124" s="104"/>
      <c r="X124" s="105"/>
      <c r="Y124" s="105"/>
      <c r="Z124" s="106"/>
      <c r="AA124" s="104"/>
      <c r="AB124" s="105"/>
      <c r="AC124" s="105"/>
      <c r="AD124" s="106"/>
      <c r="AE124" s="107">
        <f>SUM(AE116:AE123)</f>
        <v>4872.5</v>
      </c>
      <c r="AF124" s="108">
        <f t="shared" si="190"/>
        <v>57.32352941</v>
      </c>
      <c r="AG124" s="109">
        <f>IFERROR(  SUMPRODUCT(AG116:AG123,AJ116:AJ123)/AJ124,0)</f>
        <v>0.6390087093</v>
      </c>
      <c r="AH124" s="157"/>
      <c r="AI124" s="111">
        <f t="shared" ref="AI124:AJ124" si="200">SUM(AI116:AI123)</f>
        <v>4141.2</v>
      </c>
      <c r="AJ124" s="111">
        <f t="shared" si="200"/>
        <v>85</v>
      </c>
      <c r="AK124" s="112">
        <f>IF(SUM(AK116:AK123)=0,TIME(,0,),TIME(,SUM(AK116:AK123)+F!$V$37,))</f>
        <v>0.07291666667</v>
      </c>
      <c r="AL124" s="98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ht="15.75" customHeight="1">
      <c r="A125" s="113">
        <f>A126</f>
        <v>43796</v>
      </c>
      <c r="B125" s="114" t="str">
        <f t="shared" ref="B125:F125" si="201">IF(B69="","",B69)</f>
        <v>Тяжелая</v>
      </c>
      <c r="C125" s="115" t="str">
        <f t="shared" si="201"/>
        <v>ТГ</v>
      </c>
      <c r="D125" s="116" t="str">
        <f t="shared" si="201"/>
        <v>Становая тяга</v>
      </c>
      <c r="E125" s="29">
        <f t="shared" si="201"/>
        <v>1.4</v>
      </c>
      <c r="F125" s="117" t="str">
        <f t="shared" si="201"/>
        <v/>
      </c>
      <c r="G125" s="118">
        <f t="shared" ref="G125:G129" si="203">IF(J125&lt;&gt;0, IFERROR(IF( $F125=2,  MROUND($AH125*J125,1),    IF( OR($F125="",$F125=1),   MROUND($AH125*J125,2.5),  MROUND($AH125*J125, 0.1))), "" ), "")</f>
        <v>115</v>
      </c>
      <c r="H125" s="119">
        <v>4.0</v>
      </c>
      <c r="I125" s="119">
        <v>1.0</v>
      </c>
      <c r="J125" s="120">
        <v>0.6</v>
      </c>
      <c r="K125" s="118">
        <f t="shared" ref="K125:K132" si="204">IF(N125&lt;&gt;0, IFERROR(IF( $F125=2,  MROUND($AH125*N125,1),    IF( OR($F125="",$F125=1),   MROUND($AH125*N125,2.5),  MROUND($AH125*N125, 0.1))), "" ), "")</f>
        <v>135</v>
      </c>
      <c r="L125" s="119">
        <v>3.0</v>
      </c>
      <c r="M125" s="119">
        <v>5.0</v>
      </c>
      <c r="N125" s="120">
        <v>0.7</v>
      </c>
      <c r="O125" s="118" t="str">
        <f t="shared" ref="O125:O132" si="205">IF(R125&lt;&gt;0, IFERROR(IF( $F125=2,  MROUND($AH125*R125,1),    IF( OR($F125="",$F125=1),   MROUND($AH125*R125,2.5),  MROUND($AH125*R125, 0.1))), "" ), "")</f>
        <v/>
      </c>
      <c r="P125" s="119"/>
      <c r="Q125" s="119"/>
      <c r="R125" s="120"/>
      <c r="S125" s="118" t="str">
        <f t="shared" ref="S125:S132" si="206">IF(V125&lt;&gt;0, IFERROR(IF( $F125=2,  MROUND($AH125*V125,1),    IF( OR($F125="",$F125=1),   MROUND($AH125*V125,2.5),  MROUND($AH125*V125, 0.1))), "" ), "")</f>
        <v/>
      </c>
      <c r="T125" s="119"/>
      <c r="U125" s="119"/>
      <c r="V125" s="120"/>
      <c r="W125" s="118" t="str">
        <f t="shared" ref="W125:W132" si="207">IF(Z125&lt;&gt;0, IFERROR(IF( $F125=2,  MROUND($AH125*Z125,1),    IF( OR($F125="",$F125=1),   MROUND($AH125*Z125,2.5),  MROUND($AH125*Z125, 0.1))), "" ), "")</f>
        <v/>
      </c>
      <c r="X125" s="119"/>
      <c r="Y125" s="119"/>
      <c r="Z125" s="120"/>
      <c r="AA125" s="118" t="str">
        <f t="shared" ref="AA125:AA132" si="208">IF(AD125&lt;&gt;0, IFERROR(IF( $F125=2,  MROUND($AH125*AD125,1),    IF( OR($F125="",$F125=1),   MROUND($AH125*AD125,2.5),  MROUND($AH125*AD125, 0.1))), "" ), "")</f>
        <v/>
      </c>
      <c r="AB125" s="119"/>
      <c r="AC125" s="119"/>
      <c r="AD125" s="120"/>
      <c r="AE125" s="121">
        <f t="shared" ref="AE125:AE132" si="209">(IF(ISNUMBER(G125),G125,0)*H125*I125+IF(ISNUMBER(K125),K125,1)*L125*M125+IF(ISNUMBER(O125),O125,1)*P125*Q125+IF(ISNUMBER(S125),S125,1)*T125*U125+IF(ISNUMBER(W125),W125,1)*X125*Y125+IF(ISNUMBER(AA125),AA125,1)*AB125*AC125)*IF(ISNUMBER(F125),F125,1)</f>
        <v>2485</v>
      </c>
      <c r="AF125" s="122">
        <f t="shared" si="190"/>
        <v>130.7894737</v>
      </c>
      <c r="AG125" s="200">
        <f t="shared" ref="AG125:AG132" si="210">IFERROR((AF125/(AH125*IF(ISNUMBER(F125),F125,1))),0)</f>
        <v>0.6795176163</v>
      </c>
      <c r="AH125" s="169">
        <f t="shared" ref="AH125:AH132" si="211">IF(ISNUMBER(AH69), AH69+(AH69*$AH$114),"")</f>
        <v>192.474</v>
      </c>
      <c r="AI125" s="122">
        <f> ( IF(ISNUMBER(G125), VLOOKUP(G125/$AH125,F!$A1:$B101,2,1)*G125*$H125*$I125,0)+IF(ISNUMBER(K125), VLOOKUP(K125/$AH125,F!$A1:$B101,2,1)*K125*$L125*$M125,0)+IF(ISNUMBER(O125), VLOOKUP(O125/$AH125,F!$A1:$B101,2,1)*O125*$P125*$Q125,0)+IF(ISNUMBER(S125), VLOOKUP(S125/$AH125,F!$A1:$B101,2,1)*S125*$T125*$U125,0)+IF(ISNUMBER(W125), VLOOKUP(W125/$AH125,F!$A1:$B101,2,1)*W125*$X125*$Y125,0)+IF(ISNUMBER(AA125), VLOOKUP(AA125/$AH125,F!$A1:$B101,2,1)*AA125*$AB125*$AC125,0))*IF(ISNUMBER(F125),F125,1)*IF(ISNUMBER(E125),E125,1)</f>
        <v>2989.42</v>
      </c>
      <c r="AJ125" s="119">
        <f t="shared" ref="AJ125:AJ132" si="212">H125*I125+L125*M125+P125*Q125+T125*U125+X125*Y125+AB125*AC125</f>
        <v>19</v>
      </c>
      <c r="AK125" s="125">
        <f t="array" ref="AK125">IFERROR(I125*INDEX(F!$P$21:$AB$33, MATCH(G125/$AH125, F!$O$21:$O$33,1), MATCH(E125, F!$P$20:$AB$20,1)), 0 ) +IFERROR( M125*INDEX(F!$P$21:$AB$33, MATCH(K125/$AH125, F!$O$21:$O$33,1), MATCH(E125, F!$P$20:$AB$20,1)),0) +  IFERROR( Q125*INDEX(F!$P$21:$AB$33, MATCH(O125/$AH125, F!$O$21:$O$33,1), MATCH(E125, F!$P$20:$AB$20,1)), 0) + IFERROR( U125*INDEX(F!$P$21:$AB$33, MATCH(S125/$AH125, F!$O$21:$O$33,1), MATCH(E125, F!$P$20:$AB$20,1)),0)  + IFERROR(Y125*INDEX(F!$P$21:$AB$33, MATCH(W125/$AH125, F!$O$21:$O$33,1), MATCH(E125, F!$P$20:$AB$20,1)),0)  + IFERROR( AC125*INDEX(F!$P$21:$AB$33, MATCH(AA125/$AH125, F!$O$21:$O$33,1), MATCH(E125, F!$P$20:$AB$20,1)),)</f>
        <v>32</v>
      </c>
      <c r="AL125" s="42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ht="15.0" customHeight="1">
      <c r="A126" s="44">
        <f>A70+A58</f>
        <v>43796</v>
      </c>
      <c r="B126" s="126" t="s">
        <v>24</v>
      </c>
      <c r="C126" s="127" t="str">
        <f t="shared" ref="C126:F126" si="202">IF(C70="","",C70)</f>
        <v>ЖМ</v>
      </c>
      <c r="D126" s="128" t="str">
        <f t="shared" si="202"/>
        <v>Жим лежа</v>
      </c>
      <c r="E126" s="48">
        <f t="shared" si="202"/>
        <v>1</v>
      </c>
      <c r="F126" s="129" t="str">
        <f t="shared" si="202"/>
        <v/>
      </c>
      <c r="G126" s="130">
        <f t="shared" si="203"/>
        <v>60</v>
      </c>
      <c r="H126" s="34">
        <v>5.0</v>
      </c>
      <c r="I126" s="34">
        <v>3.0</v>
      </c>
      <c r="J126" s="65">
        <v>0.6</v>
      </c>
      <c r="K126" s="130" t="str">
        <f t="shared" si="204"/>
        <v/>
      </c>
      <c r="L126" s="34"/>
      <c r="M126" s="34"/>
      <c r="N126" s="65"/>
      <c r="O126" s="130" t="str">
        <f t="shared" si="205"/>
        <v/>
      </c>
      <c r="P126" s="34"/>
      <c r="Q126" s="34"/>
      <c r="R126" s="65"/>
      <c r="S126" s="130" t="str">
        <f t="shared" si="206"/>
        <v/>
      </c>
      <c r="T126" s="34"/>
      <c r="U126" s="34"/>
      <c r="V126" s="65"/>
      <c r="W126" s="130" t="str">
        <f t="shared" si="207"/>
        <v/>
      </c>
      <c r="X126" s="34"/>
      <c r="Y126" s="34"/>
      <c r="Z126" s="65"/>
      <c r="AA126" s="130" t="str">
        <f t="shared" si="208"/>
        <v/>
      </c>
      <c r="AB126" s="34"/>
      <c r="AC126" s="34"/>
      <c r="AD126" s="65"/>
      <c r="AE126" s="131">
        <f t="shared" si="209"/>
        <v>900</v>
      </c>
      <c r="AF126" s="132">
        <f t="shared" si="190"/>
        <v>60</v>
      </c>
      <c r="AG126" s="133">
        <f t="shared" si="210"/>
        <v>0.6070539671</v>
      </c>
      <c r="AH126" s="76">
        <f t="shared" si="211"/>
        <v>98.838</v>
      </c>
      <c r="AI126" s="132">
        <f> ( IF(ISNUMBER(G126), VLOOKUP(G126/$AH126,F!$A1:$B101,2,1)*G126*$H126*$I126,0)+IF(ISNUMBER(K126), VLOOKUP(K126/$AH126,F!$A1:$B101,2,1)*K126*$L126*$M126,0)+IF(ISNUMBER(O126), VLOOKUP(O126/$AH126,F!$A1:$B101,2,1)*O126*$P126*$Q126,0)+IF(ISNUMBER(S126), VLOOKUP(S126/$AH126,F!$A1:$B101,2,1)*S126*$T126*$U126,0)+IF(ISNUMBER(W126), VLOOKUP(W126/$AH126,F!$A1:$B101,2,1)*W126*$X126*$Y126,0)+IF(ISNUMBER(AA126), VLOOKUP(AA126/$AH126,F!$A1:$B101,2,1)*AA126*$AB126*$AC126,0))*IF(ISNUMBER(F126),F126,1)*IF(ISNUMBER(E126),E126,1)</f>
        <v>630</v>
      </c>
      <c r="AJ126" s="34">
        <f t="shared" si="212"/>
        <v>15</v>
      </c>
      <c r="AK126" s="134">
        <f t="array" ref="AK126">IFERROR(I126*INDEX(F!$P$21:$AB$33, MATCH(G126/$AH126, F!$O$21:$O$33,1), MATCH(E126, F!$P$20:$AB$20,1)), 0 ) +IFERROR( M126*INDEX(F!$P$21:$AB$33, MATCH(K126/$AH126, F!$O$21:$O$33,1), MATCH(E126, F!$P$20:$AB$20,1)),0) +  IFERROR( Q126*INDEX(F!$P$21:$AB$33, MATCH(O126/$AH126, F!$O$21:$O$33,1), MATCH(E126, F!$P$20:$AB$20,1)), 0) + IFERROR( U126*INDEX(F!$P$21:$AB$33, MATCH(S126/$AH126, F!$O$21:$O$33,1), MATCH(E126, F!$P$20:$AB$20,1)),0)  + IFERROR(Y126*INDEX(F!$P$21:$AB$33, MATCH(W126/$AH126, F!$O$21:$O$33,1), MATCH(E126, F!$P$20:$AB$20,1)),0)  + IFERROR( AC126*INDEX(F!$P$21:$AB$33, MATCH(AA126/$AH126, F!$O$21:$O$33,1), MATCH(E126, F!$P$20:$AB$20,1)),)</f>
        <v>9</v>
      </c>
      <c r="AL126" s="59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ht="15.75" customHeight="1">
      <c r="A127" s="59"/>
      <c r="B127" s="135" t="s">
        <v>26</v>
      </c>
      <c r="C127" s="136" t="str">
        <f t="shared" ref="C127:F127" si="213">IF(C71="","",C71)</f>
        <v>ОФП</v>
      </c>
      <c r="D127" s="137" t="str">
        <f t="shared" si="213"/>
        <v>Наклоны со штангой</v>
      </c>
      <c r="E127" s="48">
        <f t="shared" si="213"/>
        <v>0.8</v>
      </c>
      <c r="F127" s="138" t="str">
        <f t="shared" si="213"/>
        <v/>
      </c>
      <c r="G127" s="139">
        <f t="shared" si="203"/>
        <v>42.5</v>
      </c>
      <c r="H127" s="140">
        <v>6.0</v>
      </c>
      <c r="I127" s="140">
        <v>3.0</v>
      </c>
      <c r="J127" s="141">
        <v>0.4</v>
      </c>
      <c r="K127" s="139" t="str">
        <f t="shared" si="204"/>
        <v/>
      </c>
      <c r="L127" s="140"/>
      <c r="M127" s="140"/>
      <c r="N127" s="141"/>
      <c r="O127" s="139" t="str">
        <f t="shared" si="205"/>
        <v/>
      </c>
      <c r="P127" s="140"/>
      <c r="Q127" s="140"/>
      <c r="R127" s="141"/>
      <c r="S127" s="139" t="str">
        <f t="shared" si="206"/>
        <v/>
      </c>
      <c r="T127" s="140"/>
      <c r="U127" s="140"/>
      <c r="V127" s="141"/>
      <c r="W127" s="139" t="str">
        <f t="shared" si="207"/>
        <v/>
      </c>
      <c r="X127" s="140"/>
      <c r="Y127" s="140"/>
      <c r="Z127" s="141"/>
      <c r="AA127" s="139" t="str">
        <f t="shared" si="208"/>
        <v/>
      </c>
      <c r="AB127" s="140"/>
      <c r="AC127" s="140"/>
      <c r="AD127" s="141"/>
      <c r="AE127" s="142">
        <f t="shared" si="209"/>
        <v>765</v>
      </c>
      <c r="AF127" s="143">
        <f t="shared" si="190"/>
        <v>42.5</v>
      </c>
      <c r="AG127" s="144">
        <f t="shared" si="210"/>
        <v>0.4014709897</v>
      </c>
      <c r="AH127" s="76">
        <f t="shared" si="211"/>
        <v>105.8607</v>
      </c>
      <c r="AI127" s="143">
        <f> ( IF(ISNUMBER(G127), VLOOKUP(G127/$AH127,F!$A1:$B101,2,1)*G127*$H127*$I127,0)+IF(ISNUMBER(K127), VLOOKUP(K127/$AH127,F!$A1:$B101,2,1)*K127*$L127*$M127,0)+IF(ISNUMBER(O127), VLOOKUP(O127/$AH127,F!$A1:$B101,2,1)*O127*$P127*$Q127,0)+IF(ISNUMBER(S127), VLOOKUP(S127/$AH127,F!$A1:$B101,2,1)*S127*$T127*$U127,0)+IF(ISNUMBER(W127), VLOOKUP(W127/$AH127,F!$A1:$B101,2,1)*W127*$X127*$Y127,0)+IF(ISNUMBER(AA127), VLOOKUP(AA127/$AH127,F!$A1:$B101,2,1)*AA127*$AB127*$AC127,0))*IF(ISNUMBER(F127),F127,1)*IF(ISNUMBER(E127),E127,1)</f>
        <v>195.84</v>
      </c>
      <c r="AJ127" s="140">
        <f t="shared" si="212"/>
        <v>18</v>
      </c>
      <c r="AK127" s="145">
        <f t="array" ref="AK127">IFERROR(I127*INDEX(F!$P$21:$AB$33, MATCH(G127/$AH127, F!$O$21:$O$33,1), MATCH(E127, F!$P$20:$AB$20,1)), 0 ) +IFERROR( M127*INDEX(F!$P$21:$AB$33, MATCH(K127/$AH127, F!$O$21:$O$33,1), MATCH(E127, F!$P$20:$AB$20,1)),0) +  IFERROR( Q127*INDEX(F!$P$21:$AB$33, MATCH(O127/$AH127, F!$O$21:$O$33,1), MATCH(E127, F!$P$20:$AB$20,1)), 0) + IFERROR( U127*INDEX(F!$P$21:$AB$33, MATCH(S127/$AH127, F!$O$21:$O$33,1), MATCH(E127, F!$P$20:$AB$20,1)),0)  + IFERROR(Y127*INDEX(F!$P$21:$AB$33, MATCH(W127/$AH127, F!$O$21:$O$33,1), MATCH(E127, F!$P$20:$AB$20,1)),0)  + IFERROR( AC127*INDEX(F!$P$21:$AB$33, MATCH(AA127/$AH127, F!$O$21:$O$33,1), MATCH(E127, F!$P$20:$AB$20,1)),)</f>
        <v>5.4</v>
      </c>
      <c r="AL127" s="59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ht="14.25" customHeight="1">
      <c r="A128" s="59"/>
      <c r="B128" s="126" t="str">
        <f t="shared" ref="B128:F128" si="214">IF(B72="","",B72)</f>
        <v>Средняя</v>
      </c>
      <c r="C128" s="127" t="str">
        <f t="shared" si="214"/>
        <v>ОФП</v>
      </c>
      <c r="D128" s="128" t="str">
        <f t="shared" si="214"/>
        <v>Жим стоя</v>
      </c>
      <c r="E128" s="48">
        <f t="shared" si="214"/>
        <v>1</v>
      </c>
      <c r="F128" s="129" t="str">
        <f t="shared" si="214"/>
        <v/>
      </c>
      <c r="G128" s="130">
        <f t="shared" si="203"/>
        <v>32.5</v>
      </c>
      <c r="H128" s="34">
        <v>5.0</v>
      </c>
      <c r="I128" s="34">
        <v>1.0</v>
      </c>
      <c r="J128" s="65">
        <v>0.55</v>
      </c>
      <c r="K128" s="130">
        <f t="shared" si="204"/>
        <v>37.5</v>
      </c>
      <c r="L128" s="34">
        <v>4.0</v>
      </c>
      <c r="M128" s="34">
        <v>4.0</v>
      </c>
      <c r="N128" s="65">
        <v>0.65</v>
      </c>
      <c r="O128" s="130" t="str">
        <f t="shared" si="205"/>
        <v/>
      </c>
      <c r="P128" s="34"/>
      <c r="Q128" s="34"/>
      <c r="R128" s="65"/>
      <c r="S128" s="130" t="str">
        <f t="shared" si="206"/>
        <v/>
      </c>
      <c r="T128" s="34"/>
      <c r="U128" s="34"/>
      <c r="V128" s="65"/>
      <c r="W128" s="130" t="str">
        <f t="shared" si="207"/>
        <v/>
      </c>
      <c r="X128" s="34"/>
      <c r="Y128" s="34"/>
      <c r="Z128" s="65"/>
      <c r="AA128" s="130" t="str">
        <f t="shared" si="208"/>
        <v/>
      </c>
      <c r="AB128" s="34"/>
      <c r="AC128" s="34"/>
      <c r="AD128" s="65"/>
      <c r="AE128" s="131">
        <f t="shared" si="209"/>
        <v>762.5</v>
      </c>
      <c r="AF128" s="132">
        <f t="shared" si="190"/>
        <v>36.30952381</v>
      </c>
      <c r="AG128" s="133">
        <f t="shared" si="210"/>
        <v>0.6122733464</v>
      </c>
      <c r="AH128" s="76">
        <f t="shared" si="211"/>
        <v>59.3028</v>
      </c>
      <c r="AI128" s="132">
        <f> ( IF(ISNUMBER(G128), VLOOKUP(G128/$AH128,F!$A1:$B101,2,1)*G128*$H128*$I128,0)+IF(ISNUMBER(K128), VLOOKUP(K128/$AH128,F!$A1:$B101,2,1)*K128*$L128*$M128,0)+IF(ISNUMBER(O128), VLOOKUP(O128/$AH128,F!$A1:$B101,2,1)*O128*$P128*$Q128,0)+IF(ISNUMBER(S128), VLOOKUP(S128/$AH128,F!$A1:$B101,2,1)*S128*$T128*$U128,0)+IF(ISNUMBER(W128), VLOOKUP(W128/$AH128,F!$A1:$B101,2,1)*W128*$X128*$Y128,0)+IF(ISNUMBER(AA128), VLOOKUP(AA128/$AH128,F!$A1:$B101,2,1)*AA128*$AB128*$AC128,0))*IF(ISNUMBER(F128),F128,1)*IF(ISNUMBER(E128),E128,1)</f>
        <v>541</v>
      </c>
      <c r="AJ128" s="34">
        <f t="shared" si="212"/>
        <v>21</v>
      </c>
      <c r="AK128" s="134">
        <f t="array" ref="AK128">IFERROR(I128*INDEX(F!$P$21:$AB$33, MATCH(G128/$AH128, F!$O$21:$O$33,1), MATCH(E128, F!$P$20:$AB$20,1)), 0 ) +IFERROR( M128*INDEX(F!$P$21:$AB$33, MATCH(K128/$AH128, F!$O$21:$O$33,1), MATCH(E128, F!$P$20:$AB$20,1)),0) +  IFERROR( Q128*INDEX(F!$P$21:$AB$33, MATCH(O128/$AH128, F!$O$21:$O$33,1), MATCH(E128, F!$P$20:$AB$20,1)), 0) + IFERROR( U128*INDEX(F!$P$21:$AB$33, MATCH(S128/$AH128, F!$O$21:$O$33,1), MATCH(E128, F!$P$20:$AB$20,1)),0)  + IFERROR(Y128*INDEX(F!$P$21:$AB$33, MATCH(W128/$AH128, F!$O$21:$O$33,1), MATCH(E128, F!$P$20:$AB$20,1)),0)  + IFERROR( AC128*INDEX(F!$P$21:$AB$33, MATCH(AA128/$AH128, F!$O$21:$O$33,1), MATCH(E128, F!$P$20:$AB$20,1)),)</f>
        <v>14</v>
      </c>
      <c r="AL128" s="59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ht="15.75" customHeight="1">
      <c r="A129" s="59"/>
      <c r="B129" s="135" t="str">
        <f t="shared" ref="B129:F129" si="215">IF(B73="","",B73)</f>
        <v>Тяжелая</v>
      </c>
      <c r="C129" s="136" t="str">
        <f t="shared" si="215"/>
        <v>ЖМ</v>
      </c>
      <c r="D129" s="137" t="str">
        <f t="shared" si="215"/>
        <v>Жим средним хватом</v>
      </c>
      <c r="E129" s="48">
        <f t="shared" si="215"/>
        <v>1</v>
      </c>
      <c r="F129" s="138" t="str">
        <f t="shared" si="215"/>
        <v/>
      </c>
      <c r="G129" s="139">
        <f t="shared" si="203"/>
        <v>55</v>
      </c>
      <c r="H129" s="140">
        <v>4.0</v>
      </c>
      <c r="I129" s="140">
        <v>1.0</v>
      </c>
      <c r="J129" s="141">
        <v>0.65</v>
      </c>
      <c r="K129" s="139">
        <f t="shared" si="204"/>
        <v>62.5</v>
      </c>
      <c r="L129" s="140">
        <v>4.0</v>
      </c>
      <c r="M129" s="140">
        <v>4.0</v>
      </c>
      <c r="N129" s="141">
        <v>0.75</v>
      </c>
      <c r="O129" s="139" t="str">
        <f t="shared" si="205"/>
        <v/>
      </c>
      <c r="P129" s="140"/>
      <c r="Q129" s="140"/>
      <c r="R129" s="141"/>
      <c r="S129" s="139" t="str">
        <f t="shared" si="206"/>
        <v/>
      </c>
      <c r="T129" s="140"/>
      <c r="U129" s="140"/>
      <c r="V129" s="141"/>
      <c r="W129" s="139" t="str">
        <f t="shared" si="207"/>
        <v/>
      </c>
      <c r="X129" s="140"/>
      <c r="Y129" s="140"/>
      <c r="Z129" s="141"/>
      <c r="AA129" s="139" t="str">
        <f t="shared" si="208"/>
        <v/>
      </c>
      <c r="AB129" s="140"/>
      <c r="AC129" s="140"/>
      <c r="AD129" s="141"/>
      <c r="AE129" s="142">
        <f t="shared" si="209"/>
        <v>1220</v>
      </c>
      <c r="AF129" s="143">
        <f t="shared" si="190"/>
        <v>61</v>
      </c>
      <c r="AG129" s="144">
        <f t="shared" si="210"/>
        <v>0.7260841567</v>
      </c>
      <c r="AH129" s="76">
        <f t="shared" si="211"/>
        <v>84.0123</v>
      </c>
      <c r="AI129" s="143">
        <f> ( IF(ISNUMBER(G129), VLOOKUP(G129/$AH129,F!$A1:$B101,2,1)*G129*$H129*$I129,0)+IF(ISNUMBER(K129), VLOOKUP(K129/$AH129,F!$A1:$B101,2,1)*K129*$L129*$M129,0)+IF(ISNUMBER(O129), VLOOKUP(O129/$AH129,F!$A1:$B101,2,1)*O129*$P129*$Q129,0)+IF(ISNUMBER(S129), VLOOKUP(S129/$AH129,F!$A1:$B101,2,1)*S129*$T129*$U129,0)+IF(ISNUMBER(W129), VLOOKUP(W129/$AH129,F!$A1:$B101,2,1)*W129*$X129*$Y129,0)+IF(ISNUMBER(AA129), VLOOKUP(AA129/$AH129,F!$A1:$B101,2,1)*AA129*$AB129*$AC129,0))*IF(ISNUMBER(F129),F129,1)*IF(ISNUMBER(E129),E129,1)</f>
        <v>1316</v>
      </c>
      <c r="AJ129" s="140">
        <f t="shared" si="212"/>
        <v>20</v>
      </c>
      <c r="AK129" s="145">
        <f t="array" ref="AK129">IFERROR(I129*INDEX(F!$P$21:$AB$33, MATCH(G129/$AH129, F!$O$21:$O$33,1), MATCH(E129, F!$P$20:$AB$20,1)), 0 ) +IFERROR( M129*INDEX(F!$P$21:$AB$33, MATCH(K129/$AH129, F!$O$21:$O$33,1), MATCH(E129, F!$P$20:$AB$20,1)),0) +  IFERROR( Q129*INDEX(F!$P$21:$AB$33, MATCH(O129/$AH129, F!$O$21:$O$33,1), MATCH(E129, F!$P$20:$AB$20,1)), 0) + IFERROR( U129*INDEX(F!$P$21:$AB$33, MATCH(S129/$AH129, F!$O$21:$O$33,1), MATCH(E129, F!$P$20:$AB$20,1)),0)  + IFERROR(Y129*INDEX(F!$P$21:$AB$33, MATCH(W129/$AH129, F!$O$21:$O$33,1), MATCH(E129, F!$P$20:$AB$20,1)),0)  + IFERROR( AC129*INDEX(F!$P$21:$AB$33, MATCH(AA129/$AH129, F!$O$21:$O$33,1), MATCH(E129, F!$P$20:$AB$20,1)),)</f>
        <v>19</v>
      </c>
      <c r="AL129" s="59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ht="15.75" hidden="1" customHeight="1">
      <c r="A130" s="59"/>
      <c r="B130" s="126" t="str">
        <f t="shared" ref="B130:F130" si="216">IF(B74="","",B74)</f>
        <v/>
      </c>
      <c r="C130" s="127" t="str">
        <f t="shared" si="216"/>
        <v/>
      </c>
      <c r="D130" s="128" t="str">
        <f t="shared" si="216"/>
        <v/>
      </c>
      <c r="E130" s="48" t="str">
        <f t="shared" si="216"/>
        <v/>
      </c>
      <c r="F130" s="129" t="str">
        <f t="shared" si="216"/>
        <v/>
      </c>
      <c r="G130" s="130"/>
      <c r="H130" s="89"/>
      <c r="I130" s="89"/>
      <c r="J130" s="65"/>
      <c r="K130" s="130" t="str">
        <f t="shared" si="204"/>
        <v/>
      </c>
      <c r="L130" s="34"/>
      <c r="M130" s="34"/>
      <c r="N130" s="65"/>
      <c r="O130" s="130" t="str">
        <f t="shared" si="205"/>
        <v/>
      </c>
      <c r="P130" s="34"/>
      <c r="Q130" s="34"/>
      <c r="R130" s="65"/>
      <c r="S130" s="130" t="str">
        <f t="shared" si="206"/>
        <v/>
      </c>
      <c r="T130" s="34"/>
      <c r="U130" s="34"/>
      <c r="V130" s="65"/>
      <c r="W130" s="130" t="str">
        <f t="shared" si="207"/>
        <v/>
      </c>
      <c r="X130" s="34"/>
      <c r="Y130" s="34"/>
      <c r="Z130" s="65"/>
      <c r="AA130" s="130" t="str">
        <f t="shared" si="208"/>
        <v/>
      </c>
      <c r="AB130" s="34"/>
      <c r="AC130" s="34"/>
      <c r="AD130" s="65"/>
      <c r="AE130" s="131">
        <f t="shared" si="209"/>
        <v>0</v>
      </c>
      <c r="AF130" s="132">
        <f t="shared" si="190"/>
        <v>0</v>
      </c>
      <c r="AG130" s="133">
        <f t="shared" si="210"/>
        <v>0</v>
      </c>
      <c r="AH130" s="76" t="str">
        <f t="shared" si="211"/>
        <v/>
      </c>
      <c r="AI130" s="132">
        <f> ( IF(ISNUMBER(G130), VLOOKUP(G130/$AH130,F!$A1:$B101,2,1)*G130*$H130*$I130,0)+IF(ISNUMBER(K130), VLOOKUP(K130/$AH130,F!$A1:$B101,2,1)*K130*$L130*$M130,0)+IF(ISNUMBER(O130), VLOOKUP(O130/$AH130,F!$A1:$B101,2,1)*O130*$P130*$Q130,0)+IF(ISNUMBER(S130), VLOOKUP(S130/$AH130,F!$A1:$B101,2,1)*S130*$T130*$U130,0)+IF(ISNUMBER(W130), VLOOKUP(W130/$AH130,F!$A1:$B101,2,1)*W130*$X130*$Y130,0)+IF(ISNUMBER(AA130), VLOOKUP(AA130/$AH130,F!$A1:$B101,2,1)*AA130*$AB130*$AC130,0))*IF(ISNUMBER(F130),F130,1)*IF(ISNUMBER(E130),E130,1)</f>
        <v>0</v>
      </c>
      <c r="AJ130" s="34">
        <f t="shared" si="212"/>
        <v>0</v>
      </c>
      <c r="AK130" s="134">
        <f t="array" ref="AK130">IFERROR(I130*INDEX(F!$P$21:$AB$33, MATCH(G130/$AH130, F!$O$21:$O$33,1), MATCH(E130, F!$P$20:$AB$20,1)), 0 ) +IFERROR( M130*INDEX(F!$P$21:$AB$33, MATCH(K130/$AH130, F!$O$21:$O$33,1), MATCH(E130, F!$P$20:$AB$20,1)),0) +  IFERROR( Q130*INDEX(F!$P$21:$AB$33, MATCH(O130/$AH130, F!$O$21:$O$33,1), MATCH(E130, F!$P$20:$AB$20,1)), 0) + IFERROR( U130*INDEX(F!$P$21:$AB$33, MATCH(S130/$AH130, F!$O$21:$O$33,1), MATCH(E130, F!$P$20:$AB$20,1)),0)  + IFERROR(Y130*INDEX(F!$P$21:$AB$33, MATCH(W130/$AH130, F!$O$21:$O$33,1), MATCH(E130, F!$P$20:$AB$20,1)),0)  + IFERROR( AC130*INDEX(F!$P$21:$AB$33, MATCH(AA130/$AH130, F!$O$21:$O$33,1), MATCH(E130, F!$P$20:$AB$20,1)),)</f>
        <v>0</v>
      </c>
      <c r="AL130" s="59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ht="15.75" hidden="1" customHeight="1">
      <c r="A131" s="59"/>
      <c r="B131" s="135" t="str">
        <f t="shared" ref="B131:F131" si="217">IF(B75="","",B75)</f>
        <v/>
      </c>
      <c r="C131" s="136" t="str">
        <f t="shared" si="217"/>
        <v/>
      </c>
      <c r="D131" s="137" t="str">
        <f t="shared" si="217"/>
        <v/>
      </c>
      <c r="E131" s="48" t="str">
        <f t="shared" si="217"/>
        <v/>
      </c>
      <c r="F131" s="138" t="str">
        <f t="shared" si="217"/>
        <v/>
      </c>
      <c r="G131" s="148"/>
      <c r="H131" s="149"/>
      <c r="I131" s="149"/>
      <c r="J131" s="141"/>
      <c r="K131" s="139" t="str">
        <f t="shared" si="204"/>
        <v/>
      </c>
      <c r="L131" s="140"/>
      <c r="M131" s="140"/>
      <c r="N131" s="141"/>
      <c r="O131" s="139" t="str">
        <f t="shared" si="205"/>
        <v/>
      </c>
      <c r="P131" s="140"/>
      <c r="Q131" s="140"/>
      <c r="R131" s="141"/>
      <c r="S131" s="139" t="str">
        <f t="shared" si="206"/>
        <v/>
      </c>
      <c r="T131" s="140"/>
      <c r="U131" s="140"/>
      <c r="V131" s="141"/>
      <c r="W131" s="139" t="str">
        <f t="shared" si="207"/>
        <v/>
      </c>
      <c r="X131" s="140"/>
      <c r="Y131" s="140"/>
      <c r="Z131" s="141"/>
      <c r="AA131" s="139" t="str">
        <f t="shared" si="208"/>
        <v/>
      </c>
      <c r="AB131" s="140"/>
      <c r="AC131" s="140"/>
      <c r="AD131" s="141"/>
      <c r="AE131" s="142">
        <f t="shared" si="209"/>
        <v>0</v>
      </c>
      <c r="AF131" s="143">
        <f t="shared" si="190"/>
        <v>0</v>
      </c>
      <c r="AG131" s="144">
        <f t="shared" si="210"/>
        <v>0</v>
      </c>
      <c r="AH131" s="76" t="str">
        <f t="shared" si="211"/>
        <v/>
      </c>
      <c r="AI131" s="143">
        <f> ( IF(ISNUMBER(G131), VLOOKUP(G131/$AH131,F!$A1:$B101,2,1)*G131*$H131*$I131,0)+IF(ISNUMBER(K131), VLOOKUP(K131/$AH131,F!$A1:$B101,2,1)*K131*$L131*$M131,0)+IF(ISNUMBER(O131), VLOOKUP(O131/$AH131,F!$A1:$B101,2,1)*O131*$P131*$Q131,0)+IF(ISNUMBER(S131), VLOOKUP(S131/$AH131,F!$A1:$B101,2,1)*S131*$T131*$U131,0)+IF(ISNUMBER(W131), VLOOKUP(W131/$AH131,F!$A1:$B101,2,1)*W131*$X131*$Y131,0)+IF(ISNUMBER(AA131), VLOOKUP(AA131/$AH131,F!$A1:$B101,2,1)*AA131*$AB131*$AC131,0))*IF(ISNUMBER(F131),F131,1)*IF(ISNUMBER(E131),E131,1)</f>
        <v>0</v>
      </c>
      <c r="AJ131" s="140">
        <f t="shared" si="212"/>
        <v>0</v>
      </c>
      <c r="AK131" s="145">
        <f t="array" ref="AK131">IFERROR(I131*INDEX(F!$P$21:$AB$33, MATCH(G131/$AH131, F!$O$21:$O$33,1), MATCH(E131, F!$P$20:$AB$20,1)), 0 ) +IFERROR( M131*INDEX(F!$P$21:$AB$33, MATCH(K131/$AH131, F!$O$21:$O$33,1), MATCH(E131, F!$P$20:$AB$20,1)),0) +  IFERROR( Q131*INDEX(F!$P$21:$AB$33, MATCH(O131/$AH131, F!$O$21:$O$33,1), MATCH(E131, F!$P$20:$AB$20,1)), 0) + IFERROR( U131*INDEX(F!$P$21:$AB$33, MATCH(S131/$AH131, F!$O$21:$O$33,1), MATCH(E131, F!$P$20:$AB$20,1)),0)  + IFERROR(Y131*INDEX(F!$P$21:$AB$33, MATCH(W131/$AH131, F!$O$21:$O$33,1), MATCH(E131, F!$P$20:$AB$20,1)),0)  + IFERROR( AC131*INDEX(F!$P$21:$AB$33, MATCH(AA131/$AH131, F!$O$21:$O$33,1), MATCH(E131, F!$P$20:$AB$20,1)),)</f>
        <v>0</v>
      </c>
      <c r="AL131" s="59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ht="15.75" hidden="1" customHeight="1">
      <c r="A132" s="59"/>
      <c r="B132" s="126" t="str">
        <f t="shared" ref="B132:F132" si="218">IF(B76="","",B76)</f>
        <v/>
      </c>
      <c r="C132" s="127" t="str">
        <f t="shared" si="218"/>
        <v/>
      </c>
      <c r="D132" s="128" t="str">
        <f t="shared" si="218"/>
        <v/>
      </c>
      <c r="E132" s="48" t="str">
        <f t="shared" si="218"/>
        <v/>
      </c>
      <c r="F132" s="129" t="str">
        <f t="shared" si="218"/>
        <v/>
      </c>
      <c r="G132" s="130" t="str">
        <f>IF(J132&lt;&gt;0, IFERROR(IF( $F132=2,  MROUND($AH132*J132,1),    IF( OR($F132="",$F132=1),   MROUND($AH132*J132,2.5),  MROUND($AH132*J132, 0.1))), "" ), "")</f>
        <v/>
      </c>
      <c r="H132" s="34"/>
      <c r="I132" s="34"/>
      <c r="J132" s="65"/>
      <c r="K132" s="130" t="str">
        <f t="shared" si="204"/>
        <v/>
      </c>
      <c r="L132" s="34"/>
      <c r="M132" s="34"/>
      <c r="N132" s="65"/>
      <c r="O132" s="130" t="str">
        <f t="shared" si="205"/>
        <v/>
      </c>
      <c r="P132" s="34"/>
      <c r="Q132" s="34"/>
      <c r="R132" s="65"/>
      <c r="S132" s="130" t="str">
        <f t="shared" si="206"/>
        <v/>
      </c>
      <c r="T132" s="34"/>
      <c r="U132" s="34"/>
      <c r="V132" s="65"/>
      <c r="W132" s="130" t="str">
        <f t="shared" si="207"/>
        <v/>
      </c>
      <c r="X132" s="34"/>
      <c r="Y132" s="34"/>
      <c r="Z132" s="65"/>
      <c r="AA132" s="130" t="str">
        <f t="shared" si="208"/>
        <v/>
      </c>
      <c r="AB132" s="34"/>
      <c r="AC132" s="34"/>
      <c r="AD132" s="65"/>
      <c r="AE132" s="131">
        <f t="shared" si="209"/>
        <v>0</v>
      </c>
      <c r="AF132" s="132">
        <f t="shared" si="190"/>
        <v>0</v>
      </c>
      <c r="AG132" s="133">
        <f t="shared" si="210"/>
        <v>0</v>
      </c>
      <c r="AH132" s="76" t="str">
        <f t="shared" si="211"/>
        <v/>
      </c>
      <c r="AI132" s="132">
        <f> ( IF(ISNUMBER(G132), VLOOKUP(G132/$AH132,F!$A1:$B101,2,1)*G132*$H132*$I132,0)+IF(ISNUMBER(K132), VLOOKUP(K132/$AH132,F!$A1:$B101,2,1)*K132*$L132*$M132,0)+IF(ISNUMBER(O132), VLOOKUP(O132/$AH132,F!$A1:$B101,2,1)*O132*$P132*$Q132,0)+IF(ISNUMBER(S132), VLOOKUP(S132/$AH132,F!$A1:$B101,2,1)*S132*$T132*$U132,0)+IF(ISNUMBER(W132), VLOOKUP(W132/$AH132,F!$A1:$B101,2,1)*W132*$X132*$Y132,0)+IF(ISNUMBER(AA132), VLOOKUP(AA132/$AH132,F!$A1:$B101,2,1)*AA132*$AB132*$AC132,0))*IF(ISNUMBER(F132),F132,1)*IF(ISNUMBER(E132),E132,1)</f>
        <v>0</v>
      </c>
      <c r="AJ132" s="34">
        <f t="shared" si="212"/>
        <v>0</v>
      </c>
      <c r="AK132" s="134">
        <f t="array" ref="AK132">IFERROR(I132*INDEX(F!$P$21:$AB$33, MATCH(G132/$AH132, F!$O$21:$O$33,1), MATCH(E132, F!$P$20:$AB$20,1)), 0 ) +IFERROR( M132*INDEX(F!$P$21:$AB$33, MATCH(K132/$AH132, F!$O$21:$O$33,1), MATCH(E132, F!$P$20:$AB$20,1)),0) +  IFERROR( Q132*INDEX(F!$P$21:$AB$33, MATCH(O132/$AH132, F!$O$21:$O$33,1), MATCH(E132, F!$P$20:$AB$20,1)), 0) + IFERROR( U132*INDEX(F!$P$21:$AB$33, MATCH(S132/$AH132, F!$O$21:$O$33,1), MATCH(E132, F!$P$20:$AB$20,1)),0)  + IFERROR(Y132*INDEX(F!$P$21:$AB$33, MATCH(W132/$AH132, F!$O$21:$O$33,1), MATCH(E132, F!$P$20:$AB$20,1)),0)  + IFERROR( AC132*INDEX(F!$P$21:$AB$33, MATCH(AA132/$AH132, F!$O$21:$O$33,1), MATCH(E132, F!$P$20:$AB$20,1)),)</f>
        <v>0</v>
      </c>
      <c r="AL132" s="59"/>
      <c r="AM132" s="217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ht="15.75" customHeight="1">
      <c r="A133" s="98"/>
      <c r="B133" s="150"/>
      <c r="C133" s="151"/>
      <c r="D133" s="152"/>
      <c r="E133" s="102">
        <f>ROUND(IFERROR(SUMPRODUCT(AJ125:AJ132,E125:E132)/AJ133,0),3)</f>
        <v>1.043</v>
      </c>
      <c r="F133" s="153"/>
      <c r="G133" s="154"/>
      <c r="H133" s="155"/>
      <c r="I133" s="155"/>
      <c r="J133" s="156"/>
      <c r="K133" s="154"/>
      <c r="L133" s="155"/>
      <c r="M133" s="155"/>
      <c r="N133" s="156"/>
      <c r="O133" s="154"/>
      <c r="P133" s="155"/>
      <c r="Q133" s="155"/>
      <c r="R133" s="156"/>
      <c r="S133" s="154"/>
      <c r="T133" s="155"/>
      <c r="U133" s="155"/>
      <c r="V133" s="156"/>
      <c r="W133" s="154"/>
      <c r="X133" s="155"/>
      <c r="Y133" s="155"/>
      <c r="Z133" s="156"/>
      <c r="AA133" s="154"/>
      <c r="AB133" s="155"/>
      <c r="AC133" s="155"/>
      <c r="AD133" s="156"/>
      <c r="AE133" s="107">
        <f>SUM(AE125:AE132)</f>
        <v>6132.5</v>
      </c>
      <c r="AF133" s="108">
        <f t="shared" si="190"/>
        <v>65.94086022</v>
      </c>
      <c r="AG133" s="109">
        <f>IFERROR(  SUMPRODUCT(AG125:AG132,AJ125:AJ132)/AJ133,0)</f>
        <v>0.6088445746</v>
      </c>
      <c r="AH133" s="157"/>
      <c r="AI133" s="111">
        <f t="shared" ref="AI133:AJ133" si="219">SUM(AI125:AI132)</f>
        <v>5672.26</v>
      </c>
      <c r="AJ133" s="111">
        <f t="shared" si="219"/>
        <v>93</v>
      </c>
      <c r="AK133" s="112">
        <f>IF(SUM(AK125:AK132)=0,TIME(,0,),TIME(,SUM(AK125:AK132)+F!$V$37,))</f>
        <v>0.07569444444</v>
      </c>
      <c r="AL133" s="98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ht="15.75" customHeight="1">
      <c r="A134" s="158">
        <f>A135</f>
        <v>43798</v>
      </c>
      <c r="B134" s="159" t="str">
        <f t="shared" ref="B134:F134" si="220">IF(B78="","",B78)</f>
        <v>Тяжелая</v>
      </c>
      <c r="C134" s="160" t="str">
        <f t="shared" si="220"/>
        <v>ПР</v>
      </c>
      <c r="D134" s="161" t="str">
        <f t="shared" si="220"/>
        <v>Присед</v>
      </c>
      <c r="E134" s="29">
        <f t="shared" si="220"/>
        <v>1.2</v>
      </c>
      <c r="F134" s="162" t="str">
        <f t="shared" si="220"/>
        <v/>
      </c>
      <c r="G134" s="163">
        <f t="shared" ref="G134:G138" si="222">IF(J134&lt;&gt;0, IFERROR(IF( $F134=2,  MROUND($AH134*J134,1),    IF( OR($F134="",$F134=1),   MROUND($AH134*J134,2.5),  MROUND($AH134*J134, 0.1))), "" ), "")</f>
        <v>92.5</v>
      </c>
      <c r="H134" s="164">
        <v>3.0</v>
      </c>
      <c r="I134" s="164">
        <v>1.0</v>
      </c>
      <c r="J134" s="165">
        <v>0.65</v>
      </c>
      <c r="K134" s="163">
        <f t="shared" ref="K134:K141" si="223">IF(N134&lt;&gt;0, IFERROR(IF( $F134=2,  MROUND($AH134*N134,1),    IF( OR($F134="",$F134=1),   MROUND($AH134*N134,2.5),  MROUND($AH134*N134, 0.1))), "" ), "")</f>
        <v>105</v>
      </c>
      <c r="L134" s="164">
        <v>2.0</v>
      </c>
      <c r="M134" s="164">
        <v>2.0</v>
      </c>
      <c r="N134" s="165">
        <v>0.75</v>
      </c>
      <c r="O134" s="163">
        <f t="shared" ref="O134:O141" si="224">IF(R134&lt;&gt;0, IFERROR(IF( $F134=2,  MROUND($AH134*R134,1),    IF( OR($F134="",$F134=1),   MROUND($AH134*R134,2.5),  MROUND($AH134*R134, 0.1))), "" ), "")</f>
        <v>120</v>
      </c>
      <c r="P134" s="164">
        <v>1.0</v>
      </c>
      <c r="Q134" s="164">
        <v>2.0</v>
      </c>
      <c r="R134" s="165">
        <v>0.85</v>
      </c>
      <c r="S134" s="163" t="str">
        <f t="shared" ref="S134:S141" si="225">IF(V134&lt;&gt;0, IFERROR(IF( $F134=2,  MROUND($AH134*V134,1),    IF( OR($F134="",$F134=1),   MROUND($AH134*V134,2.5),  MROUND($AH134*V134, 0.1))), "" ), "")</f>
        <v/>
      </c>
      <c r="T134" s="164"/>
      <c r="U134" s="164"/>
      <c r="V134" s="165"/>
      <c r="W134" s="163" t="str">
        <f t="shared" ref="W134:W141" si="226">IF(Z134&lt;&gt;0, IFERROR(IF( $F134=2,  MROUND($AH134*Z134,1),    IF( OR($F134="",$F134=1),   MROUND($AH134*Z134,2.5),  MROUND($AH134*Z134, 0.1))), "" ), "")</f>
        <v/>
      </c>
      <c r="X134" s="164"/>
      <c r="Y134" s="164"/>
      <c r="Z134" s="165"/>
      <c r="AA134" s="163" t="str">
        <f t="shared" ref="AA134:AA141" si="227">IF(AD134&lt;&gt;0, IFERROR(IF( $F134=2,  MROUND($AH134*AD134,1),    IF( OR($F134="",$F134=1),   MROUND($AH134*AD134,2.5),  MROUND($AH134*AD134, 0.1))), "" ), "")</f>
        <v/>
      </c>
      <c r="AB134" s="164"/>
      <c r="AC134" s="164"/>
      <c r="AD134" s="165"/>
      <c r="AE134" s="166">
        <f t="shared" ref="AE134:AE141" si="228">(IF(ISNUMBER(G134),G134,0)*H134*I134+IF(ISNUMBER(K134),K134,1)*L134*M134+IF(ISNUMBER(O134),O134,1)*P134*Q134+IF(ISNUMBER(S134),S134,1)*T134*U134+IF(ISNUMBER(W134),W134,1)*X134*Y134+IF(ISNUMBER(AA134),AA134,1)*AB134*AC134)*IF(ISNUMBER(F134),F134,1)</f>
        <v>937.5</v>
      </c>
      <c r="AF134" s="167">
        <f t="shared" si="190"/>
        <v>104.1666667</v>
      </c>
      <c r="AG134" s="168">
        <f t="shared" ref="AG134:AG141" si="229">IFERROR((AF134/(AH134*IF(ISNUMBER(F134),F134,1))),0)</f>
        <v>0.7416425781</v>
      </c>
      <c r="AH134" s="169">
        <f t="shared" ref="AH134:AH141" si="230">IF(ISNUMBER(AH78), AH78+(AH78*$AH$114),"")</f>
        <v>140.454</v>
      </c>
      <c r="AI134" s="167">
        <f> ( IF(ISNUMBER(G134), VLOOKUP(G134/$AH134,F!$A1:$B101,2,1)*G134*$H134*$I134,0)+IF(ISNUMBER(K134), VLOOKUP(K134/$AH134,F!$A1:$B101,2,1)*K134*$L134*$M134,0)+IF(ISNUMBER(O134), VLOOKUP(O134/$AH134,F!$A1:$B101,2,1)*O134*$P134*$Q134,0)+IF(ISNUMBER(S134), VLOOKUP(S134/$AH134,F!$A1:$B101,2,1)*S134*$T134*$U134,0)+IF(ISNUMBER(W134), VLOOKUP(W134/$AH134,F!$A1:$B101,2,1)*W134*$X134*$Y134,0)+IF(ISNUMBER(AA134), VLOOKUP(AA134/$AH134,F!$A1:$B101,2,1)*AA134*$AB134*$AC134,0))*IF(ISNUMBER(F134),F134,1)*IF(ISNUMBER(E134),E134,1)</f>
        <v>1388.16</v>
      </c>
      <c r="AJ134" s="164">
        <f t="shared" ref="AJ134:AJ141" si="231">H134*I134+L134*M134+P134*Q134+T134*U134+X134*Y134+AB134*AC134</f>
        <v>9</v>
      </c>
      <c r="AK134" s="170">
        <f t="array" ref="AK134">IFERROR(I134*INDEX(F!$P$21:$AB$33, MATCH(G134/$AH134, F!$O$21:$O$33,1), MATCH(E134, F!$P$20:$AB$20,1)), 0 ) +IFERROR( M134*INDEX(F!$P$21:$AB$33, MATCH(K134/$AH134, F!$O$21:$O$33,1), MATCH(E134, F!$P$20:$AB$20,1)),0) +  IFERROR( Q134*INDEX(F!$P$21:$AB$33, MATCH(O134/$AH134, F!$O$21:$O$33,1), MATCH(E134, F!$P$20:$AB$20,1)), 0) + IFERROR( U134*INDEX(F!$P$21:$AB$33, MATCH(S134/$AH134, F!$O$21:$O$33,1), MATCH(E134, F!$P$20:$AB$20,1)),0)  + IFERROR(Y134*INDEX(F!$P$21:$AB$33, MATCH(W134/$AH134, F!$O$21:$O$33,1), MATCH(E134, F!$P$20:$AB$20,1)),0)  + IFERROR( AC134*INDEX(F!$P$21:$AB$33, MATCH(AA134/$AH134, F!$O$21:$O$33,1), MATCH(E134, F!$P$20:$AB$20,1)),)</f>
        <v>27</v>
      </c>
      <c r="AL134" s="42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ht="15.0" customHeight="1">
      <c r="A135" s="44">
        <f>A79+A58</f>
        <v>43798</v>
      </c>
      <c r="B135" s="135" t="str">
        <f t="shared" ref="B135:F135" si="221">IF(B79="","",B79)</f>
        <v>Тяжелая</v>
      </c>
      <c r="C135" s="136" t="str">
        <f t="shared" si="221"/>
        <v>ЖМ</v>
      </c>
      <c r="D135" s="137" t="str">
        <f t="shared" si="221"/>
        <v>Жим лежа</v>
      </c>
      <c r="E135" s="48">
        <f t="shared" si="221"/>
        <v>1</v>
      </c>
      <c r="F135" s="138" t="str">
        <f t="shared" si="221"/>
        <v/>
      </c>
      <c r="G135" s="139">
        <f t="shared" si="222"/>
        <v>60</v>
      </c>
      <c r="H135" s="140">
        <v>5.0</v>
      </c>
      <c r="I135" s="140">
        <v>1.0</v>
      </c>
      <c r="J135" s="141">
        <v>0.6</v>
      </c>
      <c r="K135" s="139">
        <f t="shared" si="223"/>
        <v>70</v>
      </c>
      <c r="L135" s="140">
        <v>5.0</v>
      </c>
      <c r="M135" s="140">
        <v>5.0</v>
      </c>
      <c r="N135" s="141">
        <v>0.7</v>
      </c>
      <c r="O135" s="139" t="str">
        <f t="shared" si="224"/>
        <v/>
      </c>
      <c r="P135" s="140"/>
      <c r="Q135" s="140"/>
      <c r="R135" s="141"/>
      <c r="S135" s="139" t="str">
        <f t="shared" si="225"/>
        <v/>
      </c>
      <c r="T135" s="140"/>
      <c r="U135" s="140"/>
      <c r="V135" s="141"/>
      <c r="W135" s="139" t="str">
        <f t="shared" si="226"/>
        <v/>
      </c>
      <c r="X135" s="140"/>
      <c r="Y135" s="140"/>
      <c r="Z135" s="141"/>
      <c r="AA135" s="139" t="str">
        <f t="shared" si="227"/>
        <v/>
      </c>
      <c r="AB135" s="140"/>
      <c r="AC135" s="140"/>
      <c r="AD135" s="141"/>
      <c r="AE135" s="142">
        <f t="shared" si="228"/>
        <v>2050</v>
      </c>
      <c r="AF135" s="143">
        <f t="shared" si="190"/>
        <v>68.33333333</v>
      </c>
      <c r="AG135" s="144">
        <f t="shared" si="229"/>
        <v>0.6913670181</v>
      </c>
      <c r="AH135" s="76">
        <f t="shared" si="230"/>
        <v>98.838</v>
      </c>
      <c r="AI135" s="143">
        <f> ( IF(ISNUMBER(G135), VLOOKUP(G135/$AH135,F!$A1:$B101,2,1)*G135*$H135*$I135,0)+IF(ISNUMBER(K135), VLOOKUP(K135/$AH135,F!$A1:$B101,2,1)*K135*$L135*$M135,0)+IF(ISNUMBER(O135), VLOOKUP(O135/$AH135,F!$A1:$B101,2,1)*O135*$P135*$Q135,0)+IF(ISNUMBER(S135), VLOOKUP(S135/$AH135,F!$A1:$B101,2,1)*S135*$T135*$U135,0)+IF(ISNUMBER(W135), VLOOKUP(W135/$AH135,F!$A1:$B101,2,1)*W135*$X135*$Y135,0)+IF(ISNUMBER(AA135), VLOOKUP(AA135/$AH135,F!$A1:$B101,2,1)*AA135*$AB135*$AC135,0))*IF(ISNUMBER(F135),F135,1)*IF(ISNUMBER(E135),E135,1)</f>
        <v>1785</v>
      </c>
      <c r="AJ135" s="140">
        <f t="shared" si="231"/>
        <v>30</v>
      </c>
      <c r="AK135" s="145">
        <f t="array" ref="AK135">IFERROR(I135*INDEX(F!$P$21:$AB$33, MATCH(G135/$AH135, F!$O$21:$O$33,1), MATCH(E135, F!$P$20:$AB$20,1)), 0 ) +IFERROR( M135*INDEX(F!$P$21:$AB$33, MATCH(K135/$AH135, F!$O$21:$O$33,1), MATCH(E135, F!$P$20:$AB$20,1)),0) +  IFERROR( Q135*INDEX(F!$P$21:$AB$33, MATCH(O135/$AH135, F!$O$21:$O$33,1), MATCH(E135, F!$P$20:$AB$20,1)), 0) + IFERROR( U135*INDEX(F!$P$21:$AB$33, MATCH(S135/$AH135, F!$O$21:$O$33,1), MATCH(E135, F!$P$20:$AB$20,1)),0)  + IFERROR(Y135*INDEX(F!$P$21:$AB$33, MATCH(W135/$AH135, F!$O$21:$O$33,1), MATCH(E135, F!$P$20:$AB$20,1)),0)  + IFERROR( AC135*INDEX(F!$P$21:$AB$33, MATCH(AA135/$AH135, F!$O$21:$O$33,1), MATCH(E135, F!$P$20:$AB$20,1)),)</f>
        <v>23</v>
      </c>
      <c r="AL135" s="59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ht="15.75" customHeight="1">
      <c r="A136" s="59"/>
      <c r="B136" s="173" t="str">
        <f t="shared" ref="B136:F136" si="232">IF(B80="","",B80)</f>
        <v>Тяжелая</v>
      </c>
      <c r="C136" s="174" t="str">
        <f t="shared" si="232"/>
        <v>ПР</v>
      </c>
      <c r="D136" s="175" t="str">
        <f t="shared" si="232"/>
        <v>Присед</v>
      </c>
      <c r="E136" s="48">
        <f t="shared" si="232"/>
        <v>1.2</v>
      </c>
      <c r="F136" s="176" t="str">
        <f t="shared" si="232"/>
        <v/>
      </c>
      <c r="G136" s="177">
        <f t="shared" si="222"/>
        <v>85</v>
      </c>
      <c r="H136" s="178">
        <v>3.0</v>
      </c>
      <c r="I136" s="178">
        <v>1.0</v>
      </c>
      <c r="J136" s="179">
        <v>0.6</v>
      </c>
      <c r="K136" s="177">
        <f t="shared" si="223"/>
        <v>97.5</v>
      </c>
      <c r="L136" s="178">
        <v>3.0</v>
      </c>
      <c r="M136" s="178">
        <v>3.0</v>
      </c>
      <c r="N136" s="179">
        <v>0.7</v>
      </c>
      <c r="O136" s="177">
        <f t="shared" si="224"/>
        <v>112.5</v>
      </c>
      <c r="P136" s="178">
        <v>1.0</v>
      </c>
      <c r="Q136" s="178">
        <v>3.0</v>
      </c>
      <c r="R136" s="179">
        <v>0.8</v>
      </c>
      <c r="S136" s="177" t="str">
        <f t="shared" si="225"/>
        <v/>
      </c>
      <c r="T136" s="178"/>
      <c r="U136" s="178"/>
      <c r="V136" s="179"/>
      <c r="W136" s="177" t="str">
        <f t="shared" si="226"/>
        <v/>
      </c>
      <c r="X136" s="178"/>
      <c r="Y136" s="178"/>
      <c r="Z136" s="179"/>
      <c r="AA136" s="177" t="str">
        <f t="shared" si="227"/>
        <v/>
      </c>
      <c r="AB136" s="178"/>
      <c r="AC136" s="178"/>
      <c r="AD136" s="179"/>
      <c r="AE136" s="180">
        <f t="shared" si="228"/>
        <v>1470</v>
      </c>
      <c r="AF136" s="181">
        <f t="shared" si="190"/>
        <v>98</v>
      </c>
      <c r="AG136" s="182">
        <f t="shared" si="229"/>
        <v>0.6977373375</v>
      </c>
      <c r="AH136" s="76">
        <f t="shared" si="230"/>
        <v>140.454</v>
      </c>
      <c r="AI136" s="181">
        <f> ( IF(ISNUMBER(G136), VLOOKUP(G136/$AH136,F!$A1:$B101,2,1)*G136*$H136*$I136,0)+IF(ISNUMBER(K136), VLOOKUP(K136/$AH136,F!$A1:$B101,2,1)*K136*$L136*$M136,0)+IF(ISNUMBER(O136), VLOOKUP(O136/$AH136,F!$A1:$B101,2,1)*O136*$P136*$Q136,0)+IF(ISNUMBER(S136), VLOOKUP(S136/$AH136,F!$A1:$B101,2,1)*S136*$T136*$U136,0)+IF(ISNUMBER(W136), VLOOKUP(W136/$AH136,F!$A1:$B101,2,1)*W136*$X136*$Y136,0)+IF(ISNUMBER(AA136), VLOOKUP(AA136/$AH136,F!$A1:$B101,2,1)*AA136*$AB136*$AC136,0))*IF(ISNUMBER(F136),F136,1)*IF(ISNUMBER(E136),E136,1)</f>
        <v>1771.02</v>
      </c>
      <c r="AJ136" s="178">
        <f t="shared" si="231"/>
        <v>15</v>
      </c>
      <c r="AK136" s="183">
        <f t="array" ref="AK136">IFERROR(I136*INDEX(F!$P$21:$AB$33, MATCH(G136/$AH136, F!$O$21:$O$33,1), MATCH(E136, F!$P$20:$AB$20,1)), 0 ) +IFERROR( M136*INDEX(F!$P$21:$AB$33, MATCH(K136/$AH136, F!$O$21:$O$33,1), MATCH(E136, F!$P$20:$AB$20,1)),0) +  IFERROR( Q136*INDEX(F!$P$21:$AB$33, MATCH(O136/$AH136, F!$O$21:$O$33,1), MATCH(E136, F!$P$20:$AB$20,1)), 0) + IFERROR( U136*INDEX(F!$P$21:$AB$33, MATCH(S136/$AH136, F!$O$21:$O$33,1), MATCH(E136, F!$P$20:$AB$20,1)),0)  + IFERROR(Y136*INDEX(F!$P$21:$AB$33, MATCH(W136/$AH136, F!$O$21:$O$33,1), MATCH(E136, F!$P$20:$AB$20,1)),0)  + IFERROR( AC136*INDEX(F!$P$21:$AB$33, MATCH(AA136/$AH136, F!$O$21:$O$33,1), MATCH(E136, F!$P$20:$AB$20,1)),)</f>
        <v>31</v>
      </c>
      <c r="AL136" s="59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ht="15.75" customHeight="1">
      <c r="A137" s="59"/>
      <c r="B137" s="135" t="s">
        <v>24</v>
      </c>
      <c r="C137" s="136" t="str">
        <f t="shared" ref="C137:F137" si="233">IF(C81="","",C81)</f>
        <v>ЖМ</v>
      </c>
      <c r="D137" s="137" t="str">
        <f t="shared" si="233"/>
        <v>Жим на наклонной скамье</v>
      </c>
      <c r="E137" s="48">
        <f t="shared" si="233"/>
        <v>1</v>
      </c>
      <c r="F137" s="138" t="str">
        <f t="shared" si="233"/>
        <v/>
      </c>
      <c r="G137" s="139">
        <f t="shared" si="222"/>
        <v>47.5</v>
      </c>
      <c r="H137" s="140">
        <v>5.0</v>
      </c>
      <c r="I137" s="140">
        <v>5.0</v>
      </c>
      <c r="J137" s="141">
        <v>0.6</v>
      </c>
      <c r="K137" s="139" t="str">
        <f t="shared" si="223"/>
        <v/>
      </c>
      <c r="L137" s="140"/>
      <c r="M137" s="140"/>
      <c r="N137" s="141"/>
      <c r="O137" s="139" t="str">
        <f t="shared" si="224"/>
        <v/>
      </c>
      <c r="P137" s="140"/>
      <c r="Q137" s="140"/>
      <c r="R137" s="141"/>
      <c r="S137" s="139" t="str">
        <f t="shared" si="225"/>
        <v/>
      </c>
      <c r="T137" s="140"/>
      <c r="U137" s="140"/>
      <c r="V137" s="141"/>
      <c r="W137" s="139" t="str">
        <f t="shared" si="226"/>
        <v/>
      </c>
      <c r="X137" s="140"/>
      <c r="Y137" s="140"/>
      <c r="Z137" s="141"/>
      <c r="AA137" s="139" t="str">
        <f t="shared" si="227"/>
        <v/>
      </c>
      <c r="AB137" s="140"/>
      <c r="AC137" s="140"/>
      <c r="AD137" s="141"/>
      <c r="AE137" s="142">
        <f t="shared" si="228"/>
        <v>1187.5</v>
      </c>
      <c r="AF137" s="143">
        <f t="shared" si="190"/>
        <v>47.5</v>
      </c>
      <c r="AG137" s="144">
        <f t="shared" si="229"/>
        <v>0.6007304883</v>
      </c>
      <c r="AH137" s="76">
        <f t="shared" si="230"/>
        <v>79.0704</v>
      </c>
      <c r="AI137" s="143">
        <f> ( IF(ISNUMBER(G137), VLOOKUP(G137/$AH137,F!$A1:$B101,2,1)*G137*$H137*$I137,0)+IF(ISNUMBER(K137), VLOOKUP(K137/$AH137,F!$A1:$B101,2,1)*K137*$L137*$M137,0)+IF(ISNUMBER(O137), VLOOKUP(O137/$AH137,F!$A1:$B101,2,1)*O137*$P137*$Q137,0)+IF(ISNUMBER(S137), VLOOKUP(S137/$AH137,F!$A1:$B101,2,1)*S137*$T137*$U137,0)+IF(ISNUMBER(W137), VLOOKUP(W137/$AH137,F!$A1:$B101,2,1)*W137*$X137*$Y137,0)+IF(ISNUMBER(AA137), VLOOKUP(AA137/$AH137,F!$A1:$B101,2,1)*AA137*$AB137*$AC137,0))*IF(ISNUMBER(F137),F137,1)*IF(ISNUMBER(E137),E137,1)</f>
        <v>831.25</v>
      </c>
      <c r="AJ137" s="140">
        <f t="shared" si="231"/>
        <v>25</v>
      </c>
      <c r="AK137" s="145">
        <f t="array" ref="AK137">IFERROR(I137*INDEX(F!$P$21:$AB$33, MATCH(G137/$AH137, F!$O$21:$O$33,1), MATCH(E137, F!$P$20:$AB$20,1)), 0 ) +IFERROR( M137*INDEX(F!$P$21:$AB$33, MATCH(K137/$AH137, F!$O$21:$O$33,1), MATCH(E137, F!$P$20:$AB$20,1)),0) +  IFERROR( Q137*INDEX(F!$P$21:$AB$33, MATCH(O137/$AH137, F!$O$21:$O$33,1), MATCH(E137, F!$P$20:$AB$20,1)), 0) + IFERROR( U137*INDEX(F!$P$21:$AB$33, MATCH(S137/$AH137, F!$O$21:$O$33,1), MATCH(E137, F!$P$20:$AB$20,1)),0)  + IFERROR(Y137*INDEX(F!$P$21:$AB$33, MATCH(W137/$AH137, F!$O$21:$O$33,1), MATCH(E137, F!$P$20:$AB$20,1)),0)  + IFERROR( AC137*INDEX(F!$P$21:$AB$33, MATCH(AA137/$AH137, F!$O$21:$O$33,1), MATCH(E137, F!$P$20:$AB$20,1)),)</f>
        <v>15</v>
      </c>
      <c r="AL137" s="59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ht="15.75" customHeight="1">
      <c r="A138" s="59"/>
      <c r="B138" s="173" t="s">
        <v>19</v>
      </c>
      <c r="C138" s="174" t="str">
        <f t="shared" ref="C138:F138" si="234">IF(C82="","",C82)</f>
        <v>ОФП</v>
      </c>
      <c r="D138" s="175" t="str">
        <f t="shared" si="234"/>
        <v>Бицепс стоя</v>
      </c>
      <c r="E138" s="48">
        <f t="shared" si="234"/>
        <v>0.5</v>
      </c>
      <c r="F138" s="176" t="str">
        <f t="shared" si="234"/>
        <v/>
      </c>
      <c r="G138" s="177">
        <f t="shared" si="222"/>
        <v>0</v>
      </c>
      <c r="H138" s="178">
        <v>5.0</v>
      </c>
      <c r="I138" s="178">
        <v>1.0</v>
      </c>
      <c r="J138" s="179">
        <v>0.5</v>
      </c>
      <c r="K138" s="177">
        <f t="shared" si="223"/>
        <v>0</v>
      </c>
      <c r="L138" s="178">
        <v>5.0</v>
      </c>
      <c r="M138" s="178">
        <v>1.0</v>
      </c>
      <c r="N138" s="179">
        <v>0.6</v>
      </c>
      <c r="O138" s="177">
        <f t="shared" si="224"/>
        <v>0</v>
      </c>
      <c r="P138" s="178">
        <v>5.0</v>
      </c>
      <c r="Q138" s="178">
        <v>3.0</v>
      </c>
      <c r="R138" s="179">
        <v>0.7</v>
      </c>
      <c r="S138" s="177" t="str">
        <f t="shared" si="225"/>
        <v/>
      </c>
      <c r="T138" s="178"/>
      <c r="U138" s="178"/>
      <c r="V138" s="179"/>
      <c r="W138" s="177" t="str">
        <f t="shared" si="226"/>
        <v/>
      </c>
      <c r="X138" s="178"/>
      <c r="Y138" s="178"/>
      <c r="Z138" s="179"/>
      <c r="AA138" s="177" t="str">
        <f t="shared" si="227"/>
        <v/>
      </c>
      <c r="AB138" s="178"/>
      <c r="AC138" s="178"/>
      <c r="AD138" s="179"/>
      <c r="AE138" s="180">
        <f t="shared" si="228"/>
        <v>0</v>
      </c>
      <c r="AF138" s="181">
        <f t="shared" si="190"/>
        <v>0</v>
      </c>
      <c r="AG138" s="182">
        <f t="shared" si="229"/>
        <v>0</v>
      </c>
      <c r="AH138" s="76" t="str">
        <f t="shared" si="230"/>
        <v/>
      </c>
      <c r="AI138" s="181" t="str">
        <f> ( IF(ISNUMBER(G138), VLOOKUP(G138/$AH138,F!$A1:$B101,2,1)*G138*$H138*$I138,0)+IF(ISNUMBER(K138), VLOOKUP(K138/$AH138,F!$A1:$B101,2,1)*K138*$L138*$M138,0)+IF(ISNUMBER(O138), VLOOKUP(O138/$AH138,F!$A1:$B101,2,1)*O138*$P138*$Q138,0)+IF(ISNUMBER(S138), VLOOKUP(S138/$AH138,F!$A1:$B101,2,1)*S138*$T138*$U138,0)+IF(ISNUMBER(W138), VLOOKUP(W138/$AH138,F!$A1:$B101,2,1)*W138*$X138*$Y138,0)+IF(ISNUMBER(AA138), VLOOKUP(AA138/$AH138,F!$A1:$B101,2,1)*AA138*$AB138*$AC138,0))*IF(ISNUMBER(F138),F138,1)*IF(ISNUMBER(E138),E138,1)</f>
        <v>#DIV/0!</v>
      </c>
      <c r="AJ138" s="178">
        <f t="shared" si="231"/>
        <v>25</v>
      </c>
      <c r="AK138" s="183">
        <f t="array" ref="AK138">IFERROR(I138*INDEX(F!$P$21:$AB$33, MATCH(G138/$AH138, F!$O$21:$O$33,1), MATCH(E138, F!$P$20:$AB$20,1)), 0 ) +IFERROR( M138*INDEX(F!$P$21:$AB$33, MATCH(K138/$AH138, F!$O$21:$O$33,1), MATCH(E138, F!$P$20:$AB$20,1)),0) +  IFERROR( Q138*INDEX(F!$P$21:$AB$33, MATCH(O138/$AH138, F!$O$21:$O$33,1), MATCH(E138, F!$P$20:$AB$20,1)), 0) + IFERROR( U138*INDEX(F!$P$21:$AB$33, MATCH(S138/$AH138, F!$O$21:$O$33,1), MATCH(E138, F!$P$20:$AB$20,1)),0)  + IFERROR(Y138*INDEX(F!$P$21:$AB$33, MATCH(W138/$AH138, F!$O$21:$O$33,1), MATCH(E138, F!$P$20:$AB$20,1)),0)  + IFERROR( AC138*INDEX(F!$P$21:$AB$33, MATCH(AA138/$AH138, F!$O$21:$O$33,1), MATCH(E138, F!$P$20:$AB$20,1)),)</f>
        <v>0</v>
      </c>
      <c r="AL138" s="59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ht="15.75" hidden="1" customHeight="1">
      <c r="A139" s="59"/>
      <c r="B139" s="135" t="str">
        <f t="shared" ref="B139:F139" si="235">IF(B83="","",B83)</f>
        <v/>
      </c>
      <c r="C139" s="136" t="str">
        <f t="shared" si="235"/>
        <v/>
      </c>
      <c r="D139" s="137" t="str">
        <f t="shared" si="235"/>
        <v/>
      </c>
      <c r="E139" s="48" t="str">
        <f t="shared" si="235"/>
        <v/>
      </c>
      <c r="F139" s="138" t="str">
        <f t="shared" si="235"/>
        <v/>
      </c>
      <c r="G139" s="148"/>
      <c r="H139" s="149"/>
      <c r="I139" s="149"/>
      <c r="J139" s="141"/>
      <c r="K139" s="139" t="str">
        <f t="shared" si="223"/>
        <v/>
      </c>
      <c r="L139" s="140"/>
      <c r="M139" s="140"/>
      <c r="N139" s="141"/>
      <c r="O139" s="139" t="str">
        <f t="shared" si="224"/>
        <v/>
      </c>
      <c r="P139" s="140"/>
      <c r="Q139" s="140"/>
      <c r="R139" s="141"/>
      <c r="S139" s="139" t="str">
        <f t="shared" si="225"/>
        <v/>
      </c>
      <c r="T139" s="140"/>
      <c r="U139" s="140"/>
      <c r="V139" s="141"/>
      <c r="W139" s="139" t="str">
        <f t="shared" si="226"/>
        <v/>
      </c>
      <c r="X139" s="140"/>
      <c r="Y139" s="140"/>
      <c r="Z139" s="141"/>
      <c r="AA139" s="139" t="str">
        <f t="shared" si="227"/>
        <v/>
      </c>
      <c r="AB139" s="140"/>
      <c r="AC139" s="140"/>
      <c r="AD139" s="141"/>
      <c r="AE139" s="142">
        <f t="shared" si="228"/>
        <v>0</v>
      </c>
      <c r="AF139" s="143">
        <f t="shared" si="190"/>
        <v>0</v>
      </c>
      <c r="AG139" s="144">
        <f t="shared" si="229"/>
        <v>0</v>
      </c>
      <c r="AH139" s="76" t="str">
        <f t="shared" si="230"/>
        <v/>
      </c>
      <c r="AI139" s="143">
        <f> ( IF(ISNUMBER(G139), VLOOKUP(G139/$AH139,F!$A1:$B101,2,1)*G139*$H139*$I139,0)+IF(ISNUMBER(K139), VLOOKUP(K139/$AH139,F!$A1:$B101,2,1)*K139*$L139*$M139,0)+IF(ISNUMBER(O139), VLOOKUP(O139/$AH139,F!$A1:$B101,2,1)*O139*$P139*$Q139,0)+IF(ISNUMBER(S139), VLOOKUP(S139/$AH139,F!$A1:$B101,2,1)*S139*$T139*$U139,0)+IF(ISNUMBER(W139), VLOOKUP(W139/$AH139,F!$A1:$B101,2,1)*W139*$X139*$Y139,0)+IF(ISNUMBER(AA139), VLOOKUP(AA139/$AH139,F!$A1:$B101,2,1)*AA139*$AB139*$AC139,0))*IF(ISNUMBER(F139),F139,1)*IF(ISNUMBER(E139),E139,1)</f>
        <v>0</v>
      </c>
      <c r="AJ139" s="140">
        <f t="shared" si="231"/>
        <v>0</v>
      </c>
      <c r="AK139" s="145">
        <f t="array" ref="AK139">IFERROR(I139*INDEX(F!$P$21:$AB$33, MATCH(G139/$AH139, F!$O$21:$O$33,1), MATCH(E139, F!$P$20:$AB$20,1)), 0 ) +IFERROR( M139*INDEX(F!$P$21:$AB$33, MATCH(K139/$AH139, F!$O$21:$O$33,1), MATCH(E139, F!$P$20:$AB$20,1)),0) +  IFERROR( Q139*INDEX(F!$P$21:$AB$33, MATCH(O139/$AH139, F!$O$21:$O$33,1), MATCH(E139, F!$P$20:$AB$20,1)), 0) + IFERROR( U139*INDEX(F!$P$21:$AB$33, MATCH(S139/$AH139, F!$O$21:$O$33,1), MATCH(E139, F!$P$20:$AB$20,1)),0)  + IFERROR(Y139*INDEX(F!$P$21:$AB$33, MATCH(W139/$AH139, F!$O$21:$O$33,1), MATCH(E139, F!$P$20:$AB$20,1)),0)  + IFERROR( AC139*INDEX(F!$P$21:$AB$33, MATCH(AA139/$AH139, F!$O$21:$O$33,1), MATCH(E139, F!$P$20:$AB$20,1)),)</f>
        <v>0</v>
      </c>
      <c r="AL139" s="59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ht="15.75" hidden="1" customHeight="1">
      <c r="A140" s="59"/>
      <c r="B140" s="173" t="str">
        <f t="shared" ref="B140:F140" si="236">IF(B84="","",B84)</f>
        <v/>
      </c>
      <c r="C140" s="174" t="str">
        <f t="shared" si="236"/>
        <v/>
      </c>
      <c r="D140" s="175" t="str">
        <f t="shared" si="236"/>
        <v/>
      </c>
      <c r="E140" s="48" t="str">
        <f t="shared" si="236"/>
        <v/>
      </c>
      <c r="F140" s="176" t="str">
        <f t="shared" si="236"/>
        <v/>
      </c>
      <c r="G140" s="177"/>
      <c r="H140" s="186"/>
      <c r="I140" s="186"/>
      <c r="J140" s="179"/>
      <c r="K140" s="177" t="str">
        <f t="shared" si="223"/>
        <v/>
      </c>
      <c r="L140" s="178"/>
      <c r="M140" s="178"/>
      <c r="N140" s="179"/>
      <c r="O140" s="177" t="str">
        <f t="shared" si="224"/>
        <v/>
      </c>
      <c r="P140" s="178"/>
      <c r="Q140" s="178"/>
      <c r="R140" s="179"/>
      <c r="S140" s="177" t="str">
        <f t="shared" si="225"/>
        <v/>
      </c>
      <c r="T140" s="178"/>
      <c r="U140" s="178"/>
      <c r="V140" s="179"/>
      <c r="W140" s="177" t="str">
        <f t="shared" si="226"/>
        <v/>
      </c>
      <c r="X140" s="178"/>
      <c r="Y140" s="178"/>
      <c r="Z140" s="179"/>
      <c r="AA140" s="177" t="str">
        <f t="shared" si="227"/>
        <v/>
      </c>
      <c r="AB140" s="178"/>
      <c r="AC140" s="178"/>
      <c r="AD140" s="179"/>
      <c r="AE140" s="180">
        <f t="shared" si="228"/>
        <v>0</v>
      </c>
      <c r="AF140" s="181">
        <f t="shared" si="190"/>
        <v>0</v>
      </c>
      <c r="AG140" s="182">
        <f t="shared" si="229"/>
        <v>0</v>
      </c>
      <c r="AH140" s="76" t="str">
        <f t="shared" si="230"/>
        <v/>
      </c>
      <c r="AI140" s="181">
        <f> ( IF(ISNUMBER(G140), VLOOKUP(G140/$AH140,F!$A1:$B101,2,1)*G140*$H140*$I140,0)+IF(ISNUMBER(K140), VLOOKUP(K140/$AH140,F!$A1:$B101,2,1)*K140*$L140*$M140,0)+IF(ISNUMBER(O140), VLOOKUP(O140/$AH140,F!$A1:$B101,2,1)*O140*$P140*$Q140,0)+IF(ISNUMBER(S140), VLOOKUP(S140/$AH140,F!$A1:$B101,2,1)*S140*$T140*$U140,0)+IF(ISNUMBER(W140), VLOOKUP(W140/$AH140,F!$A1:$B101,2,1)*W140*$X140*$Y140,0)+IF(ISNUMBER(AA140), VLOOKUP(AA140/$AH140,F!$A1:$B101,2,1)*AA140*$AB140*$AC140,0))*IF(ISNUMBER(F140),F140,1)*IF(ISNUMBER(E140),E140,1)</f>
        <v>0</v>
      </c>
      <c r="AJ140" s="178">
        <f t="shared" si="231"/>
        <v>0</v>
      </c>
      <c r="AK140" s="183">
        <f t="array" ref="AK140">IFERROR(I140*INDEX(F!$P$21:$AB$33, MATCH(G140/$AH140, F!$O$21:$O$33,1), MATCH(E140, F!$P$20:$AB$20,1)), 0 ) +IFERROR( M140*INDEX(F!$P$21:$AB$33, MATCH(K140/$AH140, F!$O$21:$O$33,1), MATCH(E140, F!$P$20:$AB$20,1)),0) +  IFERROR( Q140*INDEX(F!$P$21:$AB$33, MATCH(O140/$AH140, F!$O$21:$O$33,1), MATCH(E140, F!$P$20:$AB$20,1)), 0) + IFERROR( U140*INDEX(F!$P$21:$AB$33, MATCH(S140/$AH140, F!$O$21:$O$33,1), MATCH(E140, F!$P$20:$AB$20,1)),0)  + IFERROR(Y140*INDEX(F!$P$21:$AB$33, MATCH(W140/$AH140, F!$O$21:$O$33,1), MATCH(E140, F!$P$20:$AB$20,1)),0)  + IFERROR( AC140*INDEX(F!$P$21:$AB$33, MATCH(AA140/$AH140, F!$O$21:$O$33,1), MATCH(E140, F!$P$20:$AB$20,1)),)</f>
        <v>0</v>
      </c>
      <c r="AL140" s="59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ht="15.75" hidden="1" customHeight="1">
      <c r="A141" s="59"/>
      <c r="B141" s="135" t="str">
        <f t="shared" ref="B141:F141" si="237">IF(B85="","",B85)</f>
        <v/>
      </c>
      <c r="C141" s="136" t="str">
        <f t="shared" si="237"/>
        <v/>
      </c>
      <c r="D141" s="137" t="str">
        <f t="shared" si="237"/>
        <v/>
      </c>
      <c r="E141" s="48" t="str">
        <f t="shared" si="237"/>
        <v/>
      </c>
      <c r="F141" s="138" t="str">
        <f t="shared" si="237"/>
        <v/>
      </c>
      <c r="G141" s="139" t="str">
        <f>IF(J141&lt;&gt;0, IFERROR(IF( $F141=2,  MROUND($AH141*J141,1),    IF( OR($F141="",$F141=1),   MROUND($AH141*J141,2.5),  MROUND($AH141*J141, 0.1))), "" ), "")</f>
        <v/>
      </c>
      <c r="H141" s="140"/>
      <c r="I141" s="140"/>
      <c r="J141" s="141"/>
      <c r="K141" s="139" t="str">
        <f t="shared" si="223"/>
        <v/>
      </c>
      <c r="L141" s="140"/>
      <c r="M141" s="140"/>
      <c r="N141" s="141"/>
      <c r="O141" s="139" t="str">
        <f t="shared" si="224"/>
        <v/>
      </c>
      <c r="P141" s="140"/>
      <c r="Q141" s="140"/>
      <c r="R141" s="141"/>
      <c r="S141" s="139" t="str">
        <f t="shared" si="225"/>
        <v/>
      </c>
      <c r="T141" s="140"/>
      <c r="U141" s="140"/>
      <c r="V141" s="141"/>
      <c r="W141" s="139" t="str">
        <f t="shared" si="226"/>
        <v/>
      </c>
      <c r="X141" s="140"/>
      <c r="Y141" s="140"/>
      <c r="Z141" s="141"/>
      <c r="AA141" s="139" t="str">
        <f t="shared" si="227"/>
        <v/>
      </c>
      <c r="AB141" s="140"/>
      <c r="AC141" s="140"/>
      <c r="AD141" s="141"/>
      <c r="AE141" s="142">
        <f t="shared" si="228"/>
        <v>0</v>
      </c>
      <c r="AF141" s="143">
        <f t="shared" si="190"/>
        <v>0</v>
      </c>
      <c r="AG141" s="144">
        <f t="shared" si="229"/>
        <v>0</v>
      </c>
      <c r="AH141" s="76" t="str">
        <f t="shared" si="230"/>
        <v/>
      </c>
      <c r="AI141" s="143">
        <f> ( IF(ISNUMBER(G141), VLOOKUP(G141/$AH141,F!$A1:$B101,2,1)*G141*$H141*$I141,0)+IF(ISNUMBER(K141), VLOOKUP(K141/$AH141,F!$A1:$B101,2,1)*K141*$L141*$M141,0)+IF(ISNUMBER(O141), VLOOKUP(O141/$AH141,F!$A1:$B101,2,1)*O141*$P141*$Q141,0)+IF(ISNUMBER(S141), VLOOKUP(S141/$AH141,F!$A1:$B101,2,1)*S141*$T141*$U141,0)+IF(ISNUMBER(W141), VLOOKUP(W141/$AH141,F!$A1:$B101,2,1)*W141*$X141*$Y141,0)+IF(ISNUMBER(AA141), VLOOKUP(AA141/$AH141,F!$A1:$B101,2,1)*AA141*$AB141*$AC141,0))*IF(ISNUMBER(F141),F141,1)*IF(ISNUMBER(E141),E141,1)</f>
        <v>0</v>
      </c>
      <c r="AJ141" s="140">
        <f t="shared" si="231"/>
        <v>0</v>
      </c>
      <c r="AK141" s="145">
        <f t="array" ref="AK141">IFERROR(I141*INDEX(F!$P$21:$AB$33, MATCH(G141/$AH141, F!$O$21:$O$33,1), MATCH(E141, F!$P$20:$AB$20,1)), 0 ) +IFERROR( M141*INDEX(F!$P$21:$AB$33, MATCH(K141/$AH141, F!$O$21:$O$33,1), MATCH(E141, F!$P$20:$AB$20,1)),0) +  IFERROR( Q141*INDEX(F!$P$21:$AB$33, MATCH(O141/$AH141, F!$O$21:$O$33,1), MATCH(E141, F!$P$20:$AB$20,1)), 0) + IFERROR( U141*INDEX(F!$P$21:$AB$33, MATCH(S141/$AH141, F!$O$21:$O$33,1), MATCH(E141, F!$P$20:$AB$20,1)),0)  + IFERROR(Y141*INDEX(F!$P$21:$AB$33, MATCH(W141/$AH141, F!$O$21:$O$33,1), MATCH(E141, F!$P$20:$AB$20,1)),0)  + IFERROR( AC141*INDEX(F!$P$21:$AB$33, MATCH(AA141/$AH141, F!$O$21:$O$33,1), MATCH(E141, F!$P$20:$AB$20,1)),)</f>
        <v>0</v>
      </c>
      <c r="AL141" s="59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ht="15.0" customHeight="1">
      <c r="A142" s="98"/>
      <c r="B142" s="188"/>
      <c r="C142" s="189"/>
      <c r="D142" s="190"/>
      <c r="E142" s="102">
        <f>ROUND(IFERROR(SUMPRODUCT(AJ134:AJ141,E134:E141)/AJ142,0),3)</f>
        <v>0.926</v>
      </c>
      <c r="F142" s="191"/>
      <c r="G142" s="192"/>
      <c r="H142" s="193"/>
      <c r="I142" s="193"/>
      <c r="J142" s="194"/>
      <c r="K142" s="192"/>
      <c r="L142" s="193"/>
      <c r="M142" s="193"/>
      <c r="N142" s="194"/>
      <c r="O142" s="192"/>
      <c r="P142" s="193"/>
      <c r="Q142" s="193"/>
      <c r="R142" s="194"/>
      <c r="S142" s="192"/>
      <c r="T142" s="193"/>
      <c r="U142" s="193"/>
      <c r="V142" s="194"/>
      <c r="W142" s="192"/>
      <c r="X142" s="193"/>
      <c r="Y142" s="193"/>
      <c r="Z142" s="194"/>
      <c r="AA142" s="192"/>
      <c r="AB142" s="193"/>
      <c r="AC142" s="193"/>
      <c r="AD142" s="194"/>
      <c r="AE142" s="107">
        <f>SUM(AE134:AE141)</f>
        <v>5645</v>
      </c>
      <c r="AF142" s="108">
        <f t="shared" si="190"/>
        <v>54.27884615</v>
      </c>
      <c r="AG142" s="109">
        <f>IFERROR(  SUMPRODUCT(AG134:AG141,AJ134:AJ141)/AJ142,0)</f>
        <v>0.5086549617</v>
      </c>
      <c r="AH142" s="157"/>
      <c r="AI142" s="111" t="str">
        <f t="shared" ref="AI142:AJ142" si="238">SUM(AI134:AI141)</f>
        <v>#DIV/0!</v>
      </c>
      <c r="AJ142" s="111">
        <f t="shared" si="238"/>
        <v>104</v>
      </c>
      <c r="AK142" s="112">
        <f>IF(SUM(AK134:AK141)=0,TIME(,0,),TIME(,SUM(AK134:AK141)+F!$V$37,))</f>
        <v>0.0875</v>
      </c>
      <c r="AL142" s="98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ht="15.75" hidden="1" customHeight="1">
      <c r="A143" s="25">
        <f>A144</f>
        <v>43799</v>
      </c>
      <c r="B143" s="26" t="str">
        <f t="shared" ref="B143:F143" si="239">IF(B87="","",B87)</f>
        <v/>
      </c>
      <c r="C143" s="27" t="str">
        <f t="shared" si="239"/>
        <v/>
      </c>
      <c r="D143" s="28" t="str">
        <f t="shared" si="239"/>
        <v/>
      </c>
      <c r="E143" s="29" t="str">
        <f t="shared" si="239"/>
        <v/>
      </c>
      <c r="F143" s="30" t="str">
        <f t="shared" si="239"/>
        <v/>
      </c>
      <c r="G143" s="31" t="str">
        <f t="shared" ref="G143:G150" si="241">IF(J143&lt;&gt;0, IFERROR(IF( $F143=2,  MROUND($AH143*J143,1),    IF( OR($F143="",$F143=1),   MROUND($AH143*J143,2.5),  MROUND($AH143*J143, 0.1))), "" ), "")</f>
        <v/>
      </c>
      <c r="H143" s="32"/>
      <c r="I143" s="32"/>
      <c r="J143" s="33"/>
      <c r="K143" s="31" t="str">
        <f t="shared" ref="K143:K150" si="242">IF(N143&lt;&gt;0, IFERROR(IF( $F143=2,  MROUND($AH143*N143,1),    IF( OR($F143="",$F143=1),   MROUND($AH143*N143,2.5),  MROUND($AH143*N143, 0.1))), "" ), "")</f>
        <v/>
      </c>
      <c r="L143" s="32"/>
      <c r="M143" s="32"/>
      <c r="N143" s="33"/>
      <c r="O143" s="31" t="str">
        <f t="shared" ref="O143:O150" si="243">IF(R143&lt;&gt;0, IFERROR(IF( $F143=2,  MROUND($AH143*R143,1),    IF( OR($F143="",$F143=1),   MROUND($AH143*R143,2.5),  MROUND($AH143*R143, 0.1))), "" ), "")</f>
        <v/>
      </c>
      <c r="P143" s="32"/>
      <c r="Q143" s="32"/>
      <c r="R143" s="33"/>
      <c r="S143" s="31" t="str">
        <f t="shared" ref="S143:S150" si="244">IF(V143&lt;&gt;0, IFERROR(IF( $F143=2,  MROUND($AH143*V143,1),    IF( OR($F143="",$F143=1),   MROUND($AH143*V143,2.5),  MROUND($AH143*V143, 0.1))), "" ), "")</f>
        <v/>
      </c>
      <c r="T143" s="32"/>
      <c r="U143" s="32"/>
      <c r="V143" s="33"/>
      <c r="W143" s="31" t="str">
        <f t="shared" ref="W143:W150" si="245">IF(Z143&lt;&gt;0, IFERROR(IF( $F143=2,  MROUND($AH143*Z143,1),    IF( OR($F143="",$F143=1),   MROUND($AH143*Z143,2.5),  MROUND($AH143*Z143, 0.1))), "" ), "")</f>
        <v/>
      </c>
      <c r="X143" s="32"/>
      <c r="Y143" s="32"/>
      <c r="Z143" s="33"/>
      <c r="AA143" s="31" t="str">
        <f t="shared" ref="AA143:AA150" si="246">IF(AD143&lt;&gt;0, IFERROR(IF( $F143=2,  MROUND($AH143*AD143,1),    IF( OR($F143="",$F143=1),   MROUND($AH143*AD143,2.5),  MROUND($AH143*AD143, 0.1))), "" ), "")</f>
        <v/>
      </c>
      <c r="AB143" s="32"/>
      <c r="AC143" s="32"/>
      <c r="AD143" s="33"/>
      <c r="AE143" s="35">
        <f t="shared" ref="AE143:AE150" si="247">(IF(ISNUMBER(G143),G143,0)*H143*I143+IF(ISNUMBER(K143),K143,1)*L143*M143+IF(ISNUMBER(O143),O143,1)*P143*Q143+IF(ISNUMBER(S143),S143,1)*T143*U143+IF(ISNUMBER(W143),W143,1)*X143*Y143+IF(ISNUMBER(AA143),AA143,1)*AB143*AC143)*IF(ISNUMBER(F143),F143,1)</f>
        <v>0</v>
      </c>
      <c r="AF143" s="36">
        <f t="shared" si="190"/>
        <v>0</v>
      </c>
      <c r="AG143" s="195">
        <f t="shared" ref="AG143:AG150" si="248">IFERROR((AF143/(AH143*IF(ISNUMBER(F143),F143,1))),0)</f>
        <v>0</v>
      </c>
      <c r="AH143" s="169" t="str">
        <f t="shared" ref="AH143:AH150" si="249">IF(ISNUMBER(AH87), AH87+(AH87*$AH$114),"")</f>
        <v/>
      </c>
      <c r="AI143" s="196">
        <f> ( IF(ISNUMBER(G143), VLOOKUP(G143/$AH143,F!$A1:$B101,2,1)*G143*$H143*$I143,0)+IF(ISNUMBER(K143), VLOOKUP(K143/$AH143,F!$A1:$B101,2,1)*K143*$L143*$M143,0)+IF(ISNUMBER(O143), VLOOKUP(O143/$AH143,F!$A1:$B101,2,1)*O143*$P143*$Q143,0)+IF(ISNUMBER(S143), VLOOKUP(S143/$AH143,F!$A1:$B101,2,1)*S143*$T143*$U143,0)+IF(ISNUMBER(W143), VLOOKUP(W143/$AH143,F!$A1:$B101,2,1)*W143*$X143*$Y143,0)+IF(ISNUMBER(AA143), VLOOKUP(AA143/$AH143,F!$A1:$B101,2,1)*AA143*$AB143*$AC143,0))*IF(ISNUMBER(F143),F143,1)*IF(ISNUMBER(E143),E143,1)</f>
        <v>0</v>
      </c>
      <c r="AJ143" s="40">
        <f t="shared" ref="AJ143:AJ150" si="250">H143*I143+L143*M143+P143*Q143+T143*U143+X143*Y143+AB143*AC143</f>
        <v>0</v>
      </c>
      <c r="AK143" s="41">
        <f t="array" ref="AK143">IFERROR(I143*INDEX(F!$P$21:$AB$33, MATCH(G143/$AH143, F!$O$21:$O$33,1), MATCH(E143, F!$P$20:$AB$20,1)), 0 ) +IFERROR( M143*INDEX(F!$P$21:$AB$33, MATCH(K143/$AH143, F!$O$21:$O$33,1), MATCH(E143, F!$P$20:$AB$20,1)),0) +  IFERROR( Q143*INDEX(F!$P$21:$AB$33, MATCH(O143/$AH143, F!$O$21:$O$33,1), MATCH(E143, F!$P$20:$AB$20,1)), 0) + IFERROR( U143*INDEX(F!$P$21:$AB$33, MATCH(S143/$AH143, F!$O$21:$O$33,1), MATCH(E143, F!$P$20:$AB$20,1)),0)  + IFERROR(Y143*INDEX(F!$P$21:$AB$33, MATCH(W143/$AH143, F!$O$21:$O$33,1), MATCH(E143, F!$P$20:$AB$20,1)),0)  + IFERROR( AC143*INDEX(F!$P$21:$AB$33, MATCH(AA143/$AH143, F!$O$21:$O$33,1), MATCH(E143, F!$P$20:$AB$20,1)),)</f>
        <v>0</v>
      </c>
      <c r="AL143" s="42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ht="15.75" hidden="1" customHeight="1">
      <c r="A144" s="44">
        <f>A88+A58</f>
        <v>43799</v>
      </c>
      <c r="B144" s="45" t="str">
        <f t="shared" ref="B144:F144" si="240">IF(B88="","",B88)</f>
        <v/>
      </c>
      <c r="C144" s="46" t="str">
        <f t="shared" si="240"/>
        <v/>
      </c>
      <c r="D144" s="47" t="str">
        <f t="shared" si="240"/>
        <v/>
      </c>
      <c r="E144" s="48" t="str">
        <f t="shared" si="240"/>
        <v/>
      </c>
      <c r="F144" s="49" t="str">
        <f t="shared" si="240"/>
        <v/>
      </c>
      <c r="G144" s="50" t="str">
        <f t="shared" si="241"/>
        <v/>
      </c>
      <c r="H144" s="51"/>
      <c r="I144" s="51"/>
      <c r="J144" s="52"/>
      <c r="K144" s="50" t="str">
        <f t="shared" si="242"/>
        <v/>
      </c>
      <c r="L144" s="51"/>
      <c r="M144" s="51"/>
      <c r="N144" s="52"/>
      <c r="O144" s="50" t="str">
        <f t="shared" si="243"/>
        <v/>
      </c>
      <c r="P144" s="51"/>
      <c r="Q144" s="51"/>
      <c r="R144" s="52"/>
      <c r="S144" s="50" t="str">
        <f t="shared" si="244"/>
        <v/>
      </c>
      <c r="T144" s="51"/>
      <c r="U144" s="51"/>
      <c r="V144" s="52"/>
      <c r="W144" s="50" t="str">
        <f t="shared" si="245"/>
        <v/>
      </c>
      <c r="X144" s="51"/>
      <c r="Y144" s="51"/>
      <c r="Z144" s="52"/>
      <c r="AA144" s="50" t="str">
        <f t="shared" si="246"/>
        <v/>
      </c>
      <c r="AB144" s="51"/>
      <c r="AC144" s="51"/>
      <c r="AD144" s="52"/>
      <c r="AE144" s="53">
        <f t="shared" si="247"/>
        <v>0</v>
      </c>
      <c r="AF144" s="54">
        <f t="shared" si="190"/>
        <v>0</v>
      </c>
      <c r="AG144" s="75">
        <f t="shared" si="248"/>
        <v>0</v>
      </c>
      <c r="AH144" s="76" t="str">
        <f t="shared" si="249"/>
        <v/>
      </c>
      <c r="AI144" s="77">
        <f> ( IF(ISNUMBER(G144), VLOOKUP(G144/$AH144,F!$A1:$B101,2,1)*G144*$H144*$I144,0)+IF(ISNUMBER(K144), VLOOKUP(K144/$AH144,F!$A1:$B101,2,1)*K144*$L144*$M144,0)+IF(ISNUMBER(O144), VLOOKUP(O144/$AH144,F!$A1:$B101,2,1)*O144*$P144*$Q144,0)+IF(ISNUMBER(S144), VLOOKUP(S144/$AH144,F!$A1:$B101,2,1)*S144*$T144*$U144,0)+IF(ISNUMBER(W144), VLOOKUP(W144/$AH144,F!$A1:$B101,2,1)*W144*$X144*$Y144,0)+IF(ISNUMBER(AA144), VLOOKUP(AA144/$AH144,F!$A1:$B101,2,1)*AA144*$AB144*$AC144,0))*IF(ISNUMBER(F144),F144,1)*IF(ISNUMBER(E144),E144,1)</f>
        <v>0</v>
      </c>
      <c r="AJ144" s="57">
        <f t="shared" si="250"/>
        <v>0</v>
      </c>
      <c r="AK144" s="58">
        <f t="array" ref="AK144">IFERROR(I144*INDEX(F!$P$21:$AB$33, MATCH(G144/$AH144, F!$O$21:$O$33,1), MATCH(E144, F!$P$20:$AB$20,1)), 0 ) +IFERROR( M144*INDEX(F!$P$21:$AB$33, MATCH(K144/$AH144, F!$O$21:$O$33,1), MATCH(E144, F!$P$20:$AB$20,1)),0) +  IFERROR( Q144*INDEX(F!$P$21:$AB$33, MATCH(O144/$AH144, F!$O$21:$O$33,1), MATCH(E144, F!$P$20:$AB$20,1)), 0) + IFERROR( U144*INDEX(F!$P$21:$AB$33, MATCH(S144/$AH144, F!$O$21:$O$33,1), MATCH(E144, F!$P$20:$AB$20,1)),0)  + IFERROR(Y144*INDEX(F!$P$21:$AB$33, MATCH(W144/$AH144, F!$O$21:$O$33,1), MATCH(E144, F!$P$20:$AB$20,1)),0)  + IFERROR( AC144*INDEX(F!$P$21:$AB$33, MATCH(AA144/$AH144, F!$O$21:$O$33,1), MATCH(E144, F!$P$20:$AB$20,1)),)</f>
        <v>0</v>
      </c>
      <c r="AL144" s="59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ht="15.75" hidden="1" customHeight="1">
      <c r="A145" s="59"/>
      <c r="B145" s="60" t="str">
        <f t="shared" ref="B145:F145" si="251">IF(B89="","",B89)</f>
        <v/>
      </c>
      <c r="C145" s="61" t="str">
        <f t="shared" si="251"/>
        <v/>
      </c>
      <c r="D145" s="62" t="str">
        <f t="shared" si="251"/>
        <v/>
      </c>
      <c r="E145" s="48" t="str">
        <f t="shared" si="251"/>
        <v/>
      </c>
      <c r="F145" s="63" t="str">
        <f t="shared" si="251"/>
        <v/>
      </c>
      <c r="G145" s="64" t="str">
        <f t="shared" si="241"/>
        <v/>
      </c>
      <c r="H145" s="34"/>
      <c r="I145" s="34"/>
      <c r="J145" s="65"/>
      <c r="K145" s="64" t="str">
        <f t="shared" si="242"/>
        <v/>
      </c>
      <c r="L145" s="34"/>
      <c r="M145" s="34"/>
      <c r="N145" s="65"/>
      <c r="O145" s="64" t="str">
        <f t="shared" si="243"/>
        <v/>
      </c>
      <c r="P145" s="34"/>
      <c r="Q145" s="34"/>
      <c r="R145" s="65"/>
      <c r="S145" s="64" t="str">
        <f t="shared" si="244"/>
        <v/>
      </c>
      <c r="T145" s="34"/>
      <c r="U145" s="34"/>
      <c r="V145" s="65"/>
      <c r="W145" s="64" t="str">
        <f t="shared" si="245"/>
        <v/>
      </c>
      <c r="X145" s="34"/>
      <c r="Y145" s="34"/>
      <c r="Z145" s="65"/>
      <c r="AA145" s="64" t="str">
        <f t="shared" si="246"/>
        <v/>
      </c>
      <c r="AB145" s="34"/>
      <c r="AC145" s="34"/>
      <c r="AD145" s="65"/>
      <c r="AE145" s="66">
        <f t="shared" si="247"/>
        <v>0</v>
      </c>
      <c r="AF145" s="67">
        <f t="shared" si="190"/>
        <v>0</v>
      </c>
      <c r="AG145" s="68">
        <f t="shared" si="248"/>
        <v>0</v>
      </c>
      <c r="AH145" s="76" t="str">
        <f t="shared" si="249"/>
        <v/>
      </c>
      <c r="AI145" s="70">
        <f> ( IF(ISNUMBER(G145), VLOOKUP(G145/$AH145,F!$A1:$B101,2,1)*G145*$H145*$I145,0)+IF(ISNUMBER(K145), VLOOKUP(K145/$AH145,F!$A1:$B101,2,1)*K145*$L145*$M145,0)+IF(ISNUMBER(O145), VLOOKUP(O145/$AH145,F!$A1:$B101,2,1)*O145*$P145*$Q145,0)+IF(ISNUMBER(S145), VLOOKUP(S145/$AH145,F!$A1:$B101,2,1)*S145*$T145*$U145,0)+IF(ISNUMBER(W145), VLOOKUP(W145/$AH145,F!$A1:$B101,2,1)*W145*$X145*$Y145,0)+IF(ISNUMBER(AA145), VLOOKUP(AA145/$AH145,F!$A1:$B101,2,1)*AA145*$AB145*$AC145,0))*IF(ISNUMBER(F145),F145,1)*IF(ISNUMBER(E145),E145,1)</f>
        <v>0</v>
      </c>
      <c r="AJ145" s="71">
        <f t="shared" si="250"/>
        <v>0</v>
      </c>
      <c r="AK145" s="72">
        <f t="array" ref="AK145">IFERROR(I145*INDEX(F!$P$21:$AB$33, MATCH(G145/$AH145, F!$O$21:$O$33,1), MATCH(E145, F!$P$20:$AB$20,1)), 0 ) +IFERROR( M145*INDEX(F!$P$21:$AB$33, MATCH(K145/$AH145, F!$O$21:$O$33,1), MATCH(E145, F!$P$20:$AB$20,1)),0) +  IFERROR( Q145*INDEX(F!$P$21:$AB$33, MATCH(O145/$AH145, F!$O$21:$O$33,1), MATCH(E145, F!$P$20:$AB$20,1)), 0) + IFERROR( U145*INDEX(F!$P$21:$AB$33, MATCH(S145/$AH145, F!$O$21:$O$33,1), MATCH(E145, F!$P$20:$AB$20,1)),0)  + IFERROR(Y145*INDEX(F!$P$21:$AB$33, MATCH(W145/$AH145, F!$O$21:$O$33,1), MATCH(E145, F!$P$20:$AB$20,1)),0)  + IFERROR( AC145*INDEX(F!$P$21:$AB$33, MATCH(AA145/$AH145, F!$O$21:$O$33,1), MATCH(E145, F!$P$20:$AB$20,1)),)</f>
        <v>0</v>
      </c>
      <c r="AL145" s="59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ht="15.75" hidden="1" customHeight="1">
      <c r="A146" s="59"/>
      <c r="B146" s="215" t="str">
        <f t="shared" ref="B146:F146" si="252">IF(B90="","",B90)</f>
        <v/>
      </c>
      <c r="C146" s="73" t="str">
        <f t="shared" si="252"/>
        <v/>
      </c>
      <c r="D146" s="47" t="str">
        <f t="shared" si="252"/>
        <v/>
      </c>
      <c r="E146" s="48" t="str">
        <f t="shared" si="252"/>
        <v/>
      </c>
      <c r="F146" s="74" t="str">
        <f t="shared" si="252"/>
        <v/>
      </c>
      <c r="G146" s="50" t="str">
        <f t="shared" si="241"/>
        <v/>
      </c>
      <c r="H146" s="51"/>
      <c r="I146" s="51"/>
      <c r="J146" s="52"/>
      <c r="K146" s="50" t="str">
        <f t="shared" si="242"/>
        <v/>
      </c>
      <c r="L146" s="51"/>
      <c r="M146" s="51"/>
      <c r="N146" s="52"/>
      <c r="O146" s="50" t="str">
        <f t="shared" si="243"/>
        <v/>
      </c>
      <c r="P146" s="51"/>
      <c r="Q146" s="51"/>
      <c r="R146" s="52"/>
      <c r="S146" s="50" t="str">
        <f t="shared" si="244"/>
        <v/>
      </c>
      <c r="T146" s="51"/>
      <c r="U146" s="51"/>
      <c r="V146" s="52"/>
      <c r="W146" s="50" t="str">
        <f t="shared" si="245"/>
        <v/>
      </c>
      <c r="X146" s="51"/>
      <c r="Y146" s="51"/>
      <c r="Z146" s="52"/>
      <c r="AA146" s="50" t="str">
        <f t="shared" si="246"/>
        <v/>
      </c>
      <c r="AB146" s="51"/>
      <c r="AC146" s="51"/>
      <c r="AD146" s="52"/>
      <c r="AE146" s="53">
        <f t="shared" si="247"/>
        <v>0</v>
      </c>
      <c r="AF146" s="54">
        <f t="shared" si="190"/>
        <v>0</v>
      </c>
      <c r="AG146" s="75">
        <f t="shared" si="248"/>
        <v>0</v>
      </c>
      <c r="AH146" s="76" t="str">
        <f t="shared" si="249"/>
        <v/>
      </c>
      <c r="AI146" s="77">
        <f> ( IF(ISNUMBER(G146), VLOOKUP(G146/$AH146,F!$A1:$B101,2,1)*G146*$H146*$I146,0)+IF(ISNUMBER(K146), VLOOKUP(K146/$AH146,F!$A1:$B101,2,1)*K146*$L146*$M146,0)+IF(ISNUMBER(O146), VLOOKUP(O146/$AH146,F!$A1:$B101,2,1)*O146*$P146*$Q146,0)+IF(ISNUMBER(S146), VLOOKUP(S146/$AH146,F!$A1:$B101,2,1)*S146*$T146*$U146,0)+IF(ISNUMBER(W146), VLOOKUP(W146/$AH146,F!$A1:$B101,2,1)*W146*$X146*$Y146,0)+IF(ISNUMBER(AA146), VLOOKUP(AA146/$AH146,F!$A1:$B101,2,1)*AA146*$AB146*$AC146,0))*IF(ISNUMBER(F146),F146,1)*IF(ISNUMBER(E146),E146,1)</f>
        <v>0</v>
      </c>
      <c r="AJ146" s="57">
        <f t="shared" si="250"/>
        <v>0</v>
      </c>
      <c r="AK146" s="58">
        <f t="array" ref="AK146">IFERROR(I146*INDEX(F!$P$21:$AB$33, MATCH(G146/$AH146, F!$O$21:$O$33,1), MATCH(E146, F!$P$20:$AB$20,1)), 0 ) +IFERROR( M146*INDEX(F!$P$21:$AB$33, MATCH(K146/$AH146, F!$O$21:$O$33,1), MATCH(E146, F!$P$20:$AB$20,1)),0) +  IFERROR( Q146*INDEX(F!$P$21:$AB$33, MATCH(O146/$AH146, F!$O$21:$O$33,1), MATCH(E146, F!$P$20:$AB$20,1)), 0) + IFERROR( U146*INDEX(F!$P$21:$AB$33, MATCH(S146/$AH146, F!$O$21:$O$33,1), MATCH(E146, F!$P$20:$AB$20,1)),0)  + IFERROR(Y146*INDEX(F!$P$21:$AB$33, MATCH(W146/$AH146, F!$O$21:$O$33,1), MATCH(E146, F!$P$20:$AB$20,1)),0)  + IFERROR( AC146*INDEX(F!$P$21:$AB$33, MATCH(AA146/$AH146, F!$O$21:$O$33,1), MATCH(E146, F!$P$20:$AB$20,1)),)</f>
        <v>0</v>
      </c>
      <c r="AL146" s="59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ht="15.75" hidden="1" customHeight="1">
      <c r="A147" s="59"/>
      <c r="B147" s="216" t="str">
        <f t="shared" ref="B147:F147" si="253">IF(B91="","",B91)</f>
        <v/>
      </c>
      <c r="C147" s="78" t="str">
        <f t="shared" si="253"/>
        <v/>
      </c>
      <c r="D147" s="62" t="str">
        <f t="shared" si="253"/>
        <v/>
      </c>
      <c r="E147" s="48" t="str">
        <f t="shared" si="253"/>
        <v/>
      </c>
      <c r="F147" s="79" t="str">
        <f t="shared" si="253"/>
        <v/>
      </c>
      <c r="G147" s="64" t="str">
        <f t="shared" si="241"/>
        <v/>
      </c>
      <c r="H147" s="34"/>
      <c r="I147" s="34"/>
      <c r="J147" s="65"/>
      <c r="K147" s="64" t="str">
        <f t="shared" si="242"/>
        <v/>
      </c>
      <c r="L147" s="34"/>
      <c r="M147" s="34"/>
      <c r="N147" s="65"/>
      <c r="O147" s="64" t="str">
        <f t="shared" si="243"/>
        <v/>
      </c>
      <c r="P147" s="34"/>
      <c r="Q147" s="34"/>
      <c r="R147" s="65"/>
      <c r="S147" s="64" t="str">
        <f t="shared" si="244"/>
        <v/>
      </c>
      <c r="T147" s="34"/>
      <c r="U147" s="34"/>
      <c r="V147" s="65"/>
      <c r="W147" s="64" t="str">
        <f t="shared" si="245"/>
        <v/>
      </c>
      <c r="X147" s="34"/>
      <c r="Y147" s="34"/>
      <c r="Z147" s="65"/>
      <c r="AA147" s="64" t="str">
        <f t="shared" si="246"/>
        <v/>
      </c>
      <c r="AB147" s="34"/>
      <c r="AC147" s="34"/>
      <c r="AD147" s="65"/>
      <c r="AE147" s="66">
        <f t="shared" si="247"/>
        <v>0</v>
      </c>
      <c r="AF147" s="67">
        <f t="shared" si="190"/>
        <v>0</v>
      </c>
      <c r="AG147" s="68">
        <f t="shared" si="248"/>
        <v>0</v>
      </c>
      <c r="AH147" s="76" t="str">
        <f t="shared" si="249"/>
        <v/>
      </c>
      <c r="AI147" s="70">
        <f> ( IF(ISNUMBER(G147), VLOOKUP(G147/$AH147,F!$A1:$B101,2,1)*G147*$H147*$I147,0)+IF(ISNUMBER(K147), VLOOKUP(K147/$AH147,F!$A1:$B101,2,1)*K147*$L147*$M147,0)+IF(ISNUMBER(O147), VLOOKUP(O147/$AH147,F!$A1:$B101,2,1)*O147*$P147*$Q147,0)+IF(ISNUMBER(S147), VLOOKUP(S147/$AH147,F!$A1:$B101,2,1)*S147*$T147*$U147,0)+IF(ISNUMBER(W147), VLOOKUP(W147/$AH147,F!$A1:$B101,2,1)*W147*$X147*$Y147,0)+IF(ISNUMBER(AA147), VLOOKUP(AA147/$AH147,F!$A1:$B101,2,1)*AA147*$AB147*$AC147,0))*IF(ISNUMBER(F147),F147,1)*IF(ISNUMBER(E147),E147,1)</f>
        <v>0</v>
      </c>
      <c r="AJ147" s="71">
        <f t="shared" si="250"/>
        <v>0</v>
      </c>
      <c r="AK147" s="72">
        <f t="array" ref="AK147">IFERROR(I147*INDEX(F!$P$21:$AB$33, MATCH(G147/$AH147, F!$O$21:$O$33,1), MATCH(E147, F!$P$20:$AB$20,1)), 0 ) +IFERROR( M147*INDEX(F!$P$21:$AB$33, MATCH(K147/$AH147, F!$O$21:$O$33,1), MATCH(E147, F!$P$20:$AB$20,1)),0) +  IFERROR( Q147*INDEX(F!$P$21:$AB$33, MATCH(O147/$AH147, F!$O$21:$O$33,1), MATCH(E147, F!$P$20:$AB$20,1)), 0) + IFERROR( U147*INDEX(F!$P$21:$AB$33, MATCH(S147/$AH147, F!$O$21:$O$33,1), MATCH(E147, F!$P$20:$AB$20,1)),0)  + IFERROR(Y147*INDEX(F!$P$21:$AB$33, MATCH(W147/$AH147, F!$O$21:$O$33,1), MATCH(E147, F!$P$20:$AB$20,1)),0)  + IFERROR( AC147*INDEX(F!$P$21:$AB$33, MATCH(AA147/$AH147, F!$O$21:$O$33,1), MATCH(E147, F!$P$20:$AB$20,1)),)</f>
        <v>0</v>
      </c>
      <c r="AL147" s="59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ht="15.75" hidden="1" customHeight="1">
      <c r="A148" s="59"/>
      <c r="B148" s="45" t="str">
        <f t="shared" ref="B148:F148" si="254">IF(B92="","",B92)</f>
        <v/>
      </c>
      <c r="C148" s="46" t="str">
        <f t="shared" si="254"/>
        <v/>
      </c>
      <c r="D148" s="197" t="str">
        <f t="shared" si="254"/>
        <v/>
      </c>
      <c r="E148" s="48" t="str">
        <f t="shared" si="254"/>
        <v/>
      </c>
      <c r="F148" s="83" t="str">
        <f t="shared" si="254"/>
        <v/>
      </c>
      <c r="G148" s="50" t="str">
        <f t="shared" si="241"/>
        <v/>
      </c>
      <c r="H148" s="51"/>
      <c r="I148" s="51"/>
      <c r="J148" s="52"/>
      <c r="K148" s="50" t="str">
        <f t="shared" si="242"/>
        <v/>
      </c>
      <c r="L148" s="51"/>
      <c r="M148" s="51"/>
      <c r="N148" s="52"/>
      <c r="O148" s="50" t="str">
        <f t="shared" si="243"/>
        <v/>
      </c>
      <c r="P148" s="51"/>
      <c r="Q148" s="51"/>
      <c r="R148" s="52"/>
      <c r="S148" s="50" t="str">
        <f t="shared" si="244"/>
        <v/>
      </c>
      <c r="T148" s="51"/>
      <c r="U148" s="51"/>
      <c r="V148" s="52"/>
      <c r="W148" s="50" t="str">
        <f t="shared" si="245"/>
        <v/>
      </c>
      <c r="X148" s="51"/>
      <c r="Y148" s="51"/>
      <c r="Z148" s="52"/>
      <c r="AA148" s="50" t="str">
        <f t="shared" si="246"/>
        <v/>
      </c>
      <c r="AB148" s="51"/>
      <c r="AC148" s="51"/>
      <c r="AD148" s="52"/>
      <c r="AE148" s="53">
        <f t="shared" si="247"/>
        <v>0</v>
      </c>
      <c r="AF148" s="54">
        <f t="shared" si="190"/>
        <v>0</v>
      </c>
      <c r="AG148" s="75">
        <f t="shared" si="248"/>
        <v>0</v>
      </c>
      <c r="AH148" s="76" t="str">
        <f t="shared" si="249"/>
        <v/>
      </c>
      <c r="AI148" s="77">
        <f> ( IF(ISNUMBER(G148), VLOOKUP(G148/$AH148,F!$A1:$B101,2,1)*G148*$H148*$I148,0)+IF(ISNUMBER(K148), VLOOKUP(K148/$AH148,F!$A1:$B101,2,1)*K148*$L148*$M148,0)+IF(ISNUMBER(O148), VLOOKUP(O148/$AH148,F!$A1:$B101,2,1)*O148*$P148*$Q148,0)+IF(ISNUMBER(S148), VLOOKUP(S148/$AH148,F!$A1:$B101,2,1)*S148*$T148*$U148,0)+IF(ISNUMBER(W148), VLOOKUP(W148/$AH148,F!$A1:$B101,2,1)*W148*$X148*$Y148,0)+IF(ISNUMBER(AA148), VLOOKUP(AA148/$AH148,F!$A1:$B101,2,1)*AA148*$AB148*$AC148,0))*IF(ISNUMBER(F148),F148,1)*IF(ISNUMBER(E148),E148,1)</f>
        <v>0</v>
      </c>
      <c r="AJ148" s="86">
        <f t="shared" si="250"/>
        <v>0</v>
      </c>
      <c r="AK148" s="58">
        <f t="array" ref="AK148">IFERROR(I148*INDEX(F!$P$21:$AB$33, MATCH(G148/$AH148, F!$O$21:$O$33,1), MATCH(E148, F!$P$20:$AB$20,1)), 0 ) +IFERROR( M148*INDEX(F!$P$21:$AB$33, MATCH(K148/$AH148, F!$O$21:$O$33,1), MATCH(E148, F!$P$20:$AB$20,1)),0) +  IFERROR( Q148*INDEX(F!$P$21:$AB$33, MATCH(O148/$AH148, F!$O$21:$O$33,1), MATCH(E148, F!$P$20:$AB$20,1)), 0) + IFERROR( U148*INDEX(F!$P$21:$AB$33, MATCH(S148/$AH148, F!$O$21:$O$33,1), MATCH(E148, F!$P$20:$AB$20,1)),0)  + IFERROR(Y148*INDEX(F!$P$21:$AB$33, MATCH(W148/$AH148, F!$O$21:$O$33,1), MATCH(E148, F!$P$20:$AB$20,1)),0)  + IFERROR( AC148*INDEX(F!$P$21:$AB$33, MATCH(AA148/$AH148, F!$O$21:$O$33,1), MATCH(E148, F!$P$20:$AB$20,1)),)</f>
        <v>0</v>
      </c>
      <c r="AL148" s="59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ht="15.0" hidden="1" customHeight="1">
      <c r="A149" s="59"/>
      <c r="B149" s="60" t="str">
        <f t="shared" ref="B149:F149" si="255">IF(B93="","",B93)</f>
        <v/>
      </c>
      <c r="C149" s="61" t="str">
        <f t="shared" si="255"/>
        <v/>
      </c>
      <c r="D149" s="198" t="str">
        <f t="shared" si="255"/>
        <v/>
      </c>
      <c r="E149" s="48" t="str">
        <f t="shared" si="255"/>
        <v/>
      </c>
      <c r="F149" s="79" t="str">
        <f t="shared" si="255"/>
        <v/>
      </c>
      <c r="G149" s="64" t="str">
        <f t="shared" si="241"/>
        <v/>
      </c>
      <c r="H149" s="34"/>
      <c r="I149" s="34"/>
      <c r="J149" s="65"/>
      <c r="K149" s="64" t="str">
        <f t="shared" si="242"/>
        <v/>
      </c>
      <c r="L149" s="34"/>
      <c r="M149" s="34"/>
      <c r="N149" s="65"/>
      <c r="O149" s="64" t="str">
        <f t="shared" si="243"/>
        <v/>
      </c>
      <c r="P149" s="34"/>
      <c r="Q149" s="34"/>
      <c r="R149" s="65"/>
      <c r="S149" s="64" t="str">
        <f t="shared" si="244"/>
        <v/>
      </c>
      <c r="T149" s="34"/>
      <c r="U149" s="34"/>
      <c r="V149" s="65"/>
      <c r="W149" s="64" t="str">
        <f t="shared" si="245"/>
        <v/>
      </c>
      <c r="X149" s="34"/>
      <c r="Y149" s="34"/>
      <c r="Z149" s="65"/>
      <c r="AA149" s="64" t="str">
        <f t="shared" si="246"/>
        <v/>
      </c>
      <c r="AB149" s="34"/>
      <c r="AC149" s="34"/>
      <c r="AD149" s="65"/>
      <c r="AE149" s="66">
        <f t="shared" si="247"/>
        <v>0</v>
      </c>
      <c r="AF149" s="67">
        <f t="shared" si="190"/>
        <v>0</v>
      </c>
      <c r="AG149" s="68">
        <f t="shared" si="248"/>
        <v>0</v>
      </c>
      <c r="AH149" s="76" t="str">
        <f t="shared" si="249"/>
        <v/>
      </c>
      <c r="AI149" s="90">
        <f> ( IF(ISNUMBER(G149), VLOOKUP(G149/$AH149,F!$A1:$B101,2,1)*G149*$H149*$I149,0)+IF(ISNUMBER(K149), VLOOKUP(K149/$AH149,F!$A1:$B101,2,1)*K149*$L149*$M149,0)+IF(ISNUMBER(O149), VLOOKUP(O149/$AH149,F!$A1:$B101,2,1)*O149*$P149*$Q149,0)+IF(ISNUMBER(S149), VLOOKUP(S149/$AH149,F!$A1:$B101,2,1)*S149*$T149*$U149,0)+IF(ISNUMBER(W149), VLOOKUP(W149/$AH149,F!$A1:$B101,2,1)*W149*$X149*$Y149,0)+IF(ISNUMBER(AA149), VLOOKUP(AA149/$AH149,F!$A1:$B101,2,1)*AA149*$AB149*$AC149,0))*IF(ISNUMBER(F149),F149,1)*IF(ISNUMBER(E149),E149,1)</f>
        <v>0</v>
      </c>
      <c r="AJ149" s="34">
        <f t="shared" si="250"/>
        <v>0</v>
      </c>
      <c r="AK149" s="91">
        <f t="array" ref="AK149">IFERROR(I149*INDEX(F!$P$21:$AB$33, MATCH(G149/$AH149, F!$O$21:$O$33,1), MATCH(E149, F!$P$20:$AB$20,1)), 0 ) +IFERROR( M149*INDEX(F!$P$21:$AB$33, MATCH(K149/$AH149, F!$O$21:$O$33,1), MATCH(E149, F!$P$20:$AB$20,1)),0) +  IFERROR( Q149*INDEX(F!$P$21:$AB$33, MATCH(O149/$AH149, F!$O$21:$O$33,1), MATCH(E149, F!$P$20:$AB$20,1)), 0) + IFERROR( U149*INDEX(F!$P$21:$AB$33, MATCH(S149/$AH149, F!$O$21:$O$33,1), MATCH(E149, F!$P$20:$AB$20,1)),0)  + IFERROR(Y149*INDEX(F!$P$21:$AB$33, MATCH(W149/$AH149, F!$O$21:$O$33,1), MATCH(E149, F!$P$20:$AB$20,1)),0)  + IFERROR( AC149*INDEX(F!$P$21:$AB$33, MATCH(AA149/$AH149, F!$O$21:$O$33,1), MATCH(E149, F!$P$20:$AB$20,1)),)</f>
        <v>0</v>
      </c>
      <c r="AL149" s="59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ht="15.75" hidden="1" customHeight="1">
      <c r="A150" s="59"/>
      <c r="B150" s="45" t="str">
        <f t="shared" ref="B150:F150" si="256">IF(B94="","",B94)</f>
        <v/>
      </c>
      <c r="C150" s="46" t="str">
        <f t="shared" si="256"/>
        <v/>
      </c>
      <c r="D150" s="92" t="str">
        <f t="shared" si="256"/>
        <v/>
      </c>
      <c r="E150" s="48" t="str">
        <f t="shared" si="256"/>
        <v/>
      </c>
      <c r="F150" s="74" t="str">
        <f t="shared" si="256"/>
        <v/>
      </c>
      <c r="G150" s="50" t="str">
        <f t="shared" si="241"/>
        <v/>
      </c>
      <c r="H150" s="51"/>
      <c r="I150" s="51"/>
      <c r="J150" s="52"/>
      <c r="K150" s="50" t="str">
        <f t="shared" si="242"/>
        <v/>
      </c>
      <c r="L150" s="51"/>
      <c r="M150" s="51"/>
      <c r="N150" s="52"/>
      <c r="O150" s="50" t="str">
        <f t="shared" si="243"/>
        <v/>
      </c>
      <c r="P150" s="51"/>
      <c r="Q150" s="51"/>
      <c r="R150" s="52"/>
      <c r="S150" s="50" t="str">
        <f t="shared" si="244"/>
        <v/>
      </c>
      <c r="T150" s="51"/>
      <c r="U150" s="51"/>
      <c r="V150" s="52"/>
      <c r="W150" s="50" t="str">
        <f t="shared" si="245"/>
        <v/>
      </c>
      <c r="X150" s="51"/>
      <c r="Y150" s="51"/>
      <c r="Z150" s="52"/>
      <c r="AA150" s="50" t="str">
        <f t="shared" si="246"/>
        <v/>
      </c>
      <c r="AB150" s="51"/>
      <c r="AC150" s="51"/>
      <c r="AD150" s="52"/>
      <c r="AE150" s="53">
        <f t="shared" si="247"/>
        <v>0</v>
      </c>
      <c r="AF150" s="93">
        <f t="shared" si="190"/>
        <v>0</v>
      </c>
      <c r="AG150" s="94">
        <f t="shared" si="248"/>
        <v>0</v>
      </c>
      <c r="AH150" s="76" t="str">
        <f t="shared" si="249"/>
        <v/>
      </c>
      <c r="AI150" s="95">
        <f> ( IF(ISNUMBER(G150), VLOOKUP(G150/$AH150,F!$A1:$B101,2,1)*G150*$H150*$I150,0)+IF(ISNUMBER(K150), VLOOKUP(K150/$AH150,F!$A1:$B101,2,1)*K150*$L150*$M150,0)+IF(ISNUMBER(O150), VLOOKUP(O150/$AH150,F!$A1:$B101,2,1)*O150*$P150*$Q150,0)+IF(ISNUMBER(S150), VLOOKUP(S150/$AH150,F!$A1:$B101,2,1)*S150*$T150*$U150,0)+IF(ISNUMBER(W150), VLOOKUP(W150/$AH150,F!$A1:$B101,2,1)*W150*$X150*$Y150,0)+IF(ISNUMBER(AA150), VLOOKUP(AA150/$AH150,F!$A1:$B101,2,1)*AA150*$AB150*$AC150,0))*IF(ISNUMBER(F150),F150,1)*IF(ISNUMBER(E150),E150,1)</f>
        <v>0</v>
      </c>
      <c r="AJ150" s="96">
        <f t="shared" si="250"/>
        <v>0</v>
      </c>
      <c r="AK150" s="97">
        <f t="array" ref="AK150">IFERROR(I150*INDEX(F!$P$21:$AB$33, MATCH(G150/$AH150, F!$O$21:$O$33,1), MATCH(E150, F!$P$20:$AB$20,1)), 0 ) +IFERROR( M150*INDEX(F!$P$21:$AB$33, MATCH(K150/$AH150, F!$O$21:$O$33,1), MATCH(E150, F!$P$20:$AB$20,1)),0) +  IFERROR( Q150*INDEX(F!$P$21:$AB$33, MATCH(O150/$AH150, F!$O$21:$O$33,1), MATCH(E150, F!$P$20:$AB$20,1)), 0) + IFERROR( U150*INDEX(F!$P$21:$AB$33, MATCH(S150/$AH150, F!$O$21:$O$33,1), MATCH(E150, F!$P$20:$AB$20,1)),0)  + IFERROR(Y150*INDEX(F!$P$21:$AB$33, MATCH(W150/$AH150, F!$O$21:$O$33,1), MATCH(E150, F!$P$20:$AB$20,1)),0)  + IFERROR( AC150*INDEX(F!$P$21:$AB$33, MATCH(AA150/$AH150, F!$O$21:$O$33,1), MATCH(E150, F!$P$20:$AB$20,1)),)</f>
        <v>0</v>
      </c>
      <c r="AL150" s="59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ht="15.75" hidden="1" customHeight="1">
      <c r="A151" s="98"/>
      <c r="B151" s="99"/>
      <c r="C151" s="100"/>
      <c r="D151" s="101"/>
      <c r="E151" s="102">
        <f>ROUND(IFERROR(SUMPRODUCT(AJ143:AJ150,E143:E150)/AJ151,0),3)</f>
        <v>0</v>
      </c>
      <c r="F151" s="199"/>
      <c r="G151" s="104"/>
      <c r="H151" s="105"/>
      <c r="I151" s="105"/>
      <c r="J151" s="106"/>
      <c r="K151" s="104"/>
      <c r="L151" s="105"/>
      <c r="M151" s="105"/>
      <c r="N151" s="106"/>
      <c r="O151" s="104"/>
      <c r="P151" s="105"/>
      <c r="Q151" s="105"/>
      <c r="R151" s="106"/>
      <c r="S151" s="104"/>
      <c r="T151" s="105"/>
      <c r="U151" s="105"/>
      <c r="V151" s="106"/>
      <c r="W151" s="104"/>
      <c r="X151" s="105"/>
      <c r="Y151" s="105"/>
      <c r="Z151" s="106"/>
      <c r="AA151" s="104"/>
      <c r="AB151" s="105"/>
      <c r="AC151" s="105"/>
      <c r="AD151" s="106"/>
      <c r="AE151" s="107">
        <f>SUM(AE143:AE150)</f>
        <v>0</v>
      </c>
      <c r="AF151" s="108">
        <f t="shared" si="190"/>
        <v>0</v>
      </c>
      <c r="AG151" s="109">
        <f>IFERROR(  SUMPRODUCT(AG143:AG150,AJ143:AJ150)/AJ151,0)</f>
        <v>0</v>
      </c>
      <c r="AH151" s="157"/>
      <c r="AI151" s="111">
        <f t="shared" ref="AI151:AJ151" si="257">SUM(AI143:AI150)</f>
        <v>0</v>
      </c>
      <c r="AJ151" s="111">
        <f t="shared" si="257"/>
        <v>0</v>
      </c>
      <c r="AK151" s="112">
        <f>IF(SUM(AK143:AK150)=0,TIME(,0,),TIME(,SUM(AK143:AK150)+F!$V$37,))</f>
        <v>0</v>
      </c>
      <c r="AL151" s="98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ht="15.75" hidden="1" customHeight="1">
      <c r="A152" s="113">
        <f>A153</f>
        <v>43800</v>
      </c>
      <c r="B152" s="114" t="str">
        <f t="shared" ref="B152:F152" si="258">IF(B96="","",B96)</f>
        <v/>
      </c>
      <c r="C152" s="115" t="str">
        <f t="shared" si="258"/>
        <v/>
      </c>
      <c r="D152" s="116" t="str">
        <f t="shared" si="258"/>
        <v/>
      </c>
      <c r="E152" s="29" t="str">
        <f t="shared" si="258"/>
        <v/>
      </c>
      <c r="F152" s="117" t="str">
        <f t="shared" si="258"/>
        <v/>
      </c>
      <c r="G152" s="118" t="str">
        <f t="shared" ref="G152:G159" si="260">IF(J152&lt;&gt;0, IFERROR(IF( $F152=2,  MROUND($AH152*J152,1),    IF( OR($F152="",$F152=1),   MROUND($AH152*J152,2.5),  MROUND($AH152*J152, 0.1))), "" ), "")</f>
        <v/>
      </c>
      <c r="H152" s="119"/>
      <c r="I152" s="119"/>
      <c r="J152" s="120"/>
      <c r="K152" s="118" t="str">
        <f t="shared" ref="K152:K159" si="261">IF(N152&lt;&gt;0, IFERROR(IF( $F152=2,  MROUND($AH152*N152,1),    IF( OR($F152="",$F152=1),   MROUND($AH152*N152,2.5),  MROUND($AH152*N152, 0.1))), "" ), "")</f>
        <v/>
      </c>
      <c r="L152" s="119"/>
      <c r="M152" s="119"/>
      <c r="N152" s="120"/>
      <c r="O152" s="118" t="str">
        <f t="shared" ref="O152:O159" si="262">IF(R152&lt;&gt;0, IFERROR(IF( $F152=2,  MROUND($AH152*R152,1),    IF( OR($F152="",$F152=1),   MROUND($AH152*R152,2.5),  MROUND($AH152*R152, 0.1))), "" ), "")</f>
        <v/>
      </c>
      <c r="P152" s="119"/>
      <c r="Q152" s="119"/>
      <c r="R152" s="120"/>
      <c r="S152" s="118" t="str">
        <f t="shared" ref="S152:S159" si="263">IF(V152&lt;&gt;0, IFERROR(IF( $F152=2,  MROUND($AH152*V152,1),    IF( OR($F152="",$F152=1),   MROUND($AH152*V152,2.5),  MROUND($AH152*V152, 0.1))), "" ), "")</f>
        <v/>
      </c>
      <c r="T152" s="119"/>
      <c r="U152" s="119"/>
      <c r="V152" s="120"/>
      <c r="W152" s="118" t="str">
        <f t="shared" ref="W152:W159" si="264">IF(Z152&lt;&gt;0, IFERROR(IF( $F152=2,  MROUND($AH152*Z152,1),    IF( OR($F152="",$F152=1),   MROUND($AH152*Z152,2.5),  MROUND($AH152*Z152, 0.1))), "" ), "")</f>
        <v/>
      </c>
      <c r="X152" s="119"/>
      <c r="Y152" s="119"/>
      <c r="Z152" s="120"/>
      <c r="AA152" s="118" t="str">
        <f t="shared" ref="AA152:AA159" si="265">IF(AD152&lt;&gt;0, IFERROR(IF( $F152=2,  MROUND($AH152*AD152,1),    IF( OR($F152="",$F152=1),   MROUND($AH152*AD152,2.5),  MROUND($AH152*AD152, 0.1))), "" ), "")</f>
        <v/>
      </c>
      <c r="AB152" s="119"/>
      <c r="AC152" s="119"/>
      <c r="AD152" s="120"/>
      <c r="AE152" s="121">
        <f t="shared" ref="AE152:AE159" si="266">(IF(ISNUMBER(G152),G152,0)*H152*I152+IF(ISNUMBER(K152),K152,1)*L152*M152+IF(ISNUMBER(O152),O152,1)*P152*Q152+IF(ISNUMBER(S152),S152,1)*T152*U152+IF(ISNUMBER(W152),W152,1)*X152*Y152+IF(ISNUMBER(AA152),AA152,1)*AB152*AC152)*IF(ISNUMBER(F152),F152,1)</f>
        <v>0</v>
      </c>
      <c r="AF152" s="122">
        <f t="shared" si="190"/>
        <v>0</v>
      </c>
      <c r="AG152" s="200">
        <f t="shared" ref="AG152:AG159" si="267">IFERROR((AF152/(AH152*IF(ISNUMBER(F152),F152,1))),0)</f>
        <v>0</v>
      </c>
      <c r="AH152" s="169" t="str">
        <f t="shared" ref="AH152:AH159" si="268">IF(ISNUMBER(AH96), AH96+(AH96*$AH$114),"")</f>
        <v/>
      </c>
      <c r="AI152" s="122">
        <f> ( IF(ISNUMBER(G152), VLOOKUP(G152/$AH152,F!$A1:$B101,2,1)*G152*$H152*$I152,0)+IF(ISNUMBER(K152), VLOOKUP(K152/$AH152,F!$A1:$B101,2,1)*K152*$L152*$M152,0)+IF(ISNUMBER(O152), VLOOKUP(O152/$AH152,F!$A1:$B101,2,1)*O152*$P152*$Q152,0)+IF(ISNUMBER(S152), VLOOKUP(S152/$AH152,F!$A1:$B101,2,1)*S152*$T152*$U152,0)+IF(ISNUMBER(W152), VLOOKUP(W152/$AH152,F!$A1:$B101,2,1)*W152*$X152*$Y152,0)+IF(ISNUMBER(AA152), VLOOKUP(AA152/$AH152,F!$A1:$B101,2,1)*AA152*$AB152*$AC152,0))*IF(ISNUMBER(F152),F152,1)*IF(ISNUMBER(E152),E152,1)</f>
        <v>0</v>
      </c>
      <c r="AJ152" s="119">
        <f t="shared" ref="AJ152:AJ159" si="269">H152*I152+L152*M152+P152*Q152+T152*U152+X152*Y152+AB152*AC152</f>
        <v>0</v>
      </c>
      <c r="AK152" s="125">
        <f t="array" ref="AK152">IFERROR(I152*INDEX(F!$P$21:$AB$33, MATCH(G152/$AH152, F!$O$21:$O$33,1), MATCH(E152, F!$P$20:$AB$20,1)), 0 ) +IFERROR( M152*INDEX(F!$P$21:$AB$33, MATCH(K152/$AH152, F!$O$21:$O$33,1), MATCH(E152, F!$P$20:$AB$20,1)),0) +  IFERROR( Q152*INDEX(F!$P$21:$AB$33, MATCH(O152/$AH152, F!$O$21:$O$33,1), MATCH(E152, F!$P$20:$AB$20,1)), 0) + IFERROR( U152*INDEX(F!$P$21:$AB$33, MATCH(S152/$AH152, F!$O$21:$O$33,1), MATCH(E152, F!$P$20:$AB$20,1)),0)  + IFERROR(Y152*INDEX(F!$P$21:$AB$33, MATCH(W152/$AH152, F!$O$21:$O$33,1), MATCH(E152, F!$P$20:$AB$20,1)),0)  + IFERROR( AC152*INDEX(F!$P$21:$AB$33, MATCH(AA152/$AH152, F!$O$21:$O$33,1), MATCH(E152, F!$P$20:$AB$20,1)),)</f>
        <v>0</v>
      </c>
      <c r="AL152" s="42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ht="15.75" hidden="1" customHeight="1">
      <c r="A153" s="44">
        <f>A97+A58</f>
        <v>43800</v>
      </c>
      <c r="B153" s="126" t="str">
        <f t="shared" ref="B153:F153" si="259">IF(B97="","",B97)</f>
        <v/>
      </c>
      <c r="C153" s="127" t="str">
        <f t="shared" si="259"/>
        <v/>
      </c>
      <c r="D153" s="128" t="str">
        <f t="shared" si="259"/>
        <v/>
      </c>
      <c r="E153" s="48" t="str">
        <f t="shared" si="259"/>
        <v/>
      </c>
      <c r="F153" s="129" t="str">
        <f t="shared" si="259"/>
        <v/>
      </c>
      <c r="G153" s="130" t="str">
        <f t="shared" si="260"/>
        <v/>
      </c>
      <c r="H153" s="34"/>
      <c r="I153" s="34"/>
      <c r="J153" s="65"/>
      <c r="K153" s="130" t="str">
        <f t="shared" si="261"/>
        <v/>
      </c>
      <c r="L153" s="34"/>
      <c r="M153" s="34"/>
      <c r="N153" s="65"/>
      <c r="O153" s="130" t="str">
        <f t="shared" si="262"/>
        <v/>
      </c>
      <c r="P153" s="34"/>
      <c r="Q153" s="34"/>
      <c r="R153" s="65"/>
      <c r="S153" s="130" t="str">
        <f t="shared" si="263"/>
        <v/>
      </c>
      <c r="T153" s="34"/>
      <c r="U153" s="34"/>
      <c r="V153" s="65"/>
      <c r="W153" s="130" t="str">
        <f t="shared" si="264"/>
        <v/>
      </c>
      <c r="X153" s="34"/>
      <c r="Y153" s="34"/>
      <c r="Z153" s="65"/>
      <c r="AA153" s="130" t="str">
        <f t="shared" si="265"/>
        <v/>
      </c>
      <c r="AB153" s="34"/>
      <c r="AC153" s="34"/>
      <c r="AD153" s="65"/>
      <c r="AE153" s="131">
        <f t="shared" si="266"/>
        <v>0</v>
      </c>
      <c r="AF153" s="132">
        <f t="shared" si="190"/>
        <v>0</v>
      </c>
      <c r="AG153" s="133">
        <f t="shared" si="267"/>
        <v>0</v>
      </c>
      <c r="AH153" s="76" t="str">
        <f t="shared" si="268"/>
        <v/>
      </c>
      <c r="AI153" s="132">
        <f> ( IF(ISNUMBER(G153), VLOOKUP(G153/$AH153,F!$A1:$B101,2,1)*G153*$H153*$I153,0)+IF(ISNUMBER(K153), VLOOKUP(K153/$AH153,F!$A1:$B101,2,1)*K153*$L153*$M153,0)+IF(ISNUMBER(O153), VLOOKUP(O153/$AH153,F!$A1:$B101,2,1)*O153*$P153*$Q153,0)+IF(ISNUMBER(S153), VLOOKUP(S153/$AH153,F!$A1:$B101,2,1)*S153*$T153*$U153,0)+IF(ISNUMBER(W153), VLOOKUP(W153/$AH153,F!$A1:$B101,2,1)*W153*$X153*$Y153,0)+IF(ISNUMBER(AA153), VLOOKUP(AA153/$AH153,F!$A1:$B101,2,1)*AA153*$AB153*$AC153,0))*IF(ISNUMBER(F153),F153,1)*IF(ISNUMBER(E153),E153,1)</f>
        <v>0</v>
      </c>
      <c r="AJ153" s="34">
        <f t="shared" si="269"/>
        <v>0</v>
      </c>
      <c r="AK153" s="134">
        <f t="array" ref="AK153">IFERROR(I153*INDEX(F!$P$21:$AB$33, MATCH(G153/$AH153, F!$O$21:$O$33,1), MATCH(E153, F!$P$20:$AB$20,1)), 0 ) +IFERROR( M153*INDEX(F!$P$21:$AB$33, MATCH(K153/$AH153, F!$O$21:$O$33,1), MATCH(E153, F!$P$20:$AB$20,1)),0) +  IFERROR( Q153*INDEX(F!$P$21:$AB$33, MATCH(O153/$AH153, F!$O$21:$O$33,1), MATCH(E153, F!$P$20:$AB$20,1)), 0) + IFERROR( U153*INDEX(F!$P$21:$AB$33, MATCH(S153/$AH153, F!$O$21:$O$33,1), MATCH(E153, F!$P$20:$AB$20,1)),0)  + IFERROR(Y153*INDEX(F!$P$21:$AB$33, MATCH(W153/$AH153, F!$O$21:$O$33,1), MATCH(E153, F!$P$20:$AB$20,1)),0)  + IFERROR( AC153*INDEX(F!$P$21:$AB$33, MATCH(AA153/$AH153, F!$O$21:$O$33,1), MATCH(E153, F!$P$20:$AB$20,1)),)</f>
        <v>0</v>
      </c>
      <c r="AL153" s="59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ht="15.75" hidden="1" customHeight="1">
      <c r="A154" s="59"/>
      <c r="B154" s="135" t="str">
        <f t="shared" ref="B154:F154" si="270">IF(B98="","",B98)</f>
        <v/>
      </c>
      <c r="C154" s="136" t="str">
        <f t="shared" si="270"/>
        <v/>
      </c>
      <c r="D154" s="137" t="str">
        <f t="shared" si="270"/>
        <v/>
      </c>
      <c r="E154" s="48" t="str">
        <f t="shared" si="270"/>
        <v/>
      </c>
      <c r="F154" s="138" t="str">
        <f t="shared" si="270"/>
        <v/>
      </c>
      <c r="G154" s="139" t="str">
        <f t="shared" si="260"/>
        <v/>
      </c>
      <c r="H154" s="140"/>
      <c r="I154" s="140"/>
      <c r="J154" s="141"/>
      <c r="K154" s="139" t="str">
        <f t="shared" si="261"/>
        <v/>
      </c>
      <c r="L154" s="140"/>
      <c r="M154" s="140"/>
      <c r="N154" s="141"/>
      <c r="O154" s="139" t="str">
        <f t="shared" si="262"/>
        <v/>
      </c>
      <c r="P154" s="140"/>
      <c r="Q154" s="140"/>
      <c r="R154" s="141"/>
      <c r="S154" s="139" t="str">
        <f t="shared" si="263"/>
        <v/>
      </c>
      <c r="T154" s="140"/>
      <c r="U154" s="140"/>
      <c r="V154" s="141"/>
      <c r="W154" s="139" t="str">
        <f t="shared" si="264"/>
        <v/>
      </c>
      <c r="X154" s="140"/>
      <c r="Y154" s="140"/>
      <c r="Z154" s="141"/>
      <c r="AA154" s="139" t="str">
        <f t="shared" si="265"/>
        <v/>
      </c>
      <c r="AB154" s="140"/>
      <c r="AC154" s="140"/>
      <c r="AD154" s="141"/>
      <c r="AE154" s="142">
        <f t="shared" si="266"/>
        <v>0</v>
      </c>
      <c r="AF154" s="143">
        <f t="shared" si="190"/>
        <v>0</v>
      </c>
      <c r="AG154" s="144">
        <f t="shared" si="267"/>
        <v>0</v>
      </c>
      <c r="AH154" s="76" t="str">
        <f t="shared" si="268"/>
        <v/>
      </c>
      <c r="AI154" s="143">
        <f> ( IF(ISNUMBER(G154), VLOOKUP(G154/$AH154,F!$A1:$B101,2,1)*G154*$H154*$I154,0)+IF(ISNUMBER(K154), VLOOKUP(K154/$AH154,F!$A1:$B101,2,1)*K154*$L154*$M154,0)+IF(ISNUMBER(O154), VLOOKUP(O154/$AH154,F!$A1:$B101,2,1)*O154*$P154*$Q154,0)+IF(ISNUMBER(S154), VLOOKUP(S154/$AH154,F!$A1:$B101,2,1)*S154*$T154*$U154,0)+IF(ISNUMBER(W154), VLOOKUP(W154/$AH154,F!$A1:$B101,2,1)*W154*$X154*$Y154,0)+IF(ISNUMBER(AA154), VLOOKUP(AA154/$AH154,F!$A1:$B101,2,1)*AA154*$AB154*$AC154,0))*IF(ISNUMBER(F154),F154,1)*IF(ISNUMBER(E154),E154,1)</f>
        <v>0</v>
      </c>
      <c r="AJ154" s="140">
        <f t="shared" si="269"/>
        <v>0</v>
      </c>
      <c r="AK154" s="145">
        <f t="array" ref="AK154">IFERROR(I154*INDEX(F!$P$21:$AB$33, MATCH(G154/$AH154, F!$O$21:$O$33,1), MATCH(E154, F!$P$20:$AB$20,1)), 0 ) +IFERROR( M154*INDEX(F!$P$21:$AB$33, MATCH(K154/$AH154, F!$O$21:$O$33,1), MATCH(E154, F!$P$20:$AB$20,1)),0) +  IFERROR( Q154*INDEX(F!$P$21:$AB$33, MATCH(O154/$AH154, F!$O$21:$O$33,1), MATCH(E154, F!$P$20:$AB$20,1)), 0) + IFERROR( U154*INDEX(F!$P$21:$AB$33, MATCH(S154/$AH154, F!$O$21:$O$33,1), MATCH(E154, F!$P$20:$AB$20,1)),0)  + IFERROR(Y154*INDEX(F!$P$21:$AB$33, MATCH(W154/$AH154, F!$O$21:$O$33,1), MATCH(E154, F!$P$20:$AB$20,1)),0)  + IFERROR( AC154*INDEX(F!$P$21:$AB$33, MATCH(AA154/$AH154, F!$O$21:$O$33,1), MATCH(E154, F!$P$20:$AB$20,1)),)</f>
        <v>0</v>
      </c>
      <c r="AL154" s="59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ht="14.25" hidden="1" customHeight="1">
      <c r="A155" s="59"/>
      <c r="B155" s="126" t="str">
        <f t="shared" ref="B155:F155" si="271">IF(B99="","",B99)</f>
        <v/>
      </c>
      <c r="C155" s="127" t="str">
        <f t="shared" si="271"/>
        <v/>
      </c>
      <c r="D155" s="128" t="str">
        <f t="shared" si="271"/>
        <v/>
      </c>
      <c r="E155" s="48" t="str">
        <f t="shared" si="271"/>
        <v/>
      </c>
      <c r="F155" s="129" t="str">
        <f t="shared" si="271"/>
        <v/>
      </c>
      <c r="G155" s="130" t="str">
        <f t="shared" si="260"/>
        <v/>
      </c>
      <c r="H155" s="34"/>
      <c r="I155" s="34"/>
      <c r="J155" s="65"/>
      <c r="K155" s="130" t="str">
        <f t="shared" si="261"/>
        <v/>
      </c>
      <c r="L155" s="34"/>
      <c r="M155" s="34"/>
      <c r="N155" s="65"/>
      <c r="O155" s="130" t="str">
        <f t="shared" si="262"/>
        <v/>
      </c>
      <c r="P155" s="34"/>
      <c r="Q155" s="34"/>
      <c r="R155" s="65"/>
      <c r="S155" s="130" t="str">
        <f t="shared" si="263"/>
        <v/>
      </c>
      <c r="T155" s="34"/>
      <c r="U155" s="34"/>
      <c r="V155" s="65"/>
      <c r="W155" s="130" t="str">
        <f t="shared" si="264"/>
        <v/>
      </c>
      <c r="X155" s="34"/>
      <c r="Y155" s="34"/>
      <c r="Z155" s="65"/>
      <c r="AA155" s="130" t="str">
        <f t="shared" si="265"/>
        <v/>
      </c>
      <c r="AB155" s="34"/>
      <c r="AC155" s="34"/>
      <c r="AD155" s="65"/>
      <c r="AE155" s="131">
        <f t="shared" si="266"/>
        <v>0</v>
      </c>
      <c r="AF155" s="132">
        <f t="shared" si="190"/>
        <v>0</v>
      </c>
      <c r="AG155" s="133">
        <f t="shared" si="267"/>
        <v>0</v>
      </c>
      <c r="AH155" s="76" t="str">
        <f t="shared" si="268"/>
        <v/>
      </c>
      <c r="AI155" s="132">
        <f> ( IF(ISNUMBER(G155), VLOOKUP(G155/$AH155,F!$A1:$B101,2,1)*G155*$H155*$I155,0)+IF(ISNUMBER(K155), VLOOKUP(K155/$AH155,F!$A1:$B101,2,1)*K155*$L155*$M155,0)+IF(ISNUMBER(O155), VLOOKUP(O155/$AH155,F!$A1:$B101,2,1)*O155*$P155*$Q155,0)+IF(ISNUMBER(S155), VLOOKUP(S155/$AH155,F!$A1:$B101,2,1)*S155*$T155*$U155,0)+IF(ISNUMBER(W155), VLOOKUP(W155/$AH155,F!$A1:$B101,2,1)*W155*$X155*$Y155,0)+IF(ISNUMBER(AA155), VLOOKUP(AA155/$AH155,F!$A1:$B101,2,1)*AA155*$AB155*$AC155,0))*IF(ISNUMBER(F155),F155,1)*IF(ISNUMBER(E155),E155,1)</f>
        <v>0</v>
      </c>
      <c r="AJ155" s="34">
        <f t="shared" si="269"/>
        <v>0</v>
      </c>
      <c r="AK155" s="134">
        <f t="array" ref="AK155">IFERROR(I155*INDEX(F!$P$21:$AB$33, MATCH(G155/$AH155, F!$O$21:$O$33,1), MATCH(E155, F!$P$20:$AB$20,1)), 0 ) +IFERROR( M155*INDEX(F!$P$21:$AB$33, MATCH(K155/$AH155, F!$O$21:$O$33,1), MATCH(E155, F!$P$20:$AB$20,1)),0) +  IFERROR( Q155*INDEX(F!$P$21:$AB$33, MATCH(O155/$AH155, F!$O$21:$O$33,1), MATCH(E155, F!$P$20:$AB$20,1)), 0) + IFERROR( U155*INDEX(F!$P$21:$AB$33, MATCH(S155/$AH155, F!$O$21:$O$33,1), MATCH(E155, F!$P$20:$AB$20,1)),0)  + IFERROR(Y155*INDEX(F!$P$21:$AB$33, MATCH(W155/$AH155, F!$O$21:$O$33,1), MATCH(E155, F!$P$20:$AB$20,1)),0)  + IFERROR( AC155*INDEX(F!$P$21:$AB$33, MATCH(AA155/$AH155, F!$O$21:$O$33,1), MATCH(E155, F!$P$20:$AB$20,1)),)</f>
        <v>0</v>
      </c>
      <c r="AL155" s="59"/>
      <c r="AM155" s="219"/>
      <c r="AN155" s="220"/>
      <c r="AO155" s="220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ht="15.0" hidden="1" customHeight="1">
      <c r="A156" s="59"/>
      <c r="B156" s="135" t="str">
        <f t="shared" ref="B156:F156" si="272">IF(B100="","",B100)</f>
        <v/>
      </c>
      <c r="C156" s="136" t="str">
        <f t="shared" si="272"/>
        <v/>
      </c>
      <c r="D156" s="137" t="str">
        <f t="shared" si="272"/>
        <v/>
      </c>
      <c r="E156" s="48" t="str">
        <f t="shared" si="272"/>
        <v/>
      </c>
      <c r="F156" s="138" t="str">
        <f t="shared" si="272"/>
        <v/>
      </c>
      <c r="G156" s="139" t="str">
        <f t="shared" si="260"/>
        <v/>
      </c>
      <c r="H156" s="140"/>
      <c r="I156" s="140"/>
      <c r="J156" s="141"/>
      <c r="K156" s="139" t="str">
        <f t="shared" si="261"/>
        <v/>
      </c>
      <c r="L156" s="140"/>
      <c r="M156" s="140"/>
      <c r="N156" s="141"/>
      <c r="O156" s="139" t="str">
        <f t="shared" si="262"/>
        <v/>
      </c>
      <c r="P156" s="140"/>
      <c r="Q156" s="140"/>
      <c r="R156" s="141"/>
      <c r="S156" s="139" t="str">
        <f t="shared" si="263"/>
        <v/>
      </c>
      <c r="T156" s="140"/>
      <c r="U156" s="140"/>
      <c r="V156" s="141"/>
      <c r="W156" s="139" t="str">
        <f t="shared" si="264"/>
        <v/>
      </c>
      <c r="X156" s="140"/>
      <c r="Y156" s="140"/>
      <c r="Z156" s="141"/>
      <c r="AA156" s="139" t="str">
        <f t="shared" si="265"/>
        <v/>
      </c>
      <c r="AB156" s="140"/>
      <c r="AC156" s="140"/>
      <c r="AD156" s="141"/>
      <c r="AE156" s="142">
        <f t="shared" si="266"/>
        <v>0</v>
      </c>
      <c r="AF156" s="143">
        <f t="shared" si="190"/>
        <v>0</v>
      </c>
      <c r="AG156" s="144">
        <f t="shared" si="267"/>
        <v>0</v>
      </c>
      <c r="AH156" s="76" t="str">
        <f t="shared" si="268"/>
        <v/>
      </c>
      <c r="AI156" s="143">
        <f> ( IF(ISNUMBER(G156), VLOOKUP(G156/$AH156,F!$A1:$B101,2,1)*G156*$H156*$I156,0)+IF(ISNUMBER(K156), VLOOKUP(K156/$AH156,F!$A1:$B101,2,1)*K156*$L156*$M156,0)+IF(ISNUMBER(O156), VLOOKUP(O156/$AH156,F!$A1:$B101,2,1)*O156*$P156*$Q156,0)+IF(ISNUMBER(S156), VLOOKUP(S156/$AH156,F!$A1:$B101,2,1)*S156*$T156*$U156,0)+IF(ISNUMBER(W156), VLOOKUP(W156/$AH156,F!$A1:$B101,2,1)*W156*$X156*$Y156,0)+IF(ISNUMBER(AA156), VLOOKUP(AA156/$AH156,F!$A1:$B101,2,1)*AA156*$AB156*$AC156,0))*IF(ISNUMBER(F156),F156,1)*IF(ISNUMBER(E156),E156,1)</f>
        <v>0</v>
      </c>
      <c r="AJ156" s="140">
        <f t="shared" si="269"/>
        <v>0</v>
      </c>
      <c r="AK156" s="145">
        <f t="array" ref="AK156">IFERROR(I156*INDEX(F!$P$21:$AB$33, MATCH(G156/$AH156, F!$O$21:$O$33,1), MATCH(E156, F!$P$20:$AB$20,1)), 0 ) +IFERROR( M156*INDEX(F!$P$21:$AB$33, MATCH(K156/$AH156, F!$O$21:$O$33,1), MATCH(E156, F!$P$20:$AB$20,1)),0) +  IFERROR( Q156*INDEX(F!$P$21:$AB$33, MATCH(O156/$AH156, F!$O$21:$O$33,1), MATCH(E156, F!$P$20:$AB$20,1)), 0) + IFERROR( U156*INDEX(F!$P$21:$AB$33, MATCH(S156/$AH156, F!$O$21:$O$33,1), MATCH(E156, F!$P$20:$AB$20,1)),0)  + IFERROR(Y156*INDEX(F!$P$21:$AB$33, MATCH(W156/$AH156, F!$O$21:$O$33,1), MATCH(E156, F!$P$20:$AB$20,1)),0)  + IFERROR( AC156*INDEX(F!$P$21:$AB$33, MATCH(AA156/$AH156, F!$O$21:$O$33,1), MATCH(E156, F!$P$20:$AB$20,1)),)</f>
        <v>0</v>
      </c>
      <c r="AL156" s="59"/>
      <c r="AM156" s="220"/>
      <c r="AN156" s="220"/>
      <c r="AO156" s="220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ht="15.75" hidden="1" customHeight="1">
      <c r="A157" s="59"/>
      <c r="B157" s="126" t="str">
        <f t="shared" ref="B157:F157" si="273">IF(B101="","",B101)</f>
        <v/>
      </c>
      <c r="C157" s="127" t="str">
        <f t="shared" si="273"/>
        <v/>
      </c>
      <c r="D157" s="128" t="str">
        <f t="shared" si="273"/>
        <v/>
      </c>
      <c r="E157" s="48" t="str">
        <f t="shared" si="273"/>
        <v/>
      </c>
      <c r="F157" s="129" t="str">
        <f t="shared" si="273"/>
        <v/>
      </c>
      <c r="G157" s="130" t="str">
        <f t="shared" si="260"/>
        <v/>
      </c>
      <c r="H157" s="34"/>
      <c r="I157" s="34"/>
      <c r="J157" s="65"/>
      <c r="K157" s="130" t="str">
        <f t="shared" si="261"/>
        <v/>
      </c>
      <c r="L157" s="34"/>
      <c r="M157" s="34"/>
      <c r="N157" s="65"/>
      <c r="O157" s="130" t="str">
        <f t="shared" si="262"/>
        <v/>
      </c>
      <c r="P157" s="34"/>
      <c r="Q157" s="34"/>
      <c r="R157" s="65"/>
      <c r="S157" s="130" t="str">
        <f t="shared" si="263"/>
        <v/>
      </c>
      <c r="T157" s="34"/>
      <c r="U157" s="34"/>
      <c r="V157" s="65"/>
      <c r="W157" s="130" t="str">
        <f t="shared" si="264"/>
        <v/>
      </c>
      <c r="X157" s="34"/>
      <c r="Y157" s="34"/>
      <c r="Z157" s="65"/>
      <c r="AA157" s="130" t="str">
        <f t="shared" si="265"/>
        <v/>
      </c>
      <c r="AB157" s="34"/>
      <c r="AC157" s="34"/>
      <c r="AD157" s="65"/>
      <c r="AE157" s="131">
        <f t="shared" si="266"/>
        <v>0</v>
      </c>
      <c r="AF157" s="132">
        <f t="shared" si="190"/>
        <v>0</v>
      </c>
      <c r="AG157" s="133">
        <f t="shared" si="267"/>
        <v>0</v>
      </c>
      <c r="AH157" s="76" t="str">
        <f t="shared" si="268"/>
        <v/>
      </c>
      <c r="AI157" s="132">
        <f> ( IF(ISNUMBER(G157), VLOOKUP(G157/$AH157,F!$A1:$B101,2,1)*G157*$H157*$I157,0)+IF(ISNUMBER(K157), VLOOKUP(K157/$AH157,F!$A1:$B101,2,1)*K157*$L157*$M157,0)+IF(ISNUMBER(O157), VLOOKUP(O157/$AH157,F!$A1:$B101,2,1)*O157*$P157*$Q157,0)+IF(ISNUMBER(S157), VLOOKUP(S157/$AH157,F!$A1:$B101,2,1)*S157*$T157*$U157,0)+IF(ISNUMBER(W157), VLOOKUP(W157/$AH157,F!$A1:$B101,2,1)*W157*$X157*$Y157,0)+IF(ISNUMBER(AA157), VLOOKUP(AA157/$AH157,F!$A1:$B101,2,1)*AA157*$AB157*$AC157,0))*IF(ISNUMBER(F157),F157,1)*IF(ISNUMBER(E157),E157,1)</f>
        <v>0</v>
      </c>
      <c r="AJ157" s="34">
        <f t="shared" si="269"/>
        <v>0</v>
      </c>
      <c r="AK157" s="134">
        <f t="array" ref="AK157">IFERROR(I157*INDEX(F!$P$21:$AB$33, MATCH(G157/$AH157, F!$O$21:$O$33,1), MATCH(E157, F!$P$20:$AB$20,1)), 0 ) +IFERROR( M157*INDEX(F!$P$21:$AB$33, MATCH(K157/$AH157, F!$O$21:$O$33,1), MATCH(E157, F!$P$20:$AB$20,1)),0) +  IFERROR( Q157*INDEX(F!$P$21:$AB$33, MATCH(O157/$AH157, F!$O$21:$O$33,1), MATCH(E157, F!$P$20:$AB$20,1)), 0) + IFERROR( U157*INDEX(F!$P$21:$AB$33, MATCH(S157/$AH157, F!$O$21:$O$33,1), MATCH(E157, F!$P$20:$AB$20,1)),0)  + IFERROR(Y157*INDEX(F!$P$21:$AB$33, MATCH(W157/$AH157, F!$O$21:$O$33,1), MATCH(E157, F!$P$20:$AB$20,1)),0)  + IFERROR( AC157*INDEX(F!$P$21:$AB$33, MATCH(AA157/$AH157, F!$O$21:$O$33,1), MATCH(E157, F!$P$20:$AB$20,1)),)</f>
        <v>0</v>
      </c>
      <c r="AL157" s="59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ht="15.75" hidden="1" customHeight="1">
      <c r="A158" s="59"/>
      <c r="B158" s="135" t="str">
        <f t="shared" ref="B158:F158" si="274">IF(B102="","",B102)</f>
        <v/>
      </c>
      <c r="C158" s="136" t="str">
        <f t="shared" si="274"/>
        <v/>
      </c>
      <c r="D158" s="137" t="str">
        <f t="shared" si="274"/>
        <v/>
      </c>
      <c r="E158" s="48" t="str">
        <f t="shared" si="274"/>
        <v/>
      </c>
      <c r="F158" s="138" t="str">
        <f t="shared" si="274"/>
        <v/>
      </c>
      <c r="G158" s="139" t="str">
        <f t="shared" si="260"/>
        <v/>
      </c>
      <c r="H158" s="140"/>
      <c r="I158" s="140"/>
      <c r="J158" s="141"/>
      <c r="K158" s="139" t="str">
        <f t="shared" si="261"/>
        <v/>
      </c>
      <c r="L158" s="140"/>
      <c r="M158" s="140"/>
      <c r="N158" s="141"/>
      <c r="O158" s="139" t="str">
        <f t="shared" si="262"/>
        <v/>
      </c>
      <c r="P158" s="140"/>
      <c r="Q158" s="140"/>
      <c r="R158" s="141"/>
      <c r="S158" s="139" t="str">
        <f t="shared" si="263"/>
        <v/>
      </c>
      <c r="T158" s="140"/>
      <c r="U158" s="140"/>
      <c r="V158" s="141"/>
      <c r="W158" s="139" t="str">
        <f t="shared" si="264"/>
        <v/>
      </c>
      <c r="X158" s="140"/>
      <c r="Y158" s="140"/>
      <c r="Z158" s="141"/>
      <c r="AA158" s="139" t="str">
        <f t="shared" si="265"/>
        <v/>
      </c>
      <c r="AB158" s="140"/>
      <c r="AC158" s="140"/>
      <c r="AD158" s="141"/>
      <c r="AE158" s="142">
        <f t="shared" si="266"/>
        <v>0</v>
      </c>
      <c r="AF158" s="143">
        <f t="shared" si="190"/>
        <v>0</v>
      </c>
      <c r="AG158" s="144">
        <f t="shared" si="267"/>
        <v>0</v>
      </c>
      <c r="AH158" s="76" t="str">
        <f t="shared" si="268"/>
        <v/>
      </c>
      <c r="AI158" s="143">
        <f> ( IF(ISNUMBER(G158), VLOOKUP(G158/$AH158,F!$A1:$B101,2,1)*G158*$H158*$I158,0)+IF(ISNUMBER(K158), VLOOKUP(K158/$AH158,F!$A1:$B101,2,1)*K158*$L158*$M158,0)+IF(ISNUMBER(O158), VLOOKUP(O158/$AH158,F!$A1:$B101,2,1)*O158*$P158*$Q158,0)+IF(ISNUMBER(S158), VLOOKUP(S158/$AH158,F!$A1:$B101,2,1)*S158*$T158*$U158,0)+IF(ISNUMBER(W158), VLOOKUP(W158/$AH158,F!$A1:$B101,2,1)*W158*$X158*$Y158,0)+IF(ISNUMBER(AA158), VLOOKUP(AA158/$AH158,F!$A1:$B101,2,1)*AA158*$AB158*$AC158,0))*IF(ISNUMBER(F158),F158,1)*IF(ISNUMBER(E158),E158,1)</f>
        <v>0</v>
      </c>
      <c r="AJ158" s="140">
        <f t="shared" si="269"/>
        <v>0</v>
      </c>
      <c r="AK158" s="145">
        <f t="array" ref="AK158">IFERROR(I158*INDEX(F!$P$21:$AB$33, MATCH(G158/$AH158, F!$O$21:$O$33,1), MATCH(E158, F!$P$20:$AB$20,1)), 0 ) +IFERROR( M158*INDEX(F!$P$21:$AB$33, MATCH(K158/$AH158, F!$O$21:$O$33,1), MATCH(E158, F!$P$20:$AB$20,1)),0) +  IFERROR( Q158*INDEX(F!$P$21:$AB$33, MATCH(O158/$AH158, F!$O$21:$O$33,1), MATCH(E158, F!$P$20:$AB$20,1)), 0) + IFERROR( U158*INDEX(F!$P$21:$AB$33, MATCH(S158/$AH158, F!$O$21:$O$33,1), MATCH(E158, F!$P$20:$AB$20,1)),0)  + IFERROR(Y158*INDEX(F!$P$21:$AB$33, MATCH(W158/$AH158, F!$O$21:$O$33,1), MATCH(E158, F!$P$20:$AB$20,1)),0)  + IFERROR( AC158*INDEX(F!$P$21:$AB$33, MATCH(AA158/$AH158, F!$O$21:$O$33,1), MATCH(E158, F!$P$20:$AB$20,1)),)</f>
        <v>0</v>
      </c>
      <c r="AL158" s="59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ht="15.75" hidden="1" customHeight="1">
      <c r="A159" s="59"/>
      <c r="B159" s="126" t="str">
        <f t="shared" ref="B159:F159" si="275">IF(B103="","",B103)</f>
        <v/>
      </c>
      <c r="C159" s="127" t="str">
        <f t="shared" si="275"/>
        <v/>
      </c>
      <c r="D159" s="128" t="str">
        <f t="shared" si="275"/>
        <v/>
      </c>
      <c r="E159" s="48" t="str">
        <f t="shared" si="275"/>
        <v/>
      </c>
      <c r="F159" s="129" t="str">
        <f t="shared" si="275"/>
        <v/>
      </c>
      <c r="G159" s="130" t="str">
        <f t="shared" si="260"/>
        <v/>
      </c>
      <c r="H159" s="34"/>
      <c r="I159" s="34"/>
      <c r="J159" s="65"/>
      <c r="K159" s="130" t="str">
        <f t="shared" si="261"/>
        <v/>
      </c>
      <c r="L159" s="34"/>
      <c r="M159" s="34"/>
      <c r="N159" s="65"/>
      <c r="O159" s="130" t="str">
        <f t="shared" si="262"/>
        <v/>
      </c>
      <c r="P159" s="34"/>
      <c r="Q159" s="34"/>
      <c r="R159" s="65"/>
      <c r="S159" s="130" t="str">
        <f t="shared" si="263"/>
        <v/>
      </c>
      <c r="T159" s="34"/>
      <c r="U159" s="34"/>
      <c r="V159" s="65"/>
      <c r="W159" s="130" t="str">
        <f t="shared" si="264"/>
        <v/>
      </c>
      <c r="X159" s="34"/>
      <c r="Y159" s="34"/>
      <c r="Z159" s="65"/>
      <c r="AA159" s="130" t="str">
        <f t="shared" si="265"/>
        <v/>
      </c>
      <c r="AB159" s="34"/>
      <c r="AC159" s="34"/>
      <c r="AD159" s="65"/>
      <c r="AE159" s="131">
        <f t="shared" si="266"/>
        <v>0</v>
      </c>
      <c r="AF159" s="132">
        <f t="shared" si="190"/>
        <v>0</v>
      </c>
      <c r="AG159" s="133">
        <f t="shared" si="267"/>
        <v>0</v>
      </c>
      <c r="AH159" s="76" t="str">
        <f t="shared" si="268"/>
        <v/>
      </c>
      <c r="AI159" s="132">
        <f> ( IF(ISNUMBER(G159), VLOOKUP(G159/$AH159,F!$A1:$B101,2,1)*G159*$H159*$I159,0)+IF(ISNUMBER(K159), VLOOKUP(K159/$AH159,F!$A1:$B101,2,1)*K159*$L159*$M159,0)+IF(ISNUMBER(O159), VLOOKUP(O159/$AH159,F!$A1:$B101,2,1)*O159*$P159*$Q159,0)+IF(ISNUMBER(S159), VLOOKUP(S159/$AH159,F!$A1:$B101,2,1)*S159*$T159*$U159,0)+IF(ISNUMBER(W159), VLOOKUP(W159/$AH159,F!$A1:$B101,2,1)*W159*$X159*$Y159,0)+IF(ISNUMBER(AA159), VLOOKUP(AA159/$AH159,F!$A1:$B101,2,1)*AA159*$AB159*$AC159,0))*IF(ISNUMBER(F159),F159,1)*IF(ISNUMBER(E159),E159,1)</f>
        <v>0</v>
      </c>
      <c r="AJ159" s="34">
        <f t="shared" si="269"/>
        <v>0</v>
      </c>
      <c r="AK159" s="134">
        <f t="array" ref="AK159">IFERROR(I159*INDEX(F!$P$21:$AB$33, MATCH(G159/$AH159, F!$O$21:$O$33,1), MATCH(E159, F!$P$20:$AB$20,1)), 0 ) +IFERROR( M159*INDEX(F!$P$21:$AB$33, MATCH(K159/$AH159, F!$O$21:$O$33,1), MATCH(E159, F!$P$20:$AB$20,1)),0) +  IFERROR( Q159*INDEX(F!$P$21:$AB$33, MATCH(O159/$AH159, F!$O$21:$O$33,1), MATCH(E159, F!$P$20:$AB$20,1)), 0) + IFERROR( U159*INDEX(F!$P$21:$AB$33, MATCH(S159/$AH159, F!$O$21:$O$33,1), MATCH(E159, F!$P$20:$AB$20,1)),0)  + IFERROR(Y159*INDEX(F!$P$21:$AB$33, MATCH(W159/$AH159, F!$O$21:$O$33,1), MATCH(E159, F!$P$20:$AB$20,1)),0)  + IFERROR( AC159*INDEX(F!$P$21:$AB$33, MATCH(AA159/$AH159, F!$O$21:$O$33,1), MATCH(E159, F!$P$20:$AB$20,1)),)</f>
        <v>0</v>
      </c>
      <c r="AL159" s="59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ht="15.75" hidden="1" customHeight="1">
      <c r="A160" s="98"/>
      <c r="B160" s="150"/>
      <c r="C160" s="151"/>
      <c r="D160" s="152"/>
      <c r="E160" s="102">
        <f>ROUND(IFERROR(SUMPRODUCT(AJ152:AJ159,E152:E159)/AJ160,0),3)</f>
        <v>0</v>
      </c>
      <c r="F160" s="153"/>
      <c r="G160" s="154"/>
      <c r="H160" s="155"/>
      <c r="I160" s="155"/>
      <c r="J160" s="156"/>
      <c r="K160" s="154"/>
      <c r="L160" s="155"/>
      <c r="M160" s="155"/>
      <c r="N160" s="156"/>
      <c r="O160" s="154"/>
      <c r="P160" s="155"/>
      <c r="Q160" s="155"/>
      <c r="R160" s="156"/>
      <c r="S160" s="154"/>
      <c r="T160" s="155"/>
      <c r="U160" s="155"/>
      <c r="V160" s="156"/>
      <c r="W160" s="154"/>
      <c r="X160" s="155"/>
      <c r="Y160" s="155"/>
      <c r="Z160" s="156"/>
      <c r="AA160" s="154"/>
      <c r="AB160" s="155"/>
      <c r="AC160" s="155"/>
      <c r="AD160" s="156"/>
      <c r="AE160" s="107">
        <f>SUM(AE152:AE159)</f>
        <v>0</v>
      </c>
      <c r="AF160" s="108">
        <f t="shared" si="190"/>
        <v>0</v>
      </c>
      <c r="AG160" s="109">
        <f>IFERROR(  SUMPRODUCT(AG152:AG159,AJ152:AJ159)/AJ160,0)</f>
        <v>0</v>
      </c>
      <c r="AH160" s="157"/>
      <c r="AI160" s="111">
        <f t="shared" ref="AI160:AJ160" si="276">SUM(AI152:AI159)</f>
        <v>0</v>
      </c>
      <c r="AJ160" s="111">
        <f t="shared" si="276"/>
        <v>0</v>
      </c>
      <c r="AK160" s="112">
        <f>IF(SUM(AK152:AK159)=0,TIME(,0,),TIME(,SUM(AK152:AK159)+F!$V$37,))</f>
        <v>0</v>
      </c>
      <c r="AL160" s="98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ht="15.75" hidden="1" customHeight="1">
      <c r="A161" s="158">
        <f>A162</f>
        <v>43801</v>
      </c>
      <c r="B161" s="159" t="str">
        <f t="shared" ref="B161:F161" si="277">IF(B105="","",B105)</f>
        <v/>
      </c>
      <c r="C161" s="160" t="str">
        <f t="shared" si="277"/>
        <v/>
      </c>
      <c r="D161" s="161" t="str">
        <f t="shared" si="277"/>
        <v/>
      </c>
      <c r="E161" s="29" t="str">
        <f t="shared" si="277"/>
        <v/>
      </c>
      <c r="F161" s="162" t="str">
        <f t="shared" si="277"/>
        <v/>
      </c>
      <c r="G161" s="163" t="str">
        <f t="shared" ref="G161:G168" si="279">IF(J161&lt;&gt;0, IFERROR(IF( $F161=2,  MROUND($AH161*J161,1),    IF( OR($F161="",$F161=1),   MROUND($AH161*J161,2.5),  MROUND($AH161*J161, 0.1))), "" ), "")</f>
        <v/>
      </c>
      <c r="H161" s="164"/>
      <c r="I161" s="164"/>
      <c r="J161" s="165"/>
      <c r="K161" s="163" t="str">
        <f t="shared" ref="K161:K168" si="280">IF(N161&lt;&gt;0, IFERROR(IF( $F161=2,  MROUND($AH161*N161,1),    IF( OR($F161="",$F161=1),   MROUND($AH161*N161,2.5),  MROUND($AH161*N161, 0.1))), "" ), "")</f>
        <v/>
      </c>
      <c r="L161" s="164"/>
      <c r="M161" s="164"/>
      <c r="N161" s="165"/>
      <c r="O161" s="163" t="str">
        <f t="shared" ref="O161:O168" si="281">IF(R161&lt;&gt;0, IFERROR(IF( $F161=2,  MROUND($AH161*R161,1),    IF( OR($F161="",$F161=1),   MROUND($AH161*R161,2.5),  MROUND($AH161*R161, 0.1))), "" ), "")</f>
        <v/>
      </c>
      <c r="P161" s="164"/>
      <c r="Q161" s="164"/>
      <c r="R161" s="165"/>
      <c r="S161" s="163" t="str">
        <f t="shared" ref="S161:S168" si="282">IF(V161&lt;&gt;0, IFERROR(IF( $F161=2,  MROUND($AH161*V161,1),    IF( OR($F161="",$F161=1),   MROUND($AH161*V161,2.5),  MROUND($AH161*V161, 0.1))), "" ), "")</f>
        <v/>
      </c>
      <c r="T161" s="164"/>
      <c r="U161" s="164"/>
      <c r="V161" s="165"/>
      <c r="W161" s="163" t="str">
        <f t="shared" ref="W161:W168" si="283">IF(Z161&lt;&gt;0, IFERROR(IF( $F161=2,  MROUND($AH161*Z161,1),    IF( OR($F161="",$F161=1),   MROUND($AH161*Z161,2.5),  MROUND($AH161*Z161, 0.1))), "" ), "")</f>
        <v/>
      </c>
      <c r="X161" s="164"/>
      <c r="Y161" s="164"/>
      <c r="Z161" s="165"/>
      <c r="AA161" s="163" t="str">
        <f t="shared" ref="AA161:AA168" si="284">IF(AD161&lt;&gt;0, IFERROR(IF( $F161=2,  MROUND($AH161*AD161,1),    IF( OR($F161="",$F161=1),   MROUND($AH161*AD161,2.5),  MROUND($AH161*AD161, 0.1))), "" ), "")</f>
        <v/>
      </c>
      <c r="AB161" s="164"/>
      <c r="AC161" s="164"/>
      <c r="AD161" s="165"/>
      <c r="AE161" s="166">
        <f t="shared" ref="AE161:AE168" si="285">(IF(ISNUMBER(G161),G161,0)*H161*I161+IF(ISNUMBER(K161),K161,1)*L161*M161+IF(ISNUMBER(O161),O161,1)*P161*Q161+IF(ISNUMBER(S161),S161,1)*T161*U161+IF(ISNUMBER(W161),W161,1)*X161*Y161+IF(ISNUMBER(AA161),AA161,1)*AB161*AC161)*IF(ISNUMBER(F161),F161,1)</f>
        <v>0</v>
      </c>
      <c r="AF161" s="167">
        <f t="shared" si="190"/>
        <v>0</v>
      </c>
      <c r="AG161" s="168">
        <f t="shared" ref="AG161:AG168" si="286">IFERROR((AF161/(AH161*IF(ISNUMBER(F161),F161,1))),0)</f>
        <v>0</v>
      </c>
      <c r="AH161" s="169" t="str">
        <f t="shared" ref="AH161:AH168" si="287">IF(ISNUMBER(AH105), AH105+(AH105*$AH$114),"")</f>
        <v/>
      </c>
      <c r="AI161" s="167">
        <f> ( IF(ISNUMBER(G161), VLOOKUP(G161/$AH161,F!$A1:$B101,2,1)*G161*$H161*$I161,0)+IF(ISNUMBER(K161), VLOOKUP(K161/$AH161,F!$A1:$B101,2,1)*K161*$L161*$M161,0)+IF(ISNUMBER(O161), VLOOKUP(O161/$AH161,F!$A1:$B101,2,1)*O161*$P161*$Q161,0)+IF(ISNUMBER(S161), VLOOKUP(S161/$AH161,F!$A1:$B101,2,1)*S161*$T161*$U161,0)+IF(ISNUMBER(W161), VLOOKUP(W161/$AH161,F!$A1:$B101,2,1)*W161*$X161*$Y161,0)+IF(ISNUMBER(AA161), VLOOKUP(AA161/$AH161,F!$A1:$B101,2,1)*AA161*$AB161*$AC161,0))*IF(ISNUMBER(F161),F161,1)*IF(ISNUMBER(E161),E161,1)</f>
        <v>0</v>
      </c>
      <c r="AJ161" s="164">
        <f t="shared" ref="AJ161:AJ168" si="288">H161*I161+L161*M161+P161*Q161+T161*U161+X161*Y161+AB161*AC161</f>
        <v>0</v>
      </c>
      <c r="AK161" s="170">
        <f t="array" ref="AK161">IFERROR(I161*INDEX(F!$P$21:$AB$33, MATCH(G161/$AH161, F!$O$21:$O$33,1), MATCH(E161, F!$P$20:$AB$20,1)), 0 ) +IFERROR( M161*INDEX(F!$P$21:$AB$33, MATCH(K161/$AH161, F!$O$21:$O$33,1), MATCH(E161, F!$P$20:$AB$20,1)),0) +  IFERROR( Q161*INDEX(F!$P$21:$AB$33, MATCH(O161/$AH161, F!$O$21:$O$33,1), MATCH(E161, F!$P$20:$AB$20,1)), 0) + IFERROR( U161*INDEX(F!$P$21:$AB$33, MATCH(S161/$AH161, F!$O$21:$O$33,1), MATCH(E161, F!$P$20:$AB$20,1)),0)  + IFERROR(Y161*INDEX(F!$P$21:$AB$33, MATCH(W161/$AH161, F!$O$21:$O$33,1), MATCH(E161, F!$P$20:$AB$20,1)),0)  + IFERROR( AC161*INDEX(F!$P$21:$AB$33, MATCH(AA161/$AH161, F!$O$21:$O$33,1), MATCH(E161, F!$P$20:$AB$20,1)),)</f>
        <v>0</v>
      </c>
      <c r="AL161" s="42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ht="15.75" hidden="1" customHeight="1">
      <c r="A162" s="44">
        <f>A106+A58</f>
        <v>43801</v>
      </c>
      <c r="B162" s="135" t="str">
        <f t="shared" ref="B162:F162" si="278">IF(B106="","",B106)</f>
        <v/>
      </c>
      <c r="C162" s="136" t="str">
        <f t="shared" si="278"/>
        <v/>
      </c>
      <c r="D162" s="137" t="str">
        <f t="shared" si="278"/>
        <v/>
      </c>
      <c r="E162" s="48" t="str">
        <f t="shared" si="278"/>
        <v/>
      </c>
      <c r="F162" s="138" t="str">
        <f t="shared" si="278"/>
        <v/>
      </c>
      <c r="G162" s="139" t="str">
        <f t="shared" si="279"/>
        <v/>
      </c>
      <c r="H162" s="140"/>
      <c r="I162" s="140"/>
      <c r="J162" s="141"/>
      <c r="K162" s="139" t="str">
        <f t="shared" si="280"/>
        <v/>
      </c>
      <c r="L162" s="140"/>
      <c r="M162" s="140"/>
      <c r="N162" s="141"/>
      <c r="O162" s="139" t="str">
        <f t="shared" si="281"/>
        <v/>
      </c>
      <c r="P162" s="140"/>
      <c r="Q162" s="140"/>
      <c r="R162" s="141"/>
      <c r="S162" s="139" t="str">
        <f t="shared" si="282"/>
        <v/>
      </c>
      <c r="T162" s="140"/>
      <c r="U162" s="140"/>
      <c r="V162" s="141"/>
      <c r="W162" s="139" t="str">
        <f t="shared" si="283"/>
        <v/>
      </c>
      <c r="X162" s="140"/>
      <c r="Y162" s="140"/>
      <c r="Z162" s="141"/>
      <c r="AA162" s="139" t="str">
        <f t="shared" si="284"/>
        <v/>
      </c>
      <c r="AB162" s="140"/>
      <c r="AC162" s="140"/>
      <c r="AD162" s="141"/>
      <c r="AE162" s="142">
        <f t="shared" si="285"/>
        <v>0</v>
      </c>
      <c r="AF162" s="143">
        <f t="shared" si="190"/>
        <v>0</v>
      </c>
      <c r="AG162" s="144">
        <f t="shared" si="286"/>
        <v>0</v>
      </c>
      <c r="AH162" s="76" t="str">
        <f t="shared" si="287"/>
        <v/>
      </c>
      <c r="AI162" s="143">
        <f> ( IF(ISNUMBER(G162), VLOOKUP(G162/$AH162,F!$A1:$B101,2,1)*G162*$H162*$I162,0)+IF(ISNUMBER(K162), VLOOKUP(K162/$AH162,F!$A1:$B101,2,1)*K162*$L162*$M162,0)+IF(ISNUMBER(O162), VLOOKUP(O162/$AH162,F!$A1:$B101,2,1)*O162*$P162*$Q162,0)+IF(ISNUMBER(S162), VLOOKUP(S162/$AH162,F!$A1:$B101,2,1)*S162*$T162*$U162,0)+IF(ISNUMBER(W162), VLOOKUP(W162/$AH162,F!$A1:$B101,2,1)*W162*$X162*$Y162,0)+IF(ISNUMBER(AA162), VLOOKUP(AA162/$AH162,F!$A1:$B101,2,1)*AA162*$AB162*$AC162,0))*IF(ISNUMBER(F162),F162,1)*IF(ISNUMBER(E162),E162,1)</f>
        <v>0</v>
      </c>
      <c r="AJ162" s="140">
        <f t="shared" si="288"/>
        <v>0</v>
      </c>
      <c r="AK162" s="145">
        <f t="array" ref="AK162">IFERROR(I162*INDEX(F!$P$21:$AB$33, MATCH(G162/$AH162, F!$O$21:$O$33,1), MATCH(E162, F!$P$20:$AB$20,1)), 0 ) +IFERROR( M162*INDEX(F!$P$21:$AB$33, MATCH(K162/$AH162, F!$O$21:$O$33,1), MATCH(E162, F!$P$20:$AB$20,1)),0) +  IFERROR( Q162*INDEX(F!$P$21:$AB$33, MATCH(O162/$AH162, F!$O$21:$O$33,1), MATCH(E162, F!$P$20:$AB$20,1)), 0) + IFERROR( U162*INDEX(F!$P$21:$AB$33, MATCH(S162/$AH162, F!$O$21:$O$33,1), MATCH(E162, F!$P$20:$AB$20,1)),0)  + IFERROR(Y162*INDEX(F!$P$21:$AB$33, MATCH(W162/$AH162, F!$O$21:$O$33,1), MATCH(E162, F!$P$20:$AB$20,1)),0)  + IFERROR( AC162*INDEX(F!$P$21:$AB$33, MATCH(AA162/$AH162, F!$O$21:$O$33,1), MATCH(E162, F!$P$20:$AB$20,1)),)</f>
        <v>0</v>
      </c>
      <c r="AL162" s="59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ht="15.0" hidden="1" customHeight="1">
      <c r="A163" s="59"/>
      <c r="B163" s="173" t="str">
        <f t="shared" ref="B163:F163" si="289">IF(B107="","",B107)</f>
        <v/>
      </c>
      <c r="C163" s="174" t="str">
        <f t="shared" si="289"/>
        <v/>
      </c>
      <c r="D163" s="175" t="str">
        <f t="shared" si="289"/>
        <v/>
      </c>
      <c r="E163" s="48" t="str">
        <f t="shared" si="289"/>
        <v/>
      </c>
      <c r="F163" s="176" t="str">
        <f t="shared" si="289"/>
        <v/>
      </c>
      <c r="G163" s="177" t="str">
        <f t="shared" si="279"/>
        <v/>
      </c>
      <c r="H163" s="178"/>
      <c r="I163" s="178"/>
      <c r="J163" s="179"/>
      <c r="K163" s="177" t="str">
        <f t="shared" si="280"/>
        <v/>
      </c>
      <c r="L163" s="178"/>
      <c r="M163" s="178"/>
      <c r="N163" s="179"/>
      <c r="O163" s="177" t="str">
        <f t="shared" si="281"/>
        <v/>
      </c>
      <c r="P163" s="178"/>
      <c r="Q163" s="178"/>
      <c r="R163" s="179"/>
      <c r="S163" s="177" t="str">
        <f t="shared" si="282"/>
        <v/>
      </c>
      <c r="T163" s="178"/>
      <c r="U163" s="178"/>
      <c r="V163" s="179"/>
      <c r="W163" s="177" t="str">
        <f t="shared" si="283"/>
        <v/>
      </c>
      <c r="X163" s="178"/>
      <c r="Y163" s="178"/>
      <c r="Z163" s="179"/>
      <c r="AA163" s="177" t="str">
        <f t="shared" si="284"/>
        <v/>
      </c>
      <c r="AB163" s="178"/>
      <c r="AC163" s="178"/>
      <c r="AD163" s="179"/>
      <c r="AE163" s="180">
        <f t="shared" si="285"/>
        <v>0</v>
      </c>
      <c r="AF163" s="181">
        <f t="shared" si="190"/>
        <v>0</v>
      </c>
      <c r="AG163" s="182">
        <f t="shared" si="286"/>
        <v>0</v>
      </c>
      <c r="AH163" s="76" t="str">
        <f t="shared" si="287"/>
        <v/>
      </c>
      <c r="AI163" s="181">
        <f> ( IF(ISNUMBER(G163), VLOOKUP(G163/$AH163,F!$A1:$B101,2,1)*G163*$H163*$I163,0)+IF(ISNUMBER(K163), VLOOKUP(K163/$AH163,F!$A1:$B101,2,1)*K163*$L163*$M163,0)+IF(ISNUMBER(O163), VLOOKUP(O163/$AH163,F!$A1:$B101,2,1)*O163*$P163*$Q163,0)+IF(ISNUMBER(S163), VLOOKUP(S163/$AH163,F!$A1:$B101,2,1)*S163*$T163*$U163,0)+IF(ISNUMBER(W163), VLOOKUP(W163/$AH163,F!$A1:$B101,2,1)*W163*$X163*$Y163,0)+IF(ISNUMBER(AA163), VLOOKUP(AA163/$AH163,F!$A1:$B101,2,1)*AA163*$AB163*$AC163,0))*IF(ISNUMBER(F163),F163,1)*IF(ISNUMBER(E163),E163,1)</f>
        <v>0</v>
      </c>
      <c r="AJ163" s="178">
        <f t="shared" si="288"/>
        <v>0</v>
      </c>
      <c r="AK163" s="183">
        <f t="array" ref="AK163">IFERROR(I163*INDEX(F!$P$21:$AB$33, MATCH(G163/$AH163, F!$O$21:$O$33,1), MATCH(E163, F!$P$20:$AB$20,1)), 0 ) +IFERROR( M163*INDEX(F!$P$21:$AB$33, MATCH(K163/$AH163, F!$O$21:$O$33,1), MATCH(E163, F!$P$20:$AB$20,1)),0) +  IFERROR( Q163*INDEX(F!$P$21:$AB$33, MATCH(O163/$AH163, F!$O$21:$O$33,1), MATCH(E163, F!$P$20:$AB$20,1)), 0) + IFERROR( U163*INDEX(F!$P$21:$AB$33, MATCH(S163/$AH163, F!$O$21:$O$33,1), MATCH(E163, F!$P$20:$AB$20,1)),0)  + IFERROR(Y163*INDEX(F!$P$21:$AB$33, MATCH(W163/$AH163, F!$O$21:$O$33,1), MATCH(E163, F!$P$20:$AB$20,1)),0)  + IFERROR( AC163*INDEX(F!$P$21:$AB$33, MATCH(AA163/$AH163, F!$O$21:$O$33,1), MATCH(E163, F!$P$20:$AB$20,1)),)</f>
        <v>0</v>
      </c>
      <c r="AL163" s="59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ht="15.75" hidden="1" customHeight="1">
      <c r="A164" s="59"/>
      <c r="B164" s="135" t="str">
        <f t="shared" ref="B164:F164" si="290">IF(B108="","",B108)</f>
        <v/>
      </c>
      <c r="C164" s="136" t="str">
        <f t="shared" si="290"/>
        <v/>
      </c>
      <c r="D164" s="137" t="str">
        <f t="shared" si="290"/>
        <v/>
      </c>
      <c r="E164" s="48" t="str">
        <f t="shared" si="290"/>
        <v/>
      </c>
      <c r="F164" s="138" t="str">
        <f t="shared" si="290"/>
        <v/>
      </c>
      <c r="G164" s="139" t="str">
        <f t="shared" si="279"/>
        <v/>
      </c>
      <c r="H164" s="140"/>
      <c r="I164" s="140"/>
      <c r="J164" s="141"/>
      <c r="K164" s="139" t="str">
        <f t="shared" si="280"/>
        <v/>
      </c>
      <c r="L164" s="140"/>
      <c r="M164" s="140"/>
      <c r="N164" s="141"/>
      <c r="O164" s="139" t="str">
        <f t="shared" si="281"/>
        <v/>
      </c>
      <c r="P164" s="140"/>
      <c r="Q164" s="140"/>
      <c r="R164" s="141"/>
      <c r="S164" s="139" t="str">
        <f t="shared" si="282"/>
        <v/>
      </c>
      <c r="T164" s="140"/>
      <c r="U164" s="140"/>
      <c r="V164" s="141"/>
      <c r="W164" s="139" t="str">
        <f t="shared" si="283"/>
        <v/>
      </c>
      <c r="X164" s="140"/>
      <c r="Y164" s="140"/>
      <c r="Z164" s="141"/>
      <c r="AA164" s="139" t="str">
        <f t="shared" si="284"/>
        <v/>
      </c>
      <c r="AB164" s="140"/>
      <c r="AC164" s="140"/>
      <c r="AD164" s="141"/>
      <c r="AE164" s="142">
        <f t="shared" si="285"/>
        <v>0</v>
      </c>
      <c r="AF164" s="143">
        <f t="shared" si="190"/>
        <v>0</v>
      </c>
      <c r="AG164" s="144">
        <f t="shared" si="286"/>
        <v>0</v>
      </c>
      <c r="AH164" s="76" t="str">
        <f t="shared" si="287"/>
        <v/>
      </c>
      <c r="AI164" s="143">
        <f> ( IF(ISNUMBER(G164), VLOOKUP(G164/$AH164,F!$A1:$B101,2,1)*G164*$H164*$I164,0)+IF(ISNUMBER(K164), VLOOKUP(K164/$AH164,F!$A1:$B101,2,1)*K164*$L164*$M164,0)+IF(ISNUMBER(O164), VLOOKUP(O164/$AH164,F!$A1:$B101,2,1)*O164*$P164*$Q164,0)+IF(ISNUMBER(S164), VLOOKUP(S164/$AH164,F!$A1:$B101,2,1)*S164*$T164*$U164,0)+IF(ISNUMBER(W164), VLOOKUP(W164/$AH164,F!$A1:$B101,2,1)*W164*$X164*$Y164,0)+IF(ISNUMBER(AA164), VLOOKUP(AA164/$AH164,F!$A1:$B101,2,1)*AA164*$AB164*$AC164,0))*IF(ISNUMBER(F164),F164,1)*IF(ISNUMBER(E164),E164,1)</f>
        <v>0</v>
      </c>
      <c r="AJ164" s="140">
        <f t="shared" si="288"/>
        <v>0</v>
      </c>
      <c r="AK164" s="145">
        <f t="array" ref="AK164">IFERROR(I164*INDEX(F!$P$21:$AB$33, MATCH(G164/$AH164, F!$O$21:$O$33,1), MATCH(E164, F!$P$20:$AB$20,1)), 0 ) +IFERROR( M164*INDEX(F!$P$21:$AB$33, MATCH(K164/$AH164, F!$O$21:$O$33,1), MATCH(E164, F!$P$20:$AB$20,1)),0) +  IFERROR( Q164*INDEX(F!$P$21:$AB$33, MATCH(O164/$AH164, F!$O$21:$O$33,1), MATCH(E164, F!$P$20:$AB$20,1)), 0) + IFERROR( U164*INDEX(F!$P$21:$AB$33, MATCH(S164/$AH164, F!$O$21:$O$33,1), MATCH(E164, F!$P$20:$AB$20,1)),0)  + IFERROR(Y164*INDEX(F!$P$21:$AB$33, MATCH(W164/$AH164, F!$O$21:$O$33,1), MATCH(E164, F!$P$20:$AB$20,1)),0)  + IFERROR( AC164*INDEX(F!$P$21:$AB$33, MATCH(AA164/$AH164, F!$O$21:$O$33,1), MATCH(E164, F!$P$20:$AB$20,1)),)</f>
        <v>0</v>
      </c>
      <c r="AL164" s="59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ht="15.75" hidden="1" customHeight="1">
      <c r="A165" s="59"/>
      <c r="B165" s="173" t="str">
        <f t="shared" ref="B165:F165" si="291">IF(B109="","",B109)</f>
        <v/>
      </c>
      <c r="C165" s="174" t="str">
        <f t="shared" si="291"/>
        <v/>
      </c>
      <c r="D165" s="175" t="str">
        <f t="shared" si="291"/>
        <v/>
      </c>
      <c r="E165" s="48" t="str">
        <f t="shared" si="291"/>
        <v/>
      </c>
      <c r="F165" s="176" t="str">
        <f t="shared" si="291"/>
        <v/>
      </c>
      <c r="G165" s="177" t="str">
        <f t="shared" si="279"/>
        <v/>
      </c>
      <c r="H165" s="178"/>
      <c r="I165" s="178"/>
      <c r="J165" s="179"/>
      <c r="K165" s="177" t="str">
        <f t="shared" si="280"/>
        <v/>
      </c>
      <c r="L165" s="178"/>
      <c r="M165" s="178"/>
      <c r="N165" s="179"/>
      <c r="O165" s="177" t="str">
        <f t="shared" si="281"/>
        <v/>
      </c>
      <c r="P165" s="178"/>
      <c r="Q165" s="178"/>
      <c r="R165" s="179"/>
      <c r="S165" s="177" t="str">
        <f t="shared" si="282"/>
        <v/>
      </c>
      <c r="T165" s="178"/>
      <c r="U165" s="178"/>
      <c r="V165" s="179"/>
      <c r="W165" s="177" t="str">
        <f t="shared" si="283"/>
        <v/>
      </c>
      <c r="X165" s="178"/>
      <c r="Y165" s="178"/>
      <c r="Z165" s="179"/>
      <c r="AA165" s="177" t="str">
        <f t="shared" si="284"/>
        <v/>
      </c>
      <c r="AB165" s="178"/>
      <c r="AC165" s="178"/>
      <c r="AD165" s="179"/>
      <c r="AE165" s="180">
        <f t="shared" si="285"/>
        <v>0</v>
      </c>
      <c r="AF165" s="181">
        <f t="shared" si="190"/>
        <v>0</v>
      </c>
      <c r="AG165" s="182">
        <f t="shared" si="286"/>
        <v>0</v>
      </c>
      <c r="AH165" s="76" t="str">
        <f t="shared" si="287"/>
        <v/>
      </c>
      <c r="AI165" s="181">
        <f> ( IF(ISNUMBER(G165), VLOOKUP(G165/$AH165,F!$A1:$B101,2,1)*G165*$H165*$I165,0)+IF(ISNUMBER(K165), VLOOKUP(K165/$AH165,F!$A1:$B101,2,1)*K165*$L165*$M165,0)+IF(ISNUMBER(O165), VLOOKUP(O165/$AH165,F!$A1:$B101,2,1)*O165*$P165*$Q165,0)+IF(ISNUMBER(S165), VLOOKUP(S165/$AH165,F!$A1:$B101,2,1)*S165*$T165*$U165,0)+IF(ISNUMBER(W165), VLOOKUP(W165/$AH165,F!$A1:$B101,2,1)*W165*$X165*$Y165,0)+IF(ISNUMBER(AA165), VLOOKUP(AA165/$AH165,F!$A1:$B101,2,1)*AA165*$AB165*$AC165,0))*IF(ISNUMBER(F165),F165,1)*IF(ISNUMBER(E165),E165,1)</f>
        <v>0</v>
      </c>
      <c r="AJ165" s="178">
        <f t="shared" si="288"/>
        <v>0</v>
      </c>
      <c r="AK165" s="183">
        <f t="array" ref="AK165">IFERROR(I165*INDEX(F!$P$21:$AB$33, MATCH(G165/$AH165, F!$O$21:$O$33,1), MATCH(E165, F!$P$20:$AB$20,1)), 0 ) +IFERROR( M165*INDEX(F!$P$21:$AB$33, MATCH(K165/$AH165, F!$O$21:$O$33,1), MATCH(E165, F!$P$20:$AB$20,1)),0) +  IFERROR( Q165*INDEX(F!$P$21:$AB$33, MATCH(O165/$AH165, F!$O$21:$O$33,1), MATCH(E165, F!$P$20:$AB$20,1)), 0) + IFERROR( U165*INDEX(F!$P$21:$AB$33, MATCH(S165/$AH165, F!$O$21:$O$33,1), MATCH(E165, F!$P$20:$AB$20,1)),0)  + IFERROR(Y165*INDEX(F!$P$21:$AB$33, MATCH(W165/$AH165, F!$O$21:$O$33,1), MATCH(E165, F!$P$20:$AB$20,1)),0)  + IFERROR( AC165*INDEX(F!$P$21:$AB$33, MATCH(AA165/$AH165, F!$O$21:$O$33,1), MATCH(E165, F!$P$20:$AB$20,1)),)</f>
        <v>0</v>
      </c>
      <c r="AL165" s="59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ht="15.75" hidden="1" customHeight="1">
      <c r="A166" s="59"/>
      <c r="B166" s="135" t="str">
        <f t="shared" ref="B166:F166" si="292">IF(B110="","",B110)</f>
        <v/>
      </c>
      <c r="C166" s="136" t="str">
        <f t="shared" si="292"/>
        <v/>
      </c>
      <c r="D166" s="137" t="str">
        <f t="shared" si="292"/>
        <v/>
      </c>
      <c r="E166" s="48" t="str">
        <f t="shared" si="292"/>
        <v/>
      </c>
      <c r="F166" s="138" t="str">
        <f t="shared" si="292"/>
        <v/>
      </c>
      <c r="G166" s="139" t="str">
        <f t="shared" si="279"/>
        <v/>
      </c>
      <c r="H166" s="140"/>
      <c r="I166" s="140"/>
      <c r="J166" s="141"/>
      <c r="K166" s="139" t="str">
        <f t="shared" si="280"/>
        <v/>
      </c>
      <c r="L166" s="140"/>
      <c r="M166" s="140"/>
      <c r="N166" s="141"/>
      <c r="O166" s="139" t="str">
        <f t="shared" si="281"/>
        <v/>
      </c>
      <c r="P166" s="140"/>
      <c r="Q166" s="140"/>
      <c r="R166" s="141"/>
      <c r="S166" s="139" t="str">
        <f t="shared" si="282"/>
        <v/>
      </c>
      <c r="T166" s="140"/>
      <c r="U166" s="140"/>
      <c r="V166" s="141"/>
      <c r="W166" s="139" t="str">
        <f t="shared" si="283"/>
        <v/>
      </c>
      <c r="X166" s="140"/>
      <c r="Y166" s="140"/>
      <c r="Z166" s="141"/>
      <c r="AA166" s="139" t="str">
        <f t="shared" si="284"/>
        <v/>
      </c>
      <c r="AB166" s="140"/>
      <c r="AC166" s="140"/>
      <c r="AD166" s="141"/>
      <c r="AE166" s="142">
        <f t="shared" si="285"/>
        <v>0</v>
      </c>
      <c r="AF166" s="143">
        <f t="shared" si="190"/>
        <v>0</v>
      </c>
      <c r="AG166" s="144">
        <f t="shared" si="286"/>
        <v>0</v>
      </c>
      <c r="AH166" s="76" t="str">
        <f t="shared" si="287"/>
        <v/>
      </c>
      <c r="AI166" s="143">
        <f> ( IF(ISNUMBER(G166), VLOOKUP(G166/$AH166,F!$A1:$B101,2,1)*G166*$H166*$I166,0)+IF(ISNUMBER(K166), VLOOKUP(K166/$AH166,F!$A1:$B101,2,1)*K166*$L166*$M166,0)+IF(ISNUMBER(O166), VLOOKUP(O166/$AH166,F!$A1:$B101,2,1)*O166*$P166*$Q166,0)+IF(ISNUMBER(S166), VLOOKUP(S166/$AH166,F!$A1:$B101,2,1)*S166*$T166*$U166,0)+IF(ISNUMBER(W166), VLOOKUP(W166/$AH166,F!$A1:$B101,2,1)*W166*$X166*$Y166,0)+IF(ISNUMBER(AA166), VLOOKUP(AA166/$AH166,F!$A1:$B101,2,1)*AA166*$AB166*$AC166,0))*IF(ISNUMBER(F166),F166,1)*IF(ISNUMBER(E166),E166,1)</f>
        <v>0</v>
      </c>
      <c r="AJ166" s="140">
        <f t="shared" si="288"/>
        <v>0</v>
      </c>
      <c r="AK166" s="145">
        <f t="array" ref="AK166">IFERROR(I166*INDEX(F!$P$21:$AB$33, MATCH(G166/$AH166, F!$O$21:$O$33,1), MATCH(E166, F!$P$20:$AB$20,1)), 0 ) +IFERROR( M166*INDEX(F!$P$21:$AB$33, MATCH(K166/$AH166, F!$O$21:$O$33,1), MATCH(E166, F!$P$20:$AB$20,1)),0) +  IFERROR( Q166*INDEX(F!$P$21:$AB$33, MATCH(O166/$AH166, F!$O$21:$O$33,1), MATCH(E166, F!$P$20:$AB$20,1)), 0) + IFERROR( U166*INDEX(F!$P$21:$AB$33, MATCH(S166/$AH166, F!$O$21:$O$33,1), MATCH(E166, F!$P$20:$AB$20,1)),0)  + IFERROR(Y166*INDEX(F!$P$21:$AB$33, MATCH(W166/$AH166, F!$O$21:$O$33,1), MATCH(E166, F!$P$20:$AB$20,1)),0)  + IFERROR( AC166*INDEX(F!$P$21:$AB$33, MATCH(AA166/$AH166, F!$O$21:$O$33,1), MATCH(E166, F!$P$20:$AB$20,1)),)</f>
        <v>0</v>
      </c>
      <c r="AL166" s="59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ht="15.75" hidden="1" customHeight="1">
      <c r="A167" s="59"/>
      <c r="B167" s="173" t="str">
        <f t="shared" ref="B167:F167" si="293">IF(B111="","",B111)</f>
        <v/>
      </c>
      <c r="C167" s="174" t="str">
        <f t="shared" si="293"/>
        <v/>
      </c>
      <c r="D167" s="175" t="str">
        <f t="shared" si="293"/>
        <v/>
      </c>
      <c r="E167" s="48" t="str">
        <f t="shared" si="293"/>
        <v/>
      </c>
      <c r="F167" s="176" t="str">
        <f t="shared" si="293"/>
        <v/>
      </c>
      <c r="G167" s="177" t="str">
        <f t="shared" si="279"/>
        <v/>
      </c>
      <c r="H167" s="178"/>
      <c r="I167" s="178"/>
      <c r="J167" s="179"/>
      <c r="K167" s="177" t="str">
        <f t="shared" si="280"/>
        <v/>
      </c>
      <c r="L167" s="178"/>
      <c r="M167" s="178"/>
      <c r="N167" s="179"/>
      <c r="O167" s="177" t="str">
        <f t="shared" si="281"/>
        <v/>
      </c>
      <c r="P167" s="178"/>
      <c r="Q167" s="178"/>
      <c r="R167" s="179"/>
      <c r="S167" s="177" t="str">
        <f t="shared" si="282"/>
        <v/>
      </c>
      <c r="T167" s="178"/>
      <c r="U167" s="178"/>
      <c r="V167" s="179"/>
      <c r="W167" s="177" t="str">
        <f t="shared" si="283"/>
        <v/>
      </c>
      <c r="X167" s="178"/>
      <c r="Y167" s="178"/>
      <c r="Z167" s="179"/>
      <c r="AA167" s="177" t="str">
        <f t="shared" si="284"/>
        <v/>
      </c>
      <c r="AB167" s="178"/>
      <c r="AC167" s="178"/>
      <c r="AD167" s="179"/>
      <c r="AE167" s="180">
        <f t="shared" si="285"/>
        <v>0</v>
      </c>
      <c r="AF167" s="181">
        <f t="shared" si="190"/>
        <v>0</v>
      </c>
      <c r="AG167" s="182">
        <f t="shared" si="286"/>
        <v>0</v>
      </c>
      <c r="AH167" s="76" t="str">
        <f t="shared" si="287"/>
        <v/>
      </c>
      <c r="AI167" s="181">
        <f> ( IF(ISNUMBER(G167), VLOOKUP(G167/$AH167,F!$A1:$B101,2,1)*G167*$H167*$I167,0)+IF(ISNUMBER(K167), VLOOKUP(K167/$AH167,F!$A1:$B101,2,1)*K167*$L167*$M167,0)+IF(ISNUMBER(O167), VLOOKUP(O167/$AH167,F!$A1:$B101,2,1)*O167*$P167*$Q167,0)+IF(ISNUMBER(S167), VLOOKUP(S167/$AH167,F!$A1:$B101,2,1)*S167*$T167*$U167,0)+IF(ISNUMBER(W167), VLOOKUP(W167/$AH167,F!$A1:$B101,2,1)*W167*$X167*$Y167,0)+IF(ISNUMBER(AA167), VLOOKUP(AA167/$AH167,F!$A1:$B101,2,1)*AA167*$AB167*$AC167,0))*IF(ISNUMBER(F167),F167,1)*IF(ISNUMBER(E167),E167,1)</f>
        <v>0</v>
      </c>
      <c r="AJ167" s="178">
        <f t="shared" si="288"/>
        <v>0</v>
      </c>
      <c r="AK167" s="183">
        <f t="array" ref="AK167">IFERROR(I167*INDEX(F!$P$21:$AB$33, MATCH(G167/$AH167, F!$O$21:$O$33,1), MATCH(E167, F!$P$20:$AB$20,1)), 0 ) +IFERROR( M167*INDEX(F!$P$21:$AB$33, MATCH(K167/$AH167, F!$O$21:$O$33,1), MATCH(E167, F!$P$20:$AB$20,1)),0) +  IFERROR( Q167*INDEX(F!$P$21:$AB$33, MATCH(O167/$AH167, F!$O$21:$O$33,1), MATCH(E167, F!$P$20:$AB$20,1)), 0) + IFERROR( U167*INDEX(F!$P$21:$AB$33, MATCH(S167/$AH167, F!$O$21:$O$33,1), MATCH(E167, F!$P$20:$AB$20,1)),0)  + IFERROR(Y167*INDEX(F!$P$21:$AB$33, MATCH(W167/$AH167, F!$O$21:$O$33,1), MATCH(E167, F!$P$20:$AB$20,1)),0)  + IFERROR( AC167*INDEX(F!$P$21:$AB$33, MATCH(AA167/$AH167, F!$O$21:$O$33,1), MATCH(E167, F!$P$20:$AB$20,1)),)</f>
        <v>0</v>
      </c>
      <c r="AL167" s="59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ht="15.75" hidden="1" customHeight="1">
      <c r="A168" s="59"/>
      <c r="B168" s="135" t="str">
        <f t="shared" ref="B168:F168" si="294">IF(B112="","",B112)</f>
        <v/>
      </c>
      <c r="C168" s="136" t="str">
        <f t="shared" si="294"/>
        <v/>
      </c>
      <c r="D168" s="137" t="str">
        <f t="shared" si="294"/>
        <v/>
      </c>
      <c r="E168" s="48" t="str">
        <f t="shared" si="294"/>
        <v/>
      </c>
      <c r="F168" s="138" t="str">
        <f t="shared" si="294"/>
        <v/>
      </c>
      <c r="G168" s="139" t="str">
        <f t="shared" si="279"/>
        <v/>
      </c>
      <c r="H168" s="140"/>
      <c r="I168" s="140"/>
      <c r="J168" s="141"/>
      <c r="K168" s="139" t="str">
        <f t="shared" si="280"/>
        <v/>
      </c>
      <c r="L168" s="140"/>
      <c r="M168" s="140"/>
      <c r="N168" s="141"/>
      <c r="O168" s="139" t="str">
        <f t="shared" si="281"/>
        <v/>
      </c>
      <c r="P168" s="140"/>
      <c r="Q168" s="140"/>
      <c r="R168" s="141"/>
      <c r="S168" s="139" t="str">
        <f t="shared" si="282"/>
        <v/>
      </c>
      <c r="T168" s="140"/>
      <c r="U168" s="140"/>
      <c r="V168" s="141"/>
      <c r="W168" s="139" t="str">
        <f t="shared" si="283"/>
        <v/>
      </c>
      <c r="X168" s="140"/>
      <c r="Y168" s="140"/>
      <c r="Z168" s="141"/>
      <c r="AA168" s="139" t="str">
        <f t="shared" si="284"/>
        <v/>
      </c>
      <c r="AB168" s="140"/>
      <c r="AC168" s="140"/>
      <c r="AD168" s="141"/>
      <c r="AE168" s="142">
        <f t="shared" si="285"/>
        <v>0</v>
      </c>
      <c r="AF168" s="143">
        <f t="shared" si="190"/>
        <v>0</v>
      </c>
      <c r="AG168" s="144">
        <f t="shared" si="286"/>
        <v>0</v>
      </c>
      <c r="AH168" s="76" t="str">
        <f t="shared" si="287"/>
        <v/>
      </c>
      <c r="AI168" s="143">
        <f> ( IF(ISNUMBER(G168), VLOOKUP(G168/$AH168,F!$A1:$B101,2,1)*G168*$H168*$I168,0)+IF(ISNUMBER(K168), VLOOKUP(K168/$AH168,F!$A1:$B101,2,1)*K168*$L168*$M168,0)+IF(ISNUMBER(O168), VLOOKUP(O168/$AH168,F!$A1:$B101,2,1)*O168*$P168*$Q168,0)+IF(ISNUMBER(S168), VLOOKUP(S168/$AH168,F!$A1:$B101,2,1)*S168*$T168*$U168,0)+IF(ISNUMBER(W168), VLOOKUP(W168/$AH168,F!$A1:$B101,2,1)*W168*$X168*$Y168,0)+IF(ISNUMBER(AA168), VLOOKUP(AA168/$AH168,F!$A1:$B101,2,1)*AA168*$AB168*$AC168,0))*IF(ISNUMBER(F168),F168,1)*IF(ISNUMBER(E168),E168,1)</f>
        <v>0</v>
      </c>
      <c r="AJ168" s="140">
        <f t="shared" si="288"/>
        <v>0</v>
      </c>
      <c r="AK168" s="145">
        <f t="array" ref="AK168">IFERROR(I168*INDEX(F!$P$21:$AB$33, MATCH(G168/$AH168, F!$O$21:$O$33,1), MATCH(E168, F!$P$20:$AB$20,1)), 0 ) +IFERROR( M168*INDEX(F!$P$21:$AB$33, MATCH(K168/$AH168, F!$O$21:$O$33,1), MATCH(E168, F!$P$20:$AB$20,1)),0) +  IFERROR( Q168*INDEX(F!$P$21:$AB$33, MATCH(O168/$AH168, F!$O$21:$O$33,1), MATCH(E168, F!$P$20:$AB$20,1)), 0) + IFERROR( U168*INDEX(F!$P$21:$AB$33, MATCH(S168/$AH168, F!$O$21:$O$33,1), MATCH(E168, F!$P$20:$AB$20,1)),0)  + IFERROR(Y168*INDEX(F!$P$21:$AB$33, MATCH(W168/$AH168, F!$O$21:$O$33,1), MATCH(E168, F!$P$20:$AB$20,1)),0)  + IFERROR( AC168*INDEX(F!$P$21:$AB$33, MATCH(AA168/$AH168, F!$O$21:$O$33,1), MATCH(E168, F!$P$20:$AB$20,1)),)</f>
        <v>0</v>
      </c>
      <c r="AL168" s="59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ht="15.75" hidden="1" customHeight="1">
      <c r="A169" s="98"/>
      <c r="B169" s="188"/>
      <c r="C169" s="189"/>
      <c r="D169" s="190"/>
      <c r="E169" s="102">
        <f>ROUND(IFERROR(SUMPRODUCT(AJ161:AJ168,E161:E168)/AJ169,0),3)</f>
        <v>0</v>
      </c>
      <c r="F169" s="191"/>
      <c r="G169" s="201"/>
      <c r="H169" s="193"/>
      <c r="I169" s="193"/>
      <c r="J169" s="194"/>
      <c r="K169" s="201"/>
      <c r="L169" s="193"/>
      <c r="M169" s="193"/>
      <c r="N169" s="194"/>
      <c r="O169" s="201"/>
      <c r="P169" s="193"/>
      <c r="Q169" s="193"/>
      <c r="R169" s="194"/>
      <c r="S169" s="201"/>
      <c r="T169" s="193"/>
      <c r="U169" s="193"/>
      <c r="V169" s="194"/>
      <c r="W169" s="201"/>
      <c r="X169" s="193"/>
      <c r="Y169" s="193"/>
      <c r="Z169" s="194"/>
      <c r="AA169" s="201"/>
      <c r="AB169" s="193"/>
      <c r="AC169" s="193"/>
      <c r="AD169" s="194"/>
      <c r="AE169" s="107">
        <f>SUM(AE161:AE168)</f>
        <v>0</v>
      </c>
      <c r="AF169" s="108">
        <f t="shared" si="190"/>
        <v>0</v>
      </c>
      <c r="AG169" s="109">
        <f>IFERROR(  SUMPRODUCT(AG161:AG168,AJ161:AJ168)/AJ169,0)</f>
        <v>0</v>
      </c>
      <c r="AH169" s="157"/>
      <c r="AI169" s="111">
        <f t="shared" ref="AI169:AJ169" si="295">SUM(AI161:AI168)</f>
        <v>0</v>
      </c>
      <c r="AJ169" s="111">
        <f t="shared" si="295"/>
        <v>0</v>
      </c>
      <c r="AK169" s="112">
        <f>IF(SUM(AK161:AK168)=0,TIME(,0,),TIME(,SUM(AK161:AK168)+F!$V$37,))</f>
        <v>0</v>
      </c>
      <c r="AL169" s="98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ht="15.75" customHeight="1">
      <c r="A170" s="204">
        <f>A114</f>
        <v>7</v>
      </c>
      <c r="B170" s="205"/>
      <c r="C170" s="205"/>
      <c r="D170" s="205"/>
      <c r="E170" s="7">
        <f>IF(AJ170=0,0,(E180*AJ180 + E189*AJ189 + E198*AJ198 + E207*AJ207 + E216*AJ216 + E225*AJ225   ) /AJ170 )</f>
        <v>0.9459280822</v>
      </c>
      <c r="F170" s="206" t="s">
        <v>0</v>
      </c>
      <c r="G170" s="9"/>
      <c r="H170" s="9"/>
      <c r="I170" s="9"/>
      <c r="J170" s="9"/>
      <c r="K170" s="9"/>
      <c r="L170" s="9"/>
      <c r="M170" s="10"/>
      <c r="N170" s="221">
        <f>N114+1</f>
        <v>4</v>
      </c>
      <c r="O170" s="222"/>
      <c r="P170" s="222"/>
      <c r="Q170" s="222"/>
      <c r="R170" s="222"/>
      <c r="S170" s="222"/>
      <c r="T170" s="22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3"/>
      <c r="AE170" s="224">
        <f>AE180+AE189+AE198+AE207+AE216+AE225</f>
        <v>15377.5</v>
      </c>
      <c r="AF170" s="225">
        <f t="shared" si="190"/>
        <v>52.66267123</v>
      </c>
      <c r="AG170" s="226">
        <f>IF(AJ170=0,0,(AG180*AJ180 + AG189*AJ189 + AG198*AJ198 + AG207*AJ207 + AG216*AJ216 + AG225*AJ225   ) /AJ170 )</f>
        <v>0.5122444018</v>
      </c>
      <c r="AH170" s="210">
        <f>AH114</f>
        <v>0.02</v>
      </c>
      <c r="AI170" s="224" t="str">
        <f t="shared" ref="AI170:AK170" si="296">AI180+AI189+AI198+AI207+AI216+AI225</f>
        <v>#DIV/0!</v>
      </c>
      <c r="AJ170" s="224">
        <f t="shared" si="296"/>
        <v>292</v>
      </c>
      <c r="AK170" s="227">
        <f t="shared" si="296"/>
        <v>0.2131944444</v>
      </c>
      <c r="AL170" s="212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ht="15.75" customHeight="1">
      <c r="A171" s="19" t="s">
        <v>1</v>
      </c>
      <c r="B171" s="20" t="s">
        <v>2</v>
      </c>
      <c r="C171" s="20" t="s">
        <v>3</v>
      </c>
      <c r="D171" s="20" t="s">
        <v>4</v>
      </c>
      <c r="E171" s="20" t="s">
        <v>5</v>
      </c>
      <c r="F171" s="20" t="s">
        <v>6</v>
      </c>
      <c r="G171" s="20" t="s">
        <v>7</v>
      </c>
      <c r="H171" s="20" t="s">
        <v>8</v>
      </c>
      <c r="I171" s="20" t="s">
        <v>9</v>
      </c>
      <c r="J171" s="20" t="s">
        <v>10</v>
      </c>
      <c r="K171" s="20" t="s">
        <v>7</v>
      </c>
      <c r="L171" s="20" t="s">
        <v>8</v>
      </c>
      <c r="M171" s="20" t="s">
        <v>9</v>
      </c>
      <c r="N171" s="20" t="s">
        <v>10</v>
      </c>
      <c r="O171" s="20" t="s">
        <v>7</v>
      </c>
      <c r="P171" s="20" t="s">
        <v>8</v>
      </c>
      <c r="Q171" s="20" t="s">
        <v>9</v>
      </c>
      <c r="R171" s="20" t="s">
        <v>10</v>
      </c>
      <c r="S171" s="20" t="s">
        <v>7</v>
      </c>
      <c r="T171" s="20" t="s">
        <v>8</v>
      </c>
      <c r="U171" s="20" t="s">
        <v>9</v>
      </c>
      <c r="V171" s="20" t="s">
        <v>10</v>
      </c>
      <c r="W171" s="20" t="s">
        <v>7</v>
      </c>
      <c r="X171" s="20" t="s">
        <v>8</v>
      </c>
      <c r="Y171" s="20" t="s">
        <v>9</v>
      </c>
      <c r="Z171" s="20" t="s">
        <v>10</v>
      </c>
      <c r="AA171" s="20" t="s">
        <v>7</v>
      </c>
      <c r="AB171" s="20" t="s">
        <v>8</v>
      </c>
      <c r="AC171" s="20" t="s">
        <v>9</v>
      </c>
      <c r="AD171" s="21" t="s">
        <v>10</v>
      </c>
      <c r="AE171" s="20" t="s">
        <v>11</v>
      </c>
      <c r="AF171" s="20" t="s">
        <v>12</v>
      </c>
      <c r="AG171" s="20" t="s">
        <v>13</v>
      </c>
      <c r="AH171" s="213" t="s">
        <v>14</v>
      </c>
      <c r="AI171" s="23" t="s">
        <v>15</v>
      </c>
      <c r="AJ171" s="20" t="s">
        <v>16</v>
      </c>
      <c r="AK171" s="21" t="s">
        <v>17</v>
      </c>
      <c r="AL171" s="214" t="s">
        <v>18</v>
      </c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ht="14.25" customHeight="1">
      <c r="A172" s="25">
        <f>A173</f>
        <v>43801</v>
      </c>
      <c r="B172" s="26" t="s">
        <v>24</v>
      </c>
      <c r="C172" s="27" t="str">
        <f t="shared" ref="C172:F172" si="297">IF(C116="","",C116)</f>
        <v>ПР</v>
      </c>
      <c r="D172" s="28" t="str">
        <f t="shared" si="297"/>
        <v>Присед</v>
      </c>
      <c r="E172" s="29">
        <f t="shared" si="297"/>
        <v>1.2</v>
      </c>
      <c r="F172" s="30" t="str">
        <f t="shared" si="297"/>
        <v/>
      </c>
      <c r="G172" s="31">
        <f t="shared" ref="G172:G176" si="299">IF(J172&lt;&gt;0, IFERROR(IF( $F172=2,  MROUND($AH172*J172,1),    IF( OR($F172="",$F172=1),   MROUND($AH172*J172,2.5),  MROUND($AH172*J172, 0.1))), "" ), "")</f>
        <v>85</v>
      </c>
      <c r="H172" s="32">
        <v>4.0</v>
      </c>
      <c r="I172" s="32">
        <v>4.0</v>
      </c>
      <c r="J172" s="33">
        <v>0.6</v>
      </c>
      <c r="K172" s="31" t="str">
        <f t="shared" ref="K172:K179" si="300">IF(N172&lt;&gt;0, IFERROR(IF( $F172=2,  MROUND($AH172*N172,1),    IF( OR($F172="",$F172=1),   MROUND($AH172*N172,2.5),  MROUND($AH172*N172, 0.1))), "" ), "")</f>
        <v/>
      </c>
      <c r="L172" s="32"/>
      <c r="M172" s="32"/>
      <c r="N172" s="33"/>
      <c r="O172" s="31" t="str">
        <f t="shared" ref="O172:O179" si="301">IF(R172&lt;&gt;0, IFERROR(IF( $F172=2,  MROUND($AH172*R172,1),    IF( OR($F172="",$F172=1),   MROUND($AH172*R172,2.5),  MROUND($AH172*R172, 0.1))), "" ), "")</f>
        <v/>
      </c>
      <c r="P172" s="32"/>
      <c r="Q172" s="32"/>
      <c r="R172" s="33"/>
      <c r="S172" s="31" t="str">
        <f t="shared" ref="S172:S179" si="302">IF(V172&lt;&gt;0, IFERROR(IF( $F172=2,  MROUND($AH172*V172,1),    IF( OR($F172="",$F172=1),   MROUND($AH172*V172,2.5),  MROUND($AH172*V172, 0.1))), "" ), "")</f>
        <v/>
      </c>
      <c r="T172" s="32"/>
      <c r="U172" s="32"/>
      <c r="V172" s="33"/>
      <c r="W172" s="31" t="str">
        <f t="shared" ref="W172:W179" si="303">IF(Z172&lt;&gt;0, IFERROR(IF( $F172=2,  MROUND($AH172*Z172,1),    IF( OR($F172="",$F172=1),   MROUND($AH172*Z172,2.5),  MROUND($AH172*Z172, 0.1))), "" ), "")</f>
        <v/>
      </c>
      <c r="X172" s="32"/>
      <c r="Y172" s="32"/>
      <c r="Z172" s="33"/>
      <c r="AA172" s="31" t="str">
        <f t="shared" ref="AA172:AA179" si="304">IF(AD172&lt;&gt;0, IFERROR(IF( $F172=2,  MROUND($AH172*AD172,1),    IF( OR($F172="",$F172=1),   MROUND($AH172*AD172,2.5),  MROUND($AH172*AD172, 0.1))), "" ), "")</f>
        <v/>
      </c>
      <c r="AB172" s="32"/>
      <c r="AC172" s="32"/>
      <c r="AD172" s="33"/>
      <c r="AE172" s="35">
        <f t="shared" ref="AE172:AE179" si="305">(IF(ISNUMBER(G172),G172,0)*H172*I172+IF(ISNUMBER(K172),K172,1)*L172*M172+IF(ISNUMBER(O172),O172,1)*P172*Q172+IF(ISNUMBER(S172),S172,1)*T172*U172+IF(ISNUMBER(W172),W172,1)*X172*Y172+IF(ISNUMBER(AA172),AA172,1)*AB172*AC172)*IF(ISNUMBER(F172),F172,1)</f>
        <v>1360</v>
      </c>
      <c r="AF172" s="36">
        <f t="shared" ref="AF172:AF226" si="306">IFERROR(AE172/AJ172,0)</f>
        <v>85</v>
      </c>
      <c r="AG172" s="195">
        <f t="shared" ref="AG172:AG179" si="307">IFERROR((AF172/(AH172*IF(ISNUMBER(F172),F172,1))),0)</f>
        <v>0.5933140625</v>
      </c>
      <c r="AH172" s="169">
        <f t="shared" ref="AH172:AH179" si="308">IF(ISNUMBER(AH116), AH116+(AH116*$AH$170),"")</f>
        <v>143.26308</v>
      </c>
      <c r="AI172" s="70">
        <f> ( IF(ISNUMBER(G172), VLOOKUP(G172/$AH172,F!$A1:$B101,2,1)*G172*$H172*$I172,0)+IF(ISNUMBER(K172), VLOOKUP(K172/$AH172,F!$A1:$B101,2,1)*K172*$L172*$M172,0)+IF(ISNUMBER(O172), VLOOKUP(O172/$AH172,F!$A1:$B101,2,1)*O172*$P172*$Q172,0)+IF(ISNUMBER(S172), VLOOKUP(S172/$AH172,F!$A1:$B101,2,1)*S172*$T172*$U172,0)+IF(ISNUMBER(W172), VLOOKUP(W172/$AH172,F!$A1:$B101,2,1)*W172*$X172*$Y172,0)+IF(ISNUMBER(AA172), VLOOKUP(AA172/$AH172,F!$A1:$B101,2,1)*AA172*$AB172*$AC172,0))*IF(ISNUMBER(F172),F172,1)*IF(ISNUMBER(E172),E172,1)</f>
        <v>1109.76</v>
      </c>
      <c r="AJ172" s="40">
        <f t="shared" ref="AJ172:AJ179" si="309">H172*I172+L172*M172+P172*Q172+T172*U172+X172*Y172+AB172*AC172</f>
        <v>16</v>
      </c>
      <c r="AK172" s="41">
        <f t="array" ref="AK172">IFERROR(I172*INDEX(F!$P$21:$AB$33, MATCH(G172/$AH172, F!$O$21:$O$33,1), MATCH(E172, F!$P$20:$AB$20,1)), 0 ) +IFERROR( M172*INDEX(F!$P$21:$AB$33, MATCH(K172/$AH172, F!$O$21:$O$33,1), MATCH(E172, F!$P$20:$AB$20,1)),0) +  IFERROR( Q172*INDEX(F!$P$21:$AB$33, MATCH(O172/$AH172, F!$O$21:$O$33,1), MATCH(E172, F!$P$20:$AB$20,1)), 0) + IFERROR( U172*INDEX(F!$P$21:$AB$33, MATCH(S172/$AH172, F!$O$21:$O$33,1), MATCH(E172, F!$P$20:$AB$20,1)),0)  + IFERROR(Y172*INDEX(F!$P$21:$AB$33, MATCH(W172/$AH172, F!$O$21:$O$33,1), MATCH(E172, F!$P$20:$AB$20,1)),0)  + IFERROR( AC172*INDEX(F!$P$21:$AB$33, MATCH(AA172/$AH172, F!$O$21:$O$33,1), MATCH(E172, F!$P$20:$AB$20,1)),)</f>
        <v>16</v>
      </c>
      <c r="AL172" s="42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ht="15.75" customHeight="1">
      <c r="A173" s="44">
        <f>A117+A114</f>
        <v>43801</v>
      </c>
      <c r="B173" s="45" t="str">
        <f t="shared" ref="B173:F173" si="298">IF(B117="","",B117)</f>
        <v>Средняя</v>
      </c>
      <c r="C173" s="46" t="str">
        <f t="shared" si="298"/>
        <v>ЖМ</v>
      </c>
      <c r="D173" s="47" t="str">
        <f t="shared" si="298"/>
        <v>Жим лежа</v>
      </c>
      <c r="E173" s="48">
        <f t="shared" si="298"/>
        <v>1</v>
      </c>
      <c r="F173" s="49" t="str">
        <f t="shared" si="298"/>
        <v/>
      </c>
      <c r="G173" s="50">
        <f t="shared" si="299"/>
        <v>50</v>
      </c>
      <c r="H173" s="51">
        <v>5.0</v>
      </c>
      <c r="I173" s="51">
        <v>5.0</v>
      </c>
      <c r="J173" s="52">
        <v>0.5</v>
      </c>
      <c r="K173" s="50" t="str">
        <f t="shared" si="300"/>
        <v/>
      </c>
      <c r="L173" s="51"/>
      <c r="M173" s="51"/>
      <c r="N173" s="52"/>
      <c r="O173" s="50" t="str">
        <f t="shared" si="301"/>
        <v/>
      </c>
      <c r="P173" s="51"/>
      <c r="Q173" s="51"/>
      <c r="R173" s="52"/>
      <c r="S173" s="50" t="str">
        <f t="shared" si="302"/>
        <v/>
      </c>
      <c r="T173" s="51"/>
      <c r="U173" s="51"/>
      <c r="V173" s="52"/>
      <c r="W173" s="50" t="str">
        <f t="shared" si="303"/>
        <v/>
      </c>
      <c r="X173" s="51"/>
      <c r="Y173" s="51"/>
      <c r="Z173" s="52"/>
      <c r="AA173" s="50" t="str">
        <f t="shared" si="304"/>
        <v/>
      </c>
      <c r="AB173" s="51"/>
      <c r="AC173" s="51"/>
      <c r="AD173" s="52"/>
      <c r="AE173" s="53">
        <f t="shared" si="305"/>
        <v>1250</v>
      </c>
      <c r="AF173" s="54">
        <f t="shared" si="306"/>
        <v>50</v>
      </c>
      <c r="AG173" s="75">
        <f t="shared" si="307"/>
        <v>0.4959591234</v>
      </c>
      <c r="AH173" s="76">
        <f t="shared" si="308"/>
        <v>100.81476</v>
      </c>
      <c r="AI173" s="77">
        <f> ( IF(ISNUMBER(G173), VLOOKUP(G173/$AH173,F!$A1:$B101,2,1)*G173*$H173*$I173,0)+IF(ISNUMBER(K173), VLOOKUP(K173/$AH173,F!$A1:$B101,2,1)*K173*$L173*$M173,0)+IF(ISNUMBER(O173), VLOOKUP(O173/$AH173,F!$A1:$B101,2,1)*O173*$P173*$Q173,0)+IF(ISNUMBER(S173), VLOOKUP(S173/$AH173,F!$A1:$B101,2,1)*S173*$T173*$U173,0)+IF(ISNUMBER(W173), VLOOKUP(W173/$AH173,F!$A1:$B101,2,1)*W173*$X173*$Y173,0)+IF(ISNUMBER(AA173), VLOOKUP(AA173/$AH173,F!$A1:$B101,2,1)*AA173*$AB173*$AC173,0))*IF(ISNUMBER(F173),F173,1)*IF(ISNUMBER(E173),E173,1)</f>
        <v>600</v>
      </c>
      <c r="AJ173" s="57">
        <f t="shared" si="309"/>
        <v>25</v>
      </c>
      <c r="AK173" s="58">
        <f t="array" ref="AK173">IFERROR(I173*INDEX(F!$P$21:$AB$33, MATCH(G173/$AH173, F!$O$21:$O$33,1), MATCH(E173, F!$P$20:$AB$20,1)), 0 ) +IFERROR( M173*INDEX(F!$P$21:$AB$33, MATCH(K173/$AH173, F!$O$21:$O$33,1), MATCH(E173, F!$P$20:$AB$20,1)),0) +  IFERROR( Q173*INDEX(F!$P$21:$AB$33, MATCH(O173/$AH173, F!$O$21:$O$33,1), MATCH(E173, F!$P$20:$AB$20,1)), 0) + IFERROR( U173*INDEX(F!$P$21:$AB$33, MATCH(S173/$AH173, F!$O$21:$O$33,1), MATCH(E173, F!$P$20:$AB$20,1)),0)  + IFERROR(Y173*INDEX(F!$P$21:$AB$33, MATCH(W173/$AH173, F!$O$21:$O$33,1), MATCH(E173, F!$P$20:$AB$20,1)),0)  + IFERROR( AC173*INDEX(F!$P$21:$AB$33, MATCH(AA173/$AH173, F!$O$21:$O$33,1), MATCH(E173, F!$P$20:$AB$20,1)),)</f>
        <v>10</v>
      </c>
      <c r="AL173" s="59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ht="15.75" customHeight="1">
      <c r="A174" s="59"/>
      <c r="B174" s="60" t="str">
        <f t="shared" ref="B174:F174" si="310">IF(B118="","",B118)</f>
        <v>Тяжелая</v>
      </c>
      <c r="C174" s="61" t="str">
        <f t="shared" si="310"/>
        <v>ПР</v>
      </c>
      <c r="D174" s="62" t="str">
        <f t="shared" si="310"/>
        <v>Присед</v>
      </c>
      <c r="E174" s="48">
        <f t="shared" si="310"/>
        <v>1.2</v>
      </c>
      <c r="F174" s="63" t="str">
        <f t="shared" si="310"/>
        <v/>
      </c>
      <c r="G174" s="64">
        <f t="shared" si="299"/>
        <v>92.5</v>
      </c>
      <c r="H174" s="34">
        <v>3.0</v>
      </c>
      <c r="I174" s="34">
        <v>3.0</v>
      </c>
      <c r="J174" s="65">
        <v>0.65</v>
      </c>
      <c r="K174" s="64">
        <f t="shared" si="300"/>
        <v>107.5</v>
      </c>
      <c r="L174" s="34">
        <v>1.0</v>
      </c>
      <c r="M174" s="34">
        <v>3.0</v>
      </c>
      <c r="N174" s="65">
        <v>0.75</v>
      </c>
      <c r="O174" s="64" t="str">
        <f t="shared" si="301"/>
        <v/>
      </c>
      <c r="P174" s="34"/>
      <c r="Q174" s="34"/>
      <c r="R174" s="65"/>
      <c r="S174" s="64" t="str">
        <f t="shared" si="302"/>
        <v/>
      </c>
      <c r="T174" s="34"/>
      <c r="U174" s="34"/>
      <c r="V174" s="65"/>
      <c r="W174" s="64" t="str">
        <f t="shared" si="303"/>
        <v/>
      </c>
      <c r="X174" s="34"/>
      <c r="Y174" s="34"/>
      <c r="Z174" s="65"/>
      <c r="AA174" s="64" t="str">
        <f t="shared" si="304"/>
        <v/>
      </c>
      <c r="AB174" s="34"/>
      <c r="AC174" s="34"/>
      <c r="AD174" s="65"/>
      <c r="AE174" s="66">
        <f t="shared" si="305"/>
        <v>1155</v>
      </c>
      <c r="AF174" s="67">
        <f t="shared" si="306"/>
        <v>96.25</v>
      </c>
      <c r="AG174" s="68">
        <f t="shared" si="307"/>
        <v>0.6718409237</v>
      </c>
      <c r="AH174" s="76">
        <f t="shared" si="308"/>
        <v>143.26308</v>
      </c>
      <c r="AI174" s="70">
        <f> ( IF(ISNUMBER(G174), VLOOKUP(G174/$AH174,F!$A1:$B101,2,1)*G174*$H174*$I174,0)+IF(ISNUMBER(K174), VLOOKUP(K174/$AH174,F!$A1:$B101,2,1)*K174*$L174*$M174,0)+IF(ISNUMBER(O174), VLOOKUP(O174/$AH174,F!$A1:$B101,2,1)*O174*$P174*$Q174,0)+IF(ISNUMBER(S174), VLOOKUP(S174/$AH174,F!$A1:$B101,2,1)*S174*$T174*$U174,0)+IF(ISNUMBER(W174), VLOOKUP(W174/$AH174,F!$A1:$B101,2,1)*W174*$X174*$Y174,0)+IF(ISNUMBER(AA174), VLOOKUP(AA174/$AH174,F!$A1:$B101,2,1)*AA174*$AB174*$AC174,0))*IF(ISNUMBER(F174),F174,1)*IF(ISNUMBER(E174),E174,1)</f>
        <v>1243.62</v>
      </c>
      <c r="AJ174" s="71">
        <f t="shared" si="309"/>
        <v>12</v>
      </c>
      <c r="AK174" s="72">
        <f t="array" ref="AK174">IFERROR(I174*INDEX(F!$P$21:$AB$33, MATCH(G174/$AH174, F!$O$21:$O$33,1), MATCH(E174, F!$P$20:$AB$20,1)), 0 ) +IFERROR( M174*INDEX(F!$P$21:$AB$33, MATCH(K174/$AH174, F!$O$21:$O$33,1), MATCH(E174, F!$P$20:$AB$20,1)),0) +  IFERROR( Q174*INDEX(F!$P$21:$AB$33, MATCH(O174/$AH174, F!$O$21:$O$33,1), MATCH(E174, F!$P$20:$AB$20,1)), 0) + IFERROR( U174*INDEX(F!$P$21:$AB$33, MATCH(S174/$AH174, F!$O$21:$O$33,1), MATCH(E174, F!$P$20:$AB$20,1)),0)  + IFERROR(Y174*INDEX(F!$P$21:$AB$33, MATCH(W174/$AH174, F!$O$21:$O$33,1), MATCH(E174, F!$P$20:$AB$20,1)),0)  + IFERROR( AC174*INDEX(F!$P$21:$AB$33, MATCH(AA174/$AH174, F!$O$21:$O$33,1), MATCH(E174, F!$P$20:$AB$20,1)),)</f>
        <v>27</v>
      </c>
      <c r="AL174" s="59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ht="15.75" customHeight="1">
      <c r="A175" s="59"/>
      <c r="B175" s="215" t="str">
        <f t="shared" ref="B175:F175" si="311">IF(B119="","",B119)</f>
        <v>Средняя</v>
      </c>
      <c r="C175" s="73" t="str">
        <f t="shared" si="311"/>
        <v>ЖМ</v>
      </c>
      <c r="D175" s="47" t="str">
        <f t="shared" si="311"/>
        <v>Жим гантелей</v>
      </c>
      <c r="E175" s="48">
        <f t="shared" si="311"/>
        <v>1</v>
      </c>
      <c r="F175" s="74">
        <f t="shared" si="311"/>
        <v>2</v>
      </c>
      <c r="G175" s="50">
        <f t="shared" si="299"/>
        <v>18</v>
      </c>
      <c r="H175" s="51">
        <v>5.0</v>
      </c>
      <c r="I175" s="51">
        <v>5.0</v>
      </c>
      <c r="J175" s="52">
        <v>0.55</v>
      </c>
      <c r="K175" s="50" t="str">
        <f t="shared" si="300"/>
        <v/>
      </c>
      <c r="L175" s="51"/>
      <c r="M175" s="51"/>
      <c r="N175" s="52"/>
      <c r="O175" s="50" t="str">
        <f t="shared" si="301"/>
        <v/>
      </c>
      <c r="P175" s="51"/>
      <c r="Q175" s="51"/>
      <c r="R175" s="52"/>
      <c r="S175" s="50" t="str">
        <f t="shared" si="302"/>
        <v/>
      </c>
      <c r="T175" s="51"/>
      <c r="U175" s="51"/>
      <c r="V175" s="52"/>
      <c r="W175" s="50" t="str">
        <f t="shared" si="303"/>
        <v/>
      </c>
      <c r="X175" s="51"/>
      <c r="Y175" s="51"/>
      <c r="Z175" s="52"/>
      <c r="AA175" s="50" t="str">
        <f t="shared" si="304"/>
        <v/>
      </c>
      <c r="AB175" s="51"/>
      <c r="AC175" s="51"/>
      <c r="AD175" s="52"/>
      <c r="AE175" s="53">
        <f t="shared" si="305"/>
        <v>900</v>
      </c>
      <c r="AF175" s="54">
        <f t="shared" si="306"/>
        <v>36</v>
      </c>
      <c r="AG175" s="75">
        <f t="shared" si="307"/>
        <v>0.5579540139</v>
      </c>
      <c r="AH175" s="76">
        <f t="shared" si="308"/>
        <v>32.2607232</v>
      </c>
      <c r="AI175" s="77">
        <f> ( IF(ISNUMBER(G175), VLOOKUP(G175/$AH175,F!$A1:$B101,2,1)*G175*$H175*$I175,0)+IF(ISNUMBER(K175), VLOOKUP(K175/$AH175,F!$A1:$B101,2,1)*K175*$L175*$M175,0)+IF(ISNUMBER(O175), VLOOKUP(O175/$AH175,F!$A1:$B101,2,1)*O175*$P175*$Q175,0)+IF(ISNUMBER(S175), VLOOKUP(S175/$AH175,F!$A1:$B101,2,1)*S175*$T175*$U175,0)+IF(ISNUMBER(W175), VLOOKUP(W175/$AH175,F!$A1:$B101,2,1)*W175*$X175*$Y175,0)+IF(ISNUMBER(AA175), VLOOKUP(AA175/$AH175,F!$A1:$B101,2,1)*AA175*$AB175*$AC175,0))*IF(ISNUMBER(F175),F175,1)*IF(ISNUMBER(E175),E175,1)</f>
        <v>522</v>
      </c>
      <c r="AJ175" s="57">
        <f t="shared" si="309"/>
        <v>25</v>
      </c>
      <c r="AK175" s="58">
        <f t="array" ref="AK175">IFERROR(I175*INDEX(F!$P$21:$AB$33, MATCH(G175/$AH175, F!$O$21:$O$33,1), MATCH(E175, F!$P$20:$AB$20,1)), 0 ) +IFERROR( M175*INDEX(F!$P$21:$AB$33, MATCH(K175/$AH175, F!$O$21:$O$33,1), MATCH(E175, F!$P$20:$AB$20,1)),0) +  IFERROR( Q175*INDEX(F!$P$21:$AB$33, MATCH(O175/$AH175, F!$O$21:$O$33,1), MATCH(E175, F!$P$20:$AB$20,1)), 0) + IFERROR( U175*INDEX(F!$P$21:$AB$33, MATCH(S175/$AH175, F!$O$21:$O$33,1), MATCH(E175, F!$P$20:$AB$20,1)),0)  + IFERROR(Y175*INDEX(F!$P$21:$AB$33, MATCH(W175/$AH175, F!$O$21:$O$33,1), MATCH(E175, F!$P$20:$AB$20,1)),0)  + IFERROR( AC175*INDEX(F!$P$21:$AB$33, MATCH(AA175/$AH175, F!$O$21:$O$33,1), MATCH(E175, F!$P$20:$AB$20,1)),)</f>
        <v>15</v>
      </c>
      <c r="AL175" s="59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ht="15.75" customHeight="1">
      <c r="A176" s="59"/>
      <c r="B176" s="216" t="s">
        <v>24</v>
      </c>
      <c r="C176" s="78" t="str">
        <f t="shared" ref="C176:F176" si="312">IF(C120="","",C120)</f>
        <v>ОФП</v>
      </c>
      <c r="D176" s="62" t="str">
        <f t="shared" si="312"/>
        <v>Французский жим</v>
      </c>
      <c r="E176" s="48">
        <f t="shared" si="312"/>
        <v>0.4</v>
      </c>
      <c r="F176" s="79" t="str">
        <f t="shared" si="312"/>
        <v/>
      </c>
      <c r="G176" s="64">
        <f t="shared" si="299"/>
        <v>22.5</v>
      </c>
      <c r="H176" s="34">
        <v>6.0</v>
      </c>
      <c r="I176" s="34">
        <v>3.0</v>
      </c>
      <c r="J176" s="65">
        <v>0.5</v>
      </c>
      <c r="K176" s="64" t="str">
        <f t="shared" si="300"/>
        <v/>
      </c>
      <c r="L176" s="34"/>
      <c r="M176" s="34"/>
      <c r="N176" s="65"/>
      <c r="O176" s="64" t="str">
        <f t="shared" si="301"/>
        <v/>
      </c>
      <c r="P176" s="34"/>
      <c r="Q176" s="34"/>
      <c r="R176" s="65"/>
      <c r="S176" s="64" t="str">
        <f t="shared" si="302"/>
        <v/>
      </c>
      <c r="T176" s="34"/>
      <c r="U176" s="34"/>
      <c r="V176" s="65"/>
      <c r="W176" s="64" t="str">
        <f t="shared" si="303"/>
        <v/>
      </c>
      <c r="X176" s="34"/>
      <c r="Y176" s="34"/>
      <c r="Z176" s="65"/>
      <c r="AA176" s="64" t="str">
        <f t="shared" si="304"/>
        <v/>
      </c>
      <c r="AB176" s="34"/>
      <c r="AC176" s="34"/>
      <c r="AD176" s="65"/>
      <c r="AE176" s="66">
        <f t="shared" si="305"/>
        <v>405</v>
      </c>
      <c r="AF176" s="67">
        <f t="shared" si="306"/>
        <v>22.5</v>
      </c>
      <c r="AG176" s="68">
        <f t="shared" si="307"/>
        <v>0.4851774034</v>
      </c>
      <c r="AH176" s="76">
        <f t="shared" si="308"/>
        <v>46.3747896</v>
      </c>
      <c r="AI176" s="70">
        <f> ( IF(ISNUMBER(G176), VLOOKUP(G176/$AH176,F!$A1:$B101,2,1)*G176*$H176*$I176,0)+IF(ISNUMBER(K176), VLOOKUP(K176/$AH176,F!$A1:$B101,2,1)*K176*$L176*$M176,0)+IF(ISNUMBER(O176), VLOOKUP(O176/$AH176,F!$A1:$B101,2,1)*O176*$P176*$Q176,0)+IF(ISNUMBER(S176), VLOOKUP(S176/$AH176,F!$A1:$B101,2,1)*S176*$T176*$U176,0)+IF(ISNUMBER(W176), VLOOKUP(W176/$AH176,F!$A1:$B101,2,1)*W176*$X176*$Y176,0)+IF(ISNUMBER(AA176), VLOOKUP(AA176/$AH176,F!$A1:$B101,2,1)*AA176*$AB176*$AC176,0))*IF(ISNUMBER(F176),F176,1)*IF(ISNUMBER(E176),E176,1)</f>
        <v>76.14</v>
      </c>
      <c r="AJ176" s="71">
        <f t="shared" si="309"/>
        <v>18</v>
      </c>
      <c r="AK176" s="72">
        <f t="array" ref="AK176">IFERROR(I176*INDEX(F!$P$21:$AB$33, MATCH(G176/$AH176, F!$O$21:$O$33,1), MATCH(E176, F!$P$20:$AB$20,1)), 0 ) +IFERROR( M176*INDEX(F!$P$21:$AB$33, MATCH(K176/$AH176, F!$O$21:$O$33,1), MATCH(E176, F!$P$20:$AB$20,1)),0) +  IFERROR( Q176*INDEX(F!$P$21:$AB$33, MATCH(O176/$AH176, F!$O$21:$O$33,1), MATCH(E176, F!$P$20:$AB$20,1)), 0) + IFERROR( U176*INDEX(F!$P$21:$AB$33, MATCH(S176/$AH176, F!$O$21:$O$33,1), MATCH(E176, F!$P$20:$AB$20,1)),0)  + IFERROR(Y176*INDEX(F!$P$21:$AB$33, MATCH(W176/$AH176, F!$O$21:$O$33,1), MATCH(E176, F!$P$20:$AB$20,1)),0)  + IFERROR( AC176*INDEX(F!$P$21:$AB$33, MATCH(AA176/$AH176, F!$O$21:$O$33,1), MATCH(E176, F!$P$20:$AB$20,1)),)</f>
        <v>4.5</v>
      </c>
      <c r="AL176" s="59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ht="15.75" hidden="1" customHeight="1">
      <c r="A177" s="59"/>
      <c r="B177" s="45" t="str">
        <f t="shared" ref="B177:F177" si="313">IF(B121="","",B121)</f>
        <v/>
      </c>
      <c r="C177" s="46" t="str">
        <f t="shared" si="313"/>
        <v/>
      </c>
      <c r="D177" s="197" t="str">
        <f t="shared" si="313"/>
        <v/>
      </c>
      <c r="E177" s="48" t="str">
        <f t="shared" si="313"/>
        <v/>
      </c>
      <c r="F177" s="83" t="str">
        <f t="shared" si="313"/>
        <v/>
      </c>
      <c r="G177" s="84"/>
      <c r="H177" s="85"/>
      <c r="I177" s="85"/>
      <c r="J177" s="52"/>
      <c r="K177" s="50" t="str">
        <f t="shared" si="300"/>
        <v/>
      </c>
      <c r="L177" s="51"/>
      <c r="M177" s="51"/>
      <c r="N177" s="52"/>
      <c r="O177" s="50" t="str">
        <f t="shared" si="301"/>
        <v/>
      </c>
      <c r="P177" s="51"/>
      <c r="Q177" s="51"/>
      <c r="R177" s="52"/>
      <c r="S177" s="50" t="str">
        <f t="shared" si="302"/>
        <v/>
      </c>
      <c r="T177" s="51"/>
      <c r="U177" s="51"/>
      <c r="V177" s="52"/>
      <c r="W177" s="50" t="str">
        <f t="shared" si="303"/>
        <v/>
      </c>
      <c r="X177" s="51"/>
      <c r="Y177" s="51"/>
      <c r="Z177" s="52"/>
      <c r="AA177" s="50" t="str">
        <f t="shared" si="304"/>
        <v/>
      </c>
      <c r="AB177" s="51"/>
      <c r="AC177" s="51"/>
      <c r="AD177" s="52"/>
      <c r="AE177" s="53">
        <f t="shared" si="305"/>
        <v>0</v>
      </c>
      <c r="AF177" s="54">
        <f t="shared" si="306"/>
        <v>0</v>
      </c>
      <c r="AG177" s="75">
        <f t="shared" si="307"/>
        <v>0</v>
      </c>
      <c r="AH177" s="76" t="str">
        <f t="shared" si="308"/>
        <v/>
      </c>
      <c r="AI177" s="77">
        <f> ( IF(ISNUMBER(G177), VLOOKUP(G177/$AH177,F!$A1:$B101,2,1)*G177*$H177*$I177,0)+IF(ISNUMBER(K177), VLOOKUP(K177/$AH177,F!$A1:$B101,2,1)*K177*$L177*$M177,0)+IF(ISNUMBER(O177), VLOOKUP(O177/$AH177,F!$A1:$B101,2,1)*O177*$P177*$Q177,0)+IF(ISNUMBER(S177), VLOOKUP(S177/$AH177,F!$A1:$B101,2,1)*S177*$T177*$U177,0)+IF(ISNUMBER(W177), VLOOKUP(W177/$AH177,F!$A1:$B101,2,1)*W177*$X177*$Y177,0)+IF(ISNUMBER(AA177), VLOOKUP(AA177/$AH177,F!$A1:$B101,2,1)*AA177*$AB177*$AC177,0))*IF(ISNUMBER(F177),F177,1)*IF(ISNUMBER(E177),E177,1)</f>
        <v>0</v>
      </c>
      <c r="AJ177" s="86">
        <f t="shared" si="309"/>
        <v>0</v>
      </c>
      <c r="AK177" s="58">
        <f t="array" ref="AK177">IFERROR(I177*INDEX(F!$P$21:$AB$33, MATCH(G177/$AH177, F!$O$21:$O$33,1), MATCH(E177, F!$P$20:$AB$20,1)), 0 ) +IFERROR( M177*INDEX(F!$P$21:$AB$33, MATCH(K177/$AH177, F!$O$21:$O$33,1), MATCH(E177, F!$P$20:$AB$20,1)),0) +  IFERROR( Q177*INDEX(F!$P$21:$AB$33, MATCH(O177/$AH177, F!$O$21:$O$33,1), MATCH(E177, F!$P$20:$AB$20,1)), 0) + IFERROR( U177*INDEX(F!$P$21:$AB$33, MATCH(S177/$AH177, F!$O$21:$O$33,1), MATCH(E177, F!$P$20:$AB$20,1)),0)  + IFERROR(Y177*INDEX(F!$P$21:$AB$33, MATCH(W177/$AH177, F!$O$21:$O$33,1), MATCH(E177, F!$P$20:$AB$20,1)),0)  + IFERROR( AC177*INDEX(F!$P$21:$AB$33, MATCH(AA177/$AH177, F!$O$21:$O$33,1), MATCH(E177, F!$P$20:$AB$20,1)),)</f>
        <v>0</v>
      </c>
      <c r="AL177" s="59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ht="15.0" hidden="1" customHeight="1">
      <c r="A178" s="59"/>
      <c r="B178" s="60" t="str">
        <f t="shared" ref="B178:F178" si="314">IF(B122="","",B122)</f>
        <v/>
      </c>
      <c r="C178" s="61" t="str">
        <f t="shared" si="314"/>
        <v/>
      </c>
      <c r="D178" s="198" t="str">
        <f t="shared" si="314"/>
        <v/>
      </c>
      <c r="E178" s="48" t="str">
        <f t="shared" si="314"/>
        <v/>
      </c>
      <c r="F178" s="79" t="str">
        <f t="shared" si="314"/>
        <v/>
      </c>
      <c r="G178" s="88"/>
      <c r="H178" s="89"/>
      <c r="I178" s="89"/>
      <c r="J178" s="65"/>
      <c r="K178" s="64" t="str">
        <f t="shared" si="300"/>
        <v/>
      </c>
      <c r="L178" s="34"/>
      <c r="M178" s="34"/>
      <c r="N178" s="65"/>
      <c r="O178" s="64" t="str">
        <f t="shared" si="301"/>
        <v/>
      </c>
      <c r="P178" s="34"/>
      <c r="Q178" s="34"/>
      <c r="R178" s="65"/>
      <c r="S178" s="64" t="str">
        <f t="shared" si="302"/>
        <v/>
      </c>
      <c r="T178" s="34"/>
      <c r="U178" s="34"/>
      <c r="V178" s="65"/>
      <c r="W178" s="64" t="str">
        <f t="shared" si="303"/>
        <v/>
      </c>
      <c r="X178" s="34"/>
      <c r="Y178" s="34"/>
      <c r="Z178" s="65"/>
      <c r="AA178" s="64" t="str">
        <f t="shared" si="304"/>
        <v/>
      </c>
      <c r="AB178" s="34"/>
      <c r="AC178" s="34"/>
      <c r="AD178" s="65"/>
      <c r="AE178" s="66">
        <f t="shared" si="305"/>
        <v>0</v>
      </c>
      <c r="AF178" s="67">
        <f t="shared" si="306"/>
        <v>0</v>
      </c>
      <c r="AG178" s="68">
        <f t="shared" si="307"/>
        <v>0</v>
      </c>
      <c r="AH178" s="76" t="str">
        <f t="shared" si="308"/>
        <v/>
      </c>
      <c r="AI178" s="90">
        <f> ( IF(ISNUMBER(G178), VLOOKUP(G178/$AH178,F!$A1:$B101,2,1)*G178*$H178*$I178,0)+IF(ISNUMBER(K178), VLOOKUP(K178/$AH178,F!$A1:$B101,2,1)*K178*$L178*$M178,0)+IF(ISNUMBER(O178), VLOOKUP(O178/$AH178,F!$A1:$B101,2,1)*O178*$P178*$Q178,0)+IF(ISNUMBER(S178), VLOOKUP(S178/$AH178,F!$A1:$B101,2,1)*S178*$T178*$U178,0)+IF(ISNUMBER(W178), VLOOKUP(W178/$AH178,F!$A1:$B101,2,1)*W178*$X178*$Y178,0)+IF(ISNUMBER(AA178), VLOOKUP(AA178/$AH178,F!$A1:$B101,2,1)*AA178*$AB178*$AC178,0))*IF(ISNUMBER(F178),F178,1)*IF(ISNUMBER(E178),E178,1)</f>
        <v>0</v>
      </c>
      <c r="AJ178" s="34">
        <f t="shared" si="309"/>
        <v>0</v>
      </c>
      <c r="AK178" s="91">
        <f t="array" ref="AK178">IFERROR(I178*INDEX(F!$P$21:$AB$33, MATCH(G178/$AH178, F!$O$21:$O$33,1), MATCH(E178, F!$P$20:$AB$20,1)), 0 ) +IFERROR( M178*INDEX(F!$P$21:$AB$33, MATCH(K178/$AH178, F!$O$21:$O$33,1), MATCH(E178, F!$P$20:$AB$20,1)),0) +  IFERROR( Q178*INDEX(F!$P$21:$AB$33, MATCH(O178/$AH178, F!$O$21:$O$33,1), MATCH(E178, F!$P$20:$AB$20,1)), 0) + IFERROR( U178*INDEX(F!$P$21:$AB$33, MATCH(S178/$AH178, F!$O$21:$O$33,1), MATCH(E178, F!$P$20:$AB$20,1)),0)  + IFERROR(Y178*INDEX(F!$P$21:$AB$33, MATCH(W178/$AH178, F!$O$21:$O$33,1), MATCH(E178, F!$P$20:$AB$20,1)),0)  + IFERROR( AC178*INDEX(F!$P$21:$AB$33, MATCH(AA178/$AH178, F!$O$21:$O$33,1), MATCH(E178, F!$P$20:$AB$20,1)),)</f>
        <v>0</v>
      </c>
      <c r="AL178" s="59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ht="15.0" hidden="1" customHeight="1">
      <c r="A179" s="59"/>
      <c r="B179" s="45" t="str">
        <f t="shared" ref="B179:F179" si="315">IF(B123="","",B123)</f>
        <v/>
      </c>
      <c r="C179" s="46" t="str">
        <f t="shared" si="315"/>
        <v/>
      </c>
      <c r="D179" s="92" t="str">
        <f t="shared" si="315"/>
        <v/>
      </c>
      <c r="E179" s="48" t="str">
        <f t="shared" si="315"/>
        <v/>
      </c>
      <c r="F179" s="74" t="str">
        <f t="shared" si="315"/>
        <v/>
      </c>
      <c r="G179" s="50"/>
      <c r="H179" s="51"/>
      <c r="I179" s="51"/>
      <c r="J179" s="52"/>
      <c r="K179" s="50" t="str">
        <f t="shared" si="300"/>
        <v/>
      </c>
      <c r="L179" s="51"/>
      <c r="M179" s="51"/>
      <c r="N179" s="52"/>
      <c r="O179" s="50" t="str">
        <f t="shared" si="301"/>
        <v/>
      </c>
      <c r="P179" s="51"/>
      <c r="Q179" s="51"/>
      <c r="R179" s="52"/>
      <c r="S179" s="50" t="str">
        <f t="shared" si="302"/>
        <v/>
      </c>
      <c r="T179" s="51"/>
      <c r="U179" s="51"/>
      <c r="V179" s="52"/>
      <c r="W179" s="50" t="str">
        <f t="shared" si="303"/>
        <v/>
      </c>
      <c r="X179" s="51"/>
      <c r="Y179" s="51"/>
      <c r="Z179" s="52"/>
      <c r="AA179" s="50" t="str">
        <f t="shared" si="304"/>
        <v/>
      </c>
      <c r="AB179" s="51"/>
      <c r="AC179" s="51"/>
      <c r="AD179" s="52"/>
      <c r="AE179" s="53">
        <f t="shared" si="305"/>
        <v>0</v>
      </c>
      <c r="AF179" s="93">
        <f t="shared" si="306"/>
        <v>0</v>
      </c>
      <c r="AG179" s="94">
        <f t="shared" si="307"/>
        <v>0</v>
      </c>
      <c r="AH179" s="76" t="str">
        <f t="shared" si="308"/>
        <v/>
      </c>
      <c r="AI179" s="95">
        <f> ( IF(ISNUMBER(G179), VLOOKUP(G179/$AH179,F!$A1:$B101,2,1)*G179*$H179*$I179,0)+IF(ISNUMBER(K179), VLOOKUP(K179/$AH179,F!$A1:$B101,2,1)*K179*$L179*$M179,0)+IF(ISNUMBER(O179), VLOOKUP(O179/$AH179,F!$A1:$B101,2,1)*O179*$P179*$Q179,0)+IF(ISNUMBER(S179), VLOOKUP(S179/$AH179,F!$A1:$B101,2,1)*S179*$T179*$U179,0)+IF(ISNUMBER(W179), VLOOKUP(W179/$AH179,F!$A1:$B101,2,1)*W179*$X179*$Y179,0)+IF(ISNUMBER(AA179), VLOOKUP(AA179/$AH179,F!$A1:$B101,2,1)*AA179*$AB179*$AC179,0))*IF(ISNUMBER(F179),F179,1)*IF(ISNUMBER(E179),E179,1)</f>
        <v>0</v>
      </c>
      <c r="AJ179" s="96">
        <f t="shared" si="309"/>
        <v>0</v>
      </c>
      <c r="AK179" s="97">
        <f t="array" ref="AK179">IFERROR(I179*INDEX(F!$P$21:$AB$33, MATCH(G179/$AH179, F!$O$21:$O$33,1), MATCH(E179, F!$P$20:$AB$20,1)), 0 ) +IFERROR( M179*INDEX(F!$P$21:$AB$33, MATCH(K179/$AH179, F!$O$21:$O$33,1), MATCH(E179, F!$P$20:$AB$20,1)),0) +  IFERROR( Q179*INDEX(F!$P$21:$AB$33, MATCH(O179/$AH179, F!$O$21:$O$33,1), MATCH(E179, F!$P$20:$AB$20,1)), 0) + IFERROR( U179*INDEX(F!$P$21:$AB$33, MATCH(S179/$AH179, F!$O$21:$O$33,1), MATCH(E179, F!$P$20:$AB$20,1)),0)  + IFERROR(Y179*INDEX(F!$P$21:$AB$33, MATCH(W179/$AH179, F!$O$21:$O$33,1), MATCH(E179, F!$P$20:$AB$20,1)),0)  + IFERROR( AC179*INDEX(F!$P$21:$AB$33, MATCH(AA179/$AH179, F!$O$21:$O$33,1), MATCH(E179, F!$P$20:$AB$20,1)),)</f>
        <v>0</v>
      </c>
      <c r="AL179" s="59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ht="15.75" customHeight="1">
      <c r="A180" s="98"/>
      <c r="B180" s="99"/>
      <c r="C180" s="100"/>
      <c r="D180" s="101"/>
      <c r="E180" s="102">
        <f>ROUND(IFERROR(SUMPRODUCT(AJ172:AJ179,E172:E179)/AJ180,0),3)</f>
        <v>0.946</v>
      </c>
      <c r="F180" s="199"/>
      <c r="G180" s="104"/>
      <c r="H180" s="105"/>
      <c r="I180" s="105"/>
      <c r="J180" s="106"/>
      <c r="K180" s="104"/>
      <c r="L180" s="105"/>
      <c r="M180" s="105"/>
      <c r="N180" s="106"/>
      <c r="O180" s="104"/>
      <c r="P180" s="105"/>
      <c r="Q180" s="105"/>
      <c r="R180" s="106"/>
      <c r="S180" s="104"/>
      <c r="T180" s="105"/>
      <c r="U180" s="105"/>
      <c r="V180" s="106"/>
      <c r="W180" s="104"/>
      <c r="X180" s="105"/>
      <c r="Y180" s="105"/>
      <c r="Z180" s="106"/>
      <c r="AA180" s="104"/>
      <c r="AB180" s="105"/>
      <c r="AC180" s="105"/>
      <c r="AD180" s="106"/>
      <c r="AE180" s="107">
        <f>SUM(AE172:AE179)</f>
        <v>5070</v>
      </c>
      <c r="AF180" s="108">
        <f t="shared" si="306"/>
        <v>52.8125</v>
      </c>
      <c r="AG180" s="109">
        <f>IFERROR(  SUMPRODUCT(AG172:AG179,AJ172:AJ179)/AJ180,0)</f>
        <v>0.5482931019</v>
      </c>
      <c r="AH180" s="157"/>
      <c r="AI180" s="111">
        <f t="shared" ref="AI180:AJ180" si="316">SUM(AI172:AI179)</f>
        <v>3551.52</v>
      </c>
      <c r="AJ180" s="111">
        <f t="shared" si="316"/>
        <v>96</v>
      </c>
      <c r="AK180" s="112">
        <f>IF(SUM(AK172:AK179)=0,TIME(,0,),TIME(,SUM(AK172:AK179)+F!$V$37,))</f>
        <v>0.07083333333</v>
      </c>
      <c r="AL180" s="98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ht="15.75" customHeight="1">
      <c r="A181" s="113">
        <f>A182</f>
        <v>43803</v>
      </c>
      <c r="B181" s="114" t="str">
        <f t="shared" ref="B181:F181" si="317">IF(B125="","",B125)</f>
        <v>Тяжелая</v>
      </c>
      <c r="C181" s="115" t="str">
        <f t="shared" si="317"/>
        <v>ТГ</v>
      </c>
      <c r="D181" s="116" t="str">
        <f t="shared" si="317"/>
        <v>Становая тяга</v>
      </c>
      <c r="E181" s="29">
        <f t="shared" si="317"/>
        <v>1.4</v>
      </c>
      <c r="F181" s="117" t="str">
        <f t="shared" si="317"/>
        <v/>
      </c>
      <c r="G181" s="118">
        <f t="shared" ref="G181:G185" si="319">IF(J181&lt;&gt;0, IFERROR(IF( $F181=2,  MROUND($AH181*J181,1),    IF( OR($F181="",$F181=1),   MROUND($AH181*J181,2.5),  MROUND($AH181*J181, 0.1))), "" ), "")</f>
        <v>127.5</v>
      </c>
      <c r="H181" s="119">
        <v>3.0</v>
      </c>
      <c r="I181" s="119">
        <v>1.0</v>
      </c>
      <c r="J181" s="120">
        <v>0.65</v>
      </c>
      <c r="K181" s="118">
        <f t="shared" ref="K181:K188" si="320">IF(N181&lt;&gt;0, IFERROR(IF( $F181=2,  MROUND($AH181*N181,1),    IF( OR($F181="",$F181=1),   MROUND($AH181*N181,2.5),  MROUND($AH181*N181, 0.1))), "" ), "")</f>
        <v>147.5</v>
      </c>
      <c r="L181" s="119">
        <v>2.0</v>
      </c>
      <c r="M181" s="119">
        <v>2.0</v>
      </c>
      <c r="N181" s="120">
        <v>0.75</v>
      </c>
      <c r="O181" s="118">
        <f t="shared" ref="O181:O188" si="321">IF(R181&lt;&gt;0, IFERROR(IF( $F181=2,  MROUND($AH181*R181,1),    IF( OR($F181="",$F181=1),   MROUND($AH181*R181,2.5),  MROUND($AH181*R181, 0.1))), "" ), "")</f>
        <v>150</v>
      </c>
      <c r="P181" s="119">
        <v>1.0</v>
      </c>
      <c r="Q181" s="119">
        <v>2.0</v>
      </c>
      <c r="R181" s="120">
        <v>0.77</v>
      </c>
      <c r="S181" s="118" t="str">
        <f t="shared" ref="S181:S188" si="322">IF(V181&lt;&gt;0, IFERROR(IF( $F181=2,  MROUND($AH181*V181,1),    IF( OR($F181="",$F181=1),   MROUND($AH181*V181,2.5),  MROUND($AH181*V181, 0.1))), "" ), "")</f>
        <v/>
      </c>
      <c r="T181" s="119"/>
      <c r="U181" s="119"/>
      <c r="V181" s="120"/>
      <c r="W181" s="118" t="str">
        <f t="shared" ref="W181:W188" si="323">IF(Z181&lt;&gt;0, IFERROR(IF( $F181=2,  MROUND($AH181*Z181,1),    IF( OR($F181="",$F181=1),   MROUND($AH181*Z181,2.5),  MROUND($AH181*Z181, 0.1))), "" ), "")</f>
        <v/>
      </c>
      <c r="X181" s="119"/>
      <c r="Y181" s="119"/>
      <c r="Z181" s="120"/>
      <c r="AA181" s="118" t="str">
        <f t="shared" ref="AA181:AA188" si="324">IF(AD181&lt;&gt;0, IFERROR(IF( $F181=2,  MROUND($AH181*AD181,1),    IF( OR($F181="",$F181=1),   MROUND($AH181*AD181,2.5),  MROUND($AH181*AD181, 0.1))), "" ), "")</f>
        <v/>
      </c>
      <c r="AB181" s="119"/>
      <c r="AC181" s="119"/>
      <c r="AD181" s="120"/>
      <c r="AE181" s="121">
        <f t="shared" ref="AE181:AE188" si="325">(IF(ISNUMBER(G181),G181,0)*H181*I181+IF(ISNUMBER(K181),K181,1)*L181*M181+IF(ISNUMBER(O181),O181,1)*P181*Q181+IF(ISNUMBER(S181),S181,1)*T181*U181+IF(ISNUMBER(W181),W181,1)*X181*Y181+IF(ISNUMBER(AA181),AA181,1)*AB181*AC181)*IF(ISNUMBER(F181),F181,1)</f>
        <v>1272.5</v>
      </c>
      <c r="AF181" s="122">
        <f t="shared" si="306"/>
        <v>141.3888889</v>
      </c>
      <c r="AG181" s="200">
        <f t="shared" ref="AG181:AG188" si="326">IFERROR((AF181/(AH181*IF(ISNUMBER(F181),F181,1))),0)</f>
        <v>0.7201832857</v>
      </c>
      <c r="AH181" s="169">
        <f t="shared" ref="AH181:AH188" si="327">IF(ISNUMBER(AH125), AH125+(AH125*$AH$170),"")</f>
        <v>196.32348</v>
      </c>
      <c r="AI181" s="122">
        <f> ( IF(ISNUMBER(G181), VLOOKUP(G181/$AH181,F!$A1:$B101,2,1)*G181*$H181*$I181,0)+IF(ISNUMBER(K181), VLOOKUP(K181/$AH181,F!$A1:$B101,2,1)*K181*$L181*$M181,0)+IF(ISNUMBER(O181), VLOOKUP(O181/$AH181,F!$A1:$B101,2,1)*O181*$P181*$Q181,0)+IF(ISNUMBER(S181), VLOOKUP(S181/$AH181,F!$A1:$B101,2,1)*S181*$T181*$U181,0)+IF(ISNUMBER(W181), VLOOKUP(W181/$AH181,F!$A1:$B101,2,1)*W181*$X181*$Y181,0)+IF(ISNUMBER(AA181), VLOOKUP(AA181/$AH181,F!$A1:$B101,2,1)*AA181*$AB181*$AC181,0))*IF(ISNUMBER(F181),F181,1)*IF(ISNUMBER(E181),E181,1)</f>
        <v>1942.29</v>
      </c>
      <c r="AJ181" s="119">
        <f t="shared" ref="AJ181:AJ188" si="328">H181*I181+L181*M181+P181*Q181+T181*U181+X181*Y181+AB181*AC181</f>
        <v>9</v>
      </c>
      <c r="AK181" s="125">
        <f t="array" ref="AK181">IFERROR(I181*INDEX(F!$P$21:$AB$33, MATCH(G181/$AH181, F!$O$21:$O$33,1), MATCH(E181, F!$P$20:$AB$20,1)), 0 ) +IFERROR( M181*INDEX(F!$P$21:$AB$33, MATCH(K181/$AH181, F!$O$21:$O$33,1), MATCH(E181, F!$P$20:$AB$20,1)),0) +  IFERROR( Q181*INDEX(F!$P$21:$AB$33, MATCH(O181/$AH181, F!$O$21:$O$33,1), MATCH(E181, F!$P$20:$AB$20,1)), 0) + IFERROR( U181*INDEX(F!$P$21:$AB$33, MATCH(S181/$AH181, F!$O$21:$O$33,1), MATCH(E181, F!$P$20:$AB$20,1)),0)  + IFERROR(Y181*INDEX(F!$P$21:$AB$33, MATCH(W181/$AH181, F!$O$21:$O$33,1), MATCH(E181, F!$P$20:$AB$20,1)),0)  + IFERROR( AC181*INDEX(F!$P$21:$AB$33, MATCH(AA181/$AH181, F!$O$21:$O$33,1), MATCH(E181, F!$P$20:$AB$20,1)),)</f>
        <v>26.5</v>
      </c>
      <c r="AL181" s="42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ht="15.75" customHeight="1">
      <c r="A182" s="44">
        <f>A126+A114</f>
        <v>43803</v>
      </c>
      <c r="B182" s="126" t="str">
        <f t="shared" ref="B182:F182" si="318">IF(B126="","",B126)</f>
        <v>Средняя</v>
      </c>
      <c r="C182" s="127" t="str">
        <f t="shared" si="318"/>
        <v>ЖМ</v>
      </c>
      <c r="D182" s="128" t="str">
        <f t="shared" si="318"/>
        <v>Жим лежа</v>
      </c>
      <c r="E182" s="48">
        <f t="shared" si="318"/>
        <v>1</v>
      </c>
      <c r="F182" s="129" t="str">
        <f t="shared" si="318"/>
        <v/>
      </c>
      <c r="G182" s="130">
        <f t="shared" si="319"/>
        <v>65</v>
      </c>
      <c r="H182" s="34">
        <v>4.0</v>
      </c>
      <c r="I182" s="34">
        <v>4.0</v>
      </c>
      <c r="J182" s="65">
        <v>0.65</v>
      </c>
      <c r="K182" s="130" t="str">
        <f t="shared" si="320"/>
        <v/>
      </c>
      <c r="L182" s="34"/>
      <c r="M182" s="34"/>
      <c r="N182" s="65"/>
      <c r="O182" s="130" t="str">
        <f t="shared" si="321"/>
        <v/>
      </c>
      <c r="P182" s="34"/>
      <c r="Q182" s="34"/>
      <c r="R182" s="65"/>
      <c r="S182" s="130" t="str">
        <f t="shared" si="322"/>
        <v/>
      </c>
      <c r="T182" s="34"/>
      <c r="U182" s="34"/>
      <c r="V182" s="65"/>
      <c r="W182" s="130" t="str">
        <f t="shared" si="323"/>
        <v/>
      </c>
      <c r="X182" s="34"/>
      <c r="Y182" s="34"/>
      <c r="Z182" s="65"/>
      <c r="AA182" s="130" t="str">
        <f t="shared" si="324"/>
        <v/>
      </c>
      <c r="AB182" s="34"/>
      <c r="AC182" s="34"/>
      <c r="AD182" s="65"/>
      <c r="AE182" s="131">
        <f t="shared" si="325"/>
        <v>1040</v>
      </c>
      <c r="AF182" s="132">
        <f t="shared" si="306"/>
        <v>65</v>
      </c>
      <c r="AG182" s="133">
        <f t="shared" si="326"/>
        <v>0.6447468605</v>
      </c>
      <c r="AH182" s="76">
        <f t="shared" si="327"/>
        <v>100.81476</v>
      </c>
      <c r="AI182" s="132">
        <f> ( IF(ISNUMBER(G182), VLOOKUP(G182/$AH182,F!$A1:$B101,2,1)*G182*$H182*$I182,0)+IF(ISNUMBER(K182), VLOOKUP(K182/$AH182,F!$A1:$B101,2,1)*K182*$L182*$M182,0)+IF(ISNUMBER(O182), VLOOKUP(O182/$AH182,F!$A1:$B101,2,1)*O182*$P182*$Q182,0)+IF(ISNUMBER(S182), VLOOKUP(S182/$AH182,F!$A1:$B101,2,1)*S182*$T182*$U182,0)+IF(ISNUMBER(W182), VLOOKUP(W182/$AH182,F!$A1:$B101,2,1)*W182*$X182*$Y182,0)+IF(ISNUMBER(AA182), VLOOKUP(AA182/$AH182,F!$A1:$B101,2,1)*AA182*$AB182*$AC182,0))*IF(ISNUMBER(F182),F182,1)*IF(ISNUMBER(E182),E182,1)</f>
        <v>811.2</v>
      </c>
      <c r="AJ182" s="34">
        <f t="shared" si="328"/>
        <v>16</v>
      </c>
      <c r="AK182" s="134">
        <f t="array" ref="AK182">IFERROR(I182*INDEX(F!$P$21:$AB$33, MATCH(G182/$AH182, F!$O$21:$O$33,1), MATCH(E182, F!$P$20:$AB$20,1)), 0 ) +IFERROR( M182*INDEX(F!$P$21:$AB$33, MATCH(K182/$AH182, F!$O$21:$O$33,1), MATCH(E182, F!$P$20:$AB$20,1)),0) +  IFERROR( Q182*INDEX(F!$P$21:$AB$33, MATCH(O182/$AH182, F!$O$21:$O$33,1), MATCH(E182, F!$P$20:$AB$20,1)), 0) + IFERROR( U182*INDEX(F!$P$21:$AB$33, MATCH(S182/$AH182, F!$O$21:$O$33,1), MATCH(E182, F!$P$20:$AB$20,1)),0)  + IFERROR(Y182*INDEX(F!$P$21:$AB$33, MATCH(W182/$AH182, F!$O$21:$O$33,1), MATCH(E182, F!$P$20:$AB$20,1)),0)  + IFERROR( AC182*INDEX(F!$P$21:$AB$33, MATCH(AA182/$AH182, F!$O$21:$O$33,1), MATCH(E182, F!$P$20:$AB$20,1)),)</f>
        <v>12</v>
      </c>
      <c r="AL182" s="59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ht="15.75" customHeight="1">
      <c r="A183" s="59"/>
      <c r="B183" s="135" t="str">
        <f t="shared" ref="B183:F183" si="329">IF(B127="","",B127)</f>
        <v>Легкая</v>
      </c>
      <c r="C183" s="136" t="str">
        <f t="shared" si="329"/>
        <v>ОФП</v>
      </c>
      <c r="D183" s="137" t="str">
        <f t="shared" si="329"/>
        <v>Наклоны со штангой</v>
      </c>
      <c r="E183" s="48">
        <f t="shared" si="329"/>
        <v>0.8</v>
      </c>
      <c r="F183" s="138" t="str">
        <f t="shared" si="329"/>
        <v/>
      </c>
      <c r="G183" s="139">
        <f t="shared" si="319"/>
        <v>47.5</v>
      </c>
      <c r="H183" s="140">
        <v>5.0</v>
      </c>
      <c r="I183" s="140">
        <v>5.0</v>
      </c>
      <c r="J183" s="141">
        <v>0.45</v>
      </c>
      <c r="K183" s="139" t="str">
        <f t="shared" si="320"/>
        <v/>
      </c>
      <c r="L183" s="140"/>
      <c r="M183" s="140"/>
      <c r="N183" s="141"/>
      <c r="O183" s="139" t="str">
        <f t="shared" si="321"/>
        <v/>
      </c>
      <c r="P183" s="140"/>
      <c r="Q183" s="140"/>
      <c r="R183" s="141"/>
      <c r="S183" s="139" t="str">
        <f t="shared" si="322"/>
        <v/>
      </c>
      <c r="T183" s="140"/>
      <c r="U183" s="140"/>
      <c r="V183" s="141"/>
      <c r="W183" s="139" t="str">
        <f t="shared" si="323"/>
        <v/>
      </c>
      <c r="X183" s="140"/>
      <c r="Y183" s="140"/>
      <c r="Z183" s="141"/>
      <c r="AA183" s="139" t="str">
        <f t="shared" si="324"/>
        <v/>
      </c>
      <c r="AB183" s="140"/>
      <c r="AC183" s="140"/>
      <c r="AD183" s="141"/>
      <c r="AE183" s="142">
        <f t="shared" si="325"/>
        <v>1187.5</v>
      </c>
      <c r="AF183" s="143">
        <f t="shared" si="306"/>
        <v>47.5</v>
      </c>
      <c r="AG183" s="144">
        <f t="shared" si="326"/>
        <v>0.4399047753</v>
      </c>
      <c r="AH183" s="76">
        <f t="shared" si="327"/>
        <v>107.977914</v>
      </c>
      <c r="AI183" s="143">
        <f> ( IF(ISNUMBER(G183), VLOOKUP(G183/$AH183,F!$A1:$B101,2,1)*G183*$H183*$I183,0)+IF(ISNUMBER(K183), VLOOKUP(K183/$AH183,F!$A1:$B101,2,1)*K183*$L183*$M183,0)+IF(ISNUMBER(O183), VLOOKUP(O183/$AH183,F!$A1:$B101,2,1)*O183*$P183*$Q183,0)+IF(ISNUMBER(S183), VLOOKUP(S183/$AH183,F!$A1:$B101,2,1)*S183*$T183*$U183,0)+IF(ISNUMBER(W183), VLOOKUP(W183/$AH183,F!$A1:$B101,2,1)*W183*$X183*$Y183,0)+IF(ISNUMBER(AA183), VLOOKUP(AA183/$AH183,F!$A1:$B101,2,1)*AA183*$AB183*$AC183,0))*IF(ISNUMBER(F183),F183,1)*IF(ISNUMBER(E183),E183,1)</f>
        <v>361</v>
      </c>
      <c r="AJ183" s="140">
        <f t="shared" si="328"/>
        <v>25</v>
      </c>
      <c r="AK183" s="145">
        <f t="array" ref="AK183">IFERROR(I183*INDEX(F!$P$21:$AB$33, MATCH(G183/$AH183, F!$O$21:$O$33,1), MATCH(E183, F!$P$20:$AB$20,1)), 0 ) +IFERROR( M183*INDEX(F!$P$21:$AB$33, MATCH(K183/$AH183, F!$O$21:$O$33,1), MATCH(E183, F!$P$20:$AB$20,1)),0) +  IFERROR( Q183*INDEX(F!$P$21:$AB$33, MATCH(O183/$AH183, F!$O$21:$O$33,1), MATCH(E183, F!$P$20:$AB$20,1)), 0) + IFERROR( U183*INDEX(F!$P$21:$AB$33, MATCH(S183/$AH183, F!$O$21:$O$33,1), MATCH(E183, F!$P$20:$AB$20,1)),0)  + IFERROR(Y183*INDEX(F!$P$21:$AB$33, MATCH(W183/$AH183, F!$O$21:$O$33,1), MATCH(E183, F!$P$20:$AB$20,1)),0)  + IFERROR( AC183*INDEX(F!$P$21:$AB$33, MATCH(AA183/$AH183, F!$O$21:$O$33,1), MATCH(E183, F!$P$20:$AB$20,1)),)</f>
        <v>9</v>
      </c>
      <c r="AL183" s="59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ht="15.75" customHeight="1">
      <c r="A184" s="59"/>
      <c r="B184" s="126" t="s">
        <v>24</v>
      </c>
      <c r="C184" s="127" t="str">
        <f t="shared" ref="C184:F184" si="330">IF(C128="","",C128)</f>
        <v>ОФП</v>
      </c>
      <c r="D184" s="128" t="str">
        <f t="shared" si="330"/>
        <v>Жим стоя</v>
      </c>
      <c r="E184" s="48">
        <f t="shared" si="330"/>
        <v>1</v>
      </c>
      <c r="F184" s="129" t="str">
        <f t="shared" si="330"/>
        <v/>
      </c>
      <c r="G184" s="130">
        <f t="shared" si="319"/>
        <v>30</v>
      </c>
      <c r="H184" s="34">
        <v>5.0</v>
      </c>
      <c r="I184" s="34">
        <v>5.0</v>
      </c>
      <c r="J184" s="65">
        <v>0.5</v>
      </c>
      <c r="K184" s="130" t="str">
        <f t="shared" si="320"/>
        <v/>
      </c>
      <c r="L184" s="34"/>
      <c r="M184" s="34"/>
      <c r="N184" s="65"/>
      <c r="O184" s="130" t="str">
        <f t="shared" si="321"/>
        <v/>
      </c>
      <c r="P184" s="34"/>
      <c r="Q184" s="34"/>
      <c r="R184" s="65"/>
      <c r="S184" s="130" t="str">
        <f t="shared" si="322"/>
        <v/>
      </c>
      <c r="T184" s="34"/>
      <c r="U184" s="34"/>
      <c r="V184" s="65"/>
      <c r="W184" s="130" t="str">
        <f t="shared" si="323"/>
        <v/>
      </c>
      <c r="X184" s="34"/>
      <c r="Y184" s="34"/>
      <c r="Z184" s="65"/>
      <c r="AA184" s="130" t="str">
        <f t="shared" si="324"/>
        <v/>
      </c>
      <c r="AB184" s="34"/>
      <c r="AC184" s="34"/>
      <c r="AD184" s="65"/>
      <c r="AE184" s="131">
        <f t="shared" si="325"/>
        <v>750</v>
      </c>
      <c r="AF184" s="132">
        <f t="shared" si="306"/>
        <v>30</v>
      </c>
      <c r="AG184" s="133">
        <f t="shared" si="326"/>
        <v>0.4959591234</v>
      </c>
      <c r="AH184" s="76">
        <f t="shared" si="327"/>
        <v>60.488856</v>
      </c>
      <c r="AI184" s="132">
        <f> ( IF(ISNUMBER(G184), VLOOKUP(G184/$AH184,F!$A1:$B101,2,1)*G184*$H184*$I184,0)+IF(ISNUMBER(K184), VLOOKUP(K184/$AH184,F!$A1:$B101,2,1)*K184*$L184*$M184,0)+IF(ISNUMBER(O184), VLOOKUP(O184/$AH184,F!$A1:$B101,2,1)*O184*$P184*$Q184,0)+IF(ISNUMBER(S184), VLOOKUP(S184/$AH184,F!$A1:$B101,2,1)*S184*$T184*$U184,0)+IF(ISNUMBER(W184), VLOOKUP(W184/$AH184,F!$A1:$B101,2,1)*W184*$X184*$Y184,0)+IF(ISNUMBER(AA184), VLOOKUP(AA184/$AH184,F!$A1:$B101,2,1)*AA184*$AB184*$AC184,0))*IF(ISNUMBER(F184),F184,1)*IF(ISNUMBER(E184),E184,1)</f>
        <v>360</v>
      </c>
      <c r="AJ184" s="34">
        <f t="shared" si="328"/>
        <v>25</v>
      </c>
      <c r="AK184" s="134">
        <f t="array" ref="AK184">IFERROR(I184*INDEX(F!$P$21:$AB$33, MATCH(G184/$AH184, F!$O$21:$O$33,1), MATCH(E184, F!$P$20:$AB$20,1)), 0 ) +IFERROR( M184*INDEX(F!$P$21:$AB$33, MATCH(K184/$AH184, F!$O$21:$O$33,1), MATCH(E184, F!$P$20:$AB$20,1)),0) +  IFERROR( Q184*INDEX(F!$P$21:$AB$33, MATCH(O184/$AH184, F!$O$21:$O$33,1), MATCH(E184, F!$P$20:$AB$20,1)), 0) + IFERROR( U184*INDEX(F!$P$21:$AB$33, MATCH(S184/$AH184, F!$O$21:$O$33,1), MATCH(E184, F!$P$20:$AB$20,1)),0)  + IFERROR(Y184*INDEX(F!$P$21:$AB$33, MATCH(W184/$AH184, F!$O$21:$O$33,1), MATCH(E184, F!$P$20:$AB$20,1)),0)  + IFERROR( AC184*INDEX(F!$P$21:$AB$33, MATCH(AA184/$AH184, F!$O$21:$O$33,1), MATCH(E184, F!$P$20:$AB$20,1)),)</f>
        <v>10</v>
      </c>
      <c r="AL184" s="59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ht="15.75" customHeight="1">
      <c r="A185" s="59"/>
      <c r="B185" s="135" t="s">
        <v>24</v>
      </c>
      <c r="C185" s="136" t="str">
        <f t="shared" ref="C185:F185" si="331">IF(C129="","",C129)</f>
        <v>ЖМ</v>
      </c>
      <c r="D185" s="137" t="str">
        <f t="shared" si="331"/>
        <v>Жим средним хватом</v>
      </c>
      <c r="E185" s="48">
        <f t="shared" si="331"/>
        <v>1</v>
      </c>
      <c r="F185" s="138" t="str">
        <f t="shared" si="331"/>
        <v/>
      </c>
      <c r="G185" s="139">
        <f t="shared" si="319"/>
        <v>50</v>
      </c>
      <c r="H185" s="140">
        <v>4.0</v>
      </c>
      <c r="I185" s="140">
        <v>4.0</v>
      </c>
      <c r="J185" s="141">
        <v>0.59</v>
      </c>
      <c r="K185" s="139" t="str">
        <f t="shared" si="320"/>
        <v/>
      </c>
      <c r="L185" s="140"/>
      <c r="M185" s="140"/>
      <c r="N185" s="141"/>
      <c r="O185" s="139" t="str">
        <f t="shared" si="321"/>
        <v/>
      </c>
      <c r="P185" s="140"/>
      <c r="Q185" s="140"/>
      <c r="R185" s="141"/>
      <c r="S185" s="139" t="str">
        <f t="shared" si="322"/>
        <v/>
      </c>
      <c r="T185" s="140"/>
      <c r="U185" s="140"/>
      <c r="V185" s="141"/>
      <c r="W185" s="139" t="str">
        <f t="shared" si="323"/>
        <v/>
      </c>
      <c r="X185" s="140"/>
      <c r="Y185" s="140"/>
      <c r="Z185" s="141"/>
      <c r="AA185" s="139" t="str">
        <f t="shared" si="324"/>
        <v/>
      </c>
      <c r="AB185" s="140"/>
      <c r="AC185" s="140"/>
      <c r="AD185" s="141"/>
      <c r="AE185" s="142">
        <f t="shared" si="325"/>
        <v>800</v>
      </c>
      <c r="AF185" s="143">
        <f t="shared" si="306"/>
        <v>50</v>
      </c>
      <c r="AG185" s="144">
        <f t="shared" si="326"/>
        <v>0.5834813217</v>
      </c>
      <c r="AH185" s="76">
        <f t="shared" si="327"/>
        <v>85.692546</v>
      </c>
      <c r="AI185" s="143">
        <f> ( IF(ISNUMBER(G185), VLOOKUP(G185/$AH185,F!$A1:$B101,2,1)*G185*$H185*$I185,0)+IF(ISNUMBER(K185), VLOOKUP(K185/$AH185,F!$A1:$B101,2,1)*K185*$L185*$M185,0)+IF(ISNUMBER(O185), VLOOKUP(O185/$AH185,F!$A1:$B101,2,1)*O185*$P185*$Q185,0)+IF(ISNUMBER(S185), VLOOKUP(S185/$AH185,F!$A1:$B101,2,1)*S185*$T185*$U185,0)+IF(ISNUMBER(W185), VLOOKUP(W185/$AH185,F!$A1:$B101,2,1)*W185*$X185*$Y185,0)+IF(ISNUMBER(AA185), VLOOKUP(AA185/$AH185,F!$A1:$B101,2,1)*AA185*$AB185*$AC185,0))*IF(ISNUMBER(F185),F185,1)*IF(ISNUMBER(E185),E185,1)</f>
        <v>520</v>
      </c>
      <c r="AJ185" s="140">
        <f t="shared" si="328"/>
        <v>16</v>
      </c>
      <c r="AK185" s="145">
        <f t="array" ref="AK185">IFERROR(I185*INDEX(F!$P$21:$AB$33, MATCH(G185/$AH185, F!$O$21:$O$33,1), MATCH(E185, F!$P$20:$AB$20,1)), 0 ) +IFERROR( M185*INDEX(F!$P$21:$AB$33, MATCH(K185/$AH185, F!$O$21:$O$33,1), MATCH(E185, F!$P$20:$AB$20,1)),0) +  IFERROR( Q185*INDEX(F!$P$21:$AB$33, MATCH(O185/$AH185, F!$O$21:$O$33,1), MATCH(E185, F!$P$20:$AB$20,1)), 0) + IFERROR( U185*INDEX(F!$P$21:$AB$33, MATCH(S185/$AH185, F!$O$21:$O$33,1), MATCH(E185, F!$P$20:$AB$20,1)),0)  + IFERROR(Y185*INDEX(F!$P$21:$AB$33, MATCH(W185/$AH185, F!$O$21:$O$33,1), MATCH(E185, F!$P$20:$AB$20,1)),0)  + IFERROR( AC185*INDEX(F!$P$21:$AB$33, MATCH(AA185/$AH185, F!$O$21:$O$33,1), MATCH(E185, F!$P$20:$AB$20,1)),)</f>
        <v>12</v>
      </c>
      <c r="AL185" s="59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ht="15.0" hidden="1" customHeight="1">
      <c r="A186" s="59"/>
      <c r="B186" s="126" t="str">
        <f t="shared" ref="B186:F186" si="332">IF(B130="","",B130)</f>
        <v/>
      </c>
      <c r="C186" s="127" t="str">
        <f t="shared" si="332"/>
        <v/>
      </c>
      <c r="D186" s="128" t="str">
        <f t="shared" si="332"/>
        <v/>
      </c>
      <c r="E186" s="48" t="str">
        <f t="shared" si="332"/>
        <v/>
      </c>
      <c r="F186" s="129" t="str">
        <f t="shared" si="332"/>
        <v/>
      </c>
      <c r="G186" s="130"/>
      <c r="H186" s="89"/>
      <c r="I186" s="89"/>
      <c r="J186" s="65"/>
      <c r="K186" s="130" t="str">
        <f t="shared" si="320"/>
        <v/>
      </c>
      <c r="L186" s="34"/>
      <c r="M186" s="34"/>
      <c r="N186" s="65"/>
      <c r="O186" s="130" t="str">
        <f t="shared" si="321"/>
        <v/>
      </c>
      <c r="P186" s="34"/>
      <c r="Q186" s="34"/>
      <c r="R186" s="65"/>
      <c r="S186" s="130" t="str">
        <f t="shared" si="322"/>
        <v/>
      </c>
      <c r="T186" s="34"/>
      <c r="U186" s="34"/>
      <c r="V186" s="65"/>
      <c r="W186" s="130" t="str">
        <f t="shared" si="323"/>
        <v/>
      </c>
      <c r="X186" s="34"/>
      <c r="Y186" s="34"/>
      <c r="Z186" s="65"/>
      <c r="AA186" s="130" t="str">
        <f t="shared" si="324"/>
        <v/>
      </c>
      <c r="AB186" s="34"/>
      <c r="AC186" s="34"/>
      <c r="AD186" s="65"/>
      <c r="AE186" s="131">
        <f t="shared" si="325"/>
        <v>0</v>
      </c>
      <c r="AF186" s="132">
        <f t="shared" si="306"/>
        <v>0</v>
      </c>
      <c r="AG186" s="133">
        <f t="shared" si="326"/>
        <v>0</v>
      </c>
      <c r="AH186" s="76" t="str">
        <f t="shared" si="327"/>
        <v/>
      </c>
      <c r="AI186" s="132">
        <f> ( IF(ISNUMBER(G186), VLOOKUP(G186/$AH186,F!$A1:$B101,2,1)*G186*$H186*$I186,0)+IF(ISNUMBER(K186), VLOOKUP(K186/$AH186,F!$A1:$B101,2,1)*K186*$L186*$M186,0)+IF(ISNUMBER(O186), VLOOKUP(O186/$AH186,F!$A1:$B101,2,1)*O186*$P186*$Q186,0)+IF(ISNUMBER(S186), VLOOKUP(S186/$AH186,F!$A1:$B101,2,1)*S186*$T186*$U186,0)+IF(ISNUMBER(W186), VLOOKUP(W186/$AH186,F!$A1:$B101,2,1)*W186*$X186*$Y186,0)+IF(ISNUMBER(AA186), VLOOKUP(AA186/$AH186,F!$A1:$B101,2,1)*AA186*$AB186*$AC186,0))*IF(ISNUMBER(F186),F186,1)*IF(ISNUMBER(E186),E186,1)</f>
        <v>0</v>
      </c>
      <c r="AJ186" s="34">
        <f t="shared" si="328"/>
        <v>0</v>
      </c>
      <c r="AK186" s="134">
        <f t="array" ref="AK186">IFERROR(I186*INDEX(F!$P$21:$AB$33, MATCH(G186/$AH186, F!$O$21:$O$33,1), MATCH(E186, F!$P$20:$AB$20,1)), 0 ) +IFERROR( M186*INDEX(F!$P$21:$AB$33, MATCH(K186/$AH186, F!$O$21:$O$33,1), MATCH(E186, F!$P$20:$AB$20,1)),0) +  IFERROR( Q186*INDEX(F!$P$21:$AB$33, MATCH(O186/$AH186, F!$O$21:$O$33,1), MATCH(E186, F!$P$20:$AB$20,1)), 0) + IFERROR( U186*INDEX(F!$P$21:$AB$33, MATCH(S186/$AH186, F!$O$21:$O$33,1), MATCH(E186, F!$P$20:$AB$20,1)),0)  + IFERROR(Y186*INDEX(F!$P$21:$AB$33, MATCH(W186/$AH186, F!$O$21:$O$33,1), MATCH(E186, F!$P$20:$AB$20,1)),0)  + IFERROR( AC186*INDEX(F!$P$21:$AB$33, MATCH(AA186/$AH186, F!$O$21:$O$33,1), MATCH(E186, F!$P$20:$AB$20,1)),)</f>
        <v>0</v>
      </c>
      <c r="AL186" s="59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ht="15.75" hidden="1" customHeight="1">
      <c r="A187" s="59"/>
      <c r="B187" s="135" t="str">
        <f t="shared" ref="B187:F187" si="333">IF(B131="","",B131)</f>
        <v/>
      </c>
      <c r="C187" s="136" t="str">
        <f t="shared" si="333"/>
        <v/>
      </c>
      <c r="D187" s="137" t="str">
        <f t="shared" si="333"/>
        <v/>
      </c>
      <c r="E187" s="48" t="str">
        <f t="shared" si="333"/>
        <v/>
      </c>
      <c r="F187" s="138" t="str">
        <f t="shared" si="333"/>
        <v/>
      </c>
      <c r="G187" s="148"/>
      <c r="H187" s="149"/>
      <c r="I187" s="149"/>
      <c r="J187" s="141"/>
      <c r="K187" s="139" t="str">
        <f t="shared" si="320"/>
        <v/>
      </c>
      <c r="L187" s="140"/>
      <c r="M187" s="140"/>
      <c r="N187" s="141"/>
      <c r="O187" s="139" t="str">
        <f t="shared" si="321"/>
        <v/>
      </c>
      <c r="P187" s="140"/>
      <c r="Q187" s="140"/>
      <c r="R187" s="141"/>
      <c r="S187" s="139" t="str">
        <f t="shared" si="322"/>
        <v/>
      </c>
      <c r="T187" s="140"/>
      <c r="U187" s="140"/>
      <c r="V187" s="141"/>
      <c r="W187" s="139" t="str">
        <f t="shared" si="323"/>
        <v/>
      </c>
      <c r="X187" s="140"/>
      <c r="Y187" s="140"/>
      <c r="Z187" s="141"/>
      <c r="AA187" s="139" t="str">
        <f t="shared" si="324"/>
        <v/>
      </c>
      <c r="AB187" s="140"/>
      <c r="AC187" s="140"/>
      <c r="AD187" s="141"/>
      <c r="AE187" s="142">
        <f t="shared" si="325"/>
        <v>0</v>
      </c>
      <c r="AF187" s="143">
        <f t="shared" si="306"/>
        <v>0</v>
      </c>
      <c r="AG187" s="144">
        <f t="shared" si="326"/>
        <v>0</v>
      </c>
      <c r="AH187" s="76" t="str">
        <f t="shared" si="327"/>
        <v/>
      </c>
      <c r="AI187" s="143">
        <f> ( IF(ISNUMBER(G187), VLOOKUP(G187/$AH187,F!$A1:$B101,2,1)*G187*$H187*$I187,0)+IF(ISNUMBER(K187), VLOOKUP(K187/$AH187,F!$A1:$B101,2,1)*K187*$L187*$M187,0)+IF(ISNUMBER(O187), VLOOKUP(O187/$AH187,F!$A1:$B101,2,1)*O187*$P187*$Q187,0)+IF(ISNUMBER(S187), VLOOKUP(S187/$AH187,F!$A1:$B101,2,1)*S187*$T187*$U187,0)+IF(ISNUMBER(W187), VLOOKUP(W187/$AH187,F!$A1:$B101,2,1)*W187*$X187*$Y187,0)+IF(ISNUMBER(AA187), VLOOKUP(AA187/$AH187,F!$A1:$B101,2,1)*AA187*$AB187*$AC187,0))*IF(ISNUMBER(F187),F187,1)*IF(ISNUMBER(E187),E187,1)</f>
        <v>0</v>
      </c>
      <c r="AJ187" s="140">
        <f t="shared" si="328"/>
        <v>0</v>
      </c>
      <c r="AK187" s="145">
        <f t="array" ref="AK187">IFERROR(I187*INDEX(F!$P$21:$AB$33, MATCH(G187/$AH187, F!$O$21:$O$33,1), MATCH(E187, F!$P$20:$AB$20,1)), 0 ) +IFERROR( M187*INDEX(F!$P$21:$AB$33, MATCH(K187/$AH187, F!$O$21:$O$33,1), MATCH(E187, F!$P$20:$AB$20,1)),0) +  IFERROR( Q187*INDEX(F!$P$21:$AB$33, MATCH(O187/$AH187, F!$O$21:$O$33,1), MATCH(E187, F!$P$20:$AB$20,1)), 0) + IFERROR( U187*INDEX(F!$P$21:$AB$33, MATCH(S187/$AH187, F!$O$21:$O$33,1), MATCH(E187, F!$P$20:$AB$20,1)),0)  + IFERROR(Y187*INDEX(F!$P$21:$AB$33, MATCH(W187/$AH187, F!$O$21:$O$33,1), MATCH(E187, F!$P$20:$AB$20,1)),0)  + IFERROR( AC187*INDEX(F!$P$21:$AB$33, MATCH(AA187/$AH187, F!$O$21:$O$33,1), MATCH(E187, F!$P$20:$AB$20,1)),)</f>
        <v>0</v>
      </c>
      <c r="AL187" s="59"/>
      <c r="AM187" s="217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ht="15.75" hidden="1" customHeight="1">
      <c r="A188" s="59"/>
      <c r="B188" s="126" t="str">
        <f t="shared" ref="B188:F188" si="334">IF(B132="","",B132)</f>
        <v/>
      </c>
      <c r="C188" s="127" t="str">
        <f t="shared" si="334"/>
        <v/>
      </c>
      <c r="D188" s="128" t="str">
        <f t="shared" si="334"/>
        <v/>
      </c>
      <c r="E188" s="48" t="str">
        <f t="shared" si="334"/>
        <v/>
      </c>
      <c r="F188" s="129" t="str">
        <f t="shared" si="334"/>
        <v/>
      </c>
      <c r="G188" s="130" t="str">
        <f>IF(J188&lt;&gt;0, IFERROR(IF( $F188=2,  MROUND($AH188*J188,1),    IF( OR($F188="",$F188=1),   MROUND($AH188*J188,2.5),  MROUND($AH188*J188, 0.1))), "" ), "")</f>
        <v/>
      </c>
      <c r="H188" s="34"/>
      <c r="I188" s="34"/>
      <c r="J188" s="65"/>
      <c r="K188" s="130" t="str">
        <f t="shared" si="320"/>
        <v/>
      </c>
      <c r="L188" s="34"/>
      <c r="M188" s="34"/>
      <c r="N188" s="65"/>
      <c r="O188" s="130" t="str">
        <f t="shared" si="321"/>
        <v/>
      </c>
      <c r="P188" s="34"/>
      <c r="Q188" s="34"/>
      <c r="R188" s="65"/>
      <c r="S188" s="130" t="str">
        <f t="shared" si="322"/>
        <v/>
      </c>
      <c r="T188" s="34"/>
      <c r="U188" s="34"/>
      <c r="V188" s="65"/>
      <c r="W188" s="130" t="str">
        <f t="shared" si="323"/>
        <v/>
      </c>
      <c r="X188" s="34"/>
      <c r="Y188" s="34"/>
      <c r="Z188" s="65"/>
      <c r="AA188" s="130" t="str">
        <f t="shared" si="324"/>
        <v/>
      </c>
      <c r="AB188" s="34"/>
      <c r="AC188" s="34"/>
      <c r="AD188" s="65"/>
      <c r="AE188" s="131">
        <f t="shared" si="325"/>
        <v>0</v>
      </c>
      <c r="AF188" s="132">
        <f t="shared" si="306"/>
        <v>0</v>
      </c>
      <c r="AG188" s="133">
        <f t="shared" si="326"/>
        <v>0</v>
      </c>
      <c r="AH188" s="76" t="str">
        <f t="shared" si="327"/>
        <v/>
      </c>
      <c r="AI188" s="132">
        <f> ( IF(ISNUMBER(G188), VLOOKUP(G188/$AH188,F!$A1:$B101,2,1)*G188*$H188*$I188,0)+IF(ISNUMBER(K188), VLOOKUP(K188/$AH188,F!$A1:$B101,2,1)*K188*$L188*$M188,0)+IF(ISNUMBER(O188), VLOOKUP(O188/$AH188,F!$A1:$B101,2,1)*O188*$P188*$Q188,0)+IF(ISNUMBER(S188), VLOOKUP(S188/$AH188,F!$A1:$B101,2,1)*S188*$T188*$U188,0)+IF(ISNUMBER(W188), VLOOKUP(W188/$AH188,F!$A1:$B101,2,1)*W188*$X188*$Y188,0)+IF(ISNUMBER(AA188), VLOOKUP(AA188/$AH188,F!$A1:$B101,2,1)*AA188*$AB188*$AC188,0))*IF(ISNUMBER(F188),F188,1)*IF(ISNUMBER(E188),E188,1)</f>
        <v>0</v>
      </c>
      <c r="AJ188" s="34">
        <f t="shared" si="328"/>
        <v>0</v>
      </c>
      <c r="AK188" s="134">
        <f t="array" ref="AK188">IFERROR(I188*INDEX(F!$P$21:$AB$33, MATCH(G188/$AH188, F!$O$21:$O$33,1), MATCH(E188, F!$P$20:$AB$20,1)), 0 ) +IFERROR( M188*INDEX(F!$P$21:$AB$33, MATCH(K188/$AH188, F!$O$21:$O$33,1), MATCH(E188, F!$P$20:$AB$20,1)),0) +  IFERROR( Q188*INDEX(F!$P$21:$AB$33, MATCH(O188/$AH188, F!$O$21:$O$33,1), MATCH(E188, F!$P$20:$AB$20,1)), 0) + IFERROR( U188*INDEX(F!$P$21:$AB$33, MATCH(S188/$AH188, F!$O$21:$O$33,1), MATCH(E188, F!$P$20:$AB$20,1)),0)  + IFERROR(Y188*INDEX(F!$P$21:$AB$33, MATCH(W188/$AH188, F!$O$21:$O$33,1), MATCH(E188, F!$P$20:$AB$20,1)),0)  + IFERROR( AC188*INDEX(F!$P$21:$AB$33, MATCH(AA188/$AH188, F!$O$21:$O$33,1), MATCH(E188, F!$P$20:$AB$20,1)),)</f>
        <v>0</v>
      </c>
      <c r="AL188" s="59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ht="15.75" customHeight="1">
      <c r="A189" s="98"/>
      <c r="B189" s="150"/>
      <c r="C189" s="151"/>
      <c r="D189" s="152"/>
      <c r="E189" s="102">
        <f>ROUND(IFERROR(SUMPRODUCT(AJ181:AJ188,E181:E188)/AJ189,0),3)</f>
        <v>0.985</v>
      </c>
      <c r="F189" s="153"/>
      <c r="G189" s="154"/>
      <c r="H189" s="155"/>
      <c r="I189" s="155"/>
      <c r="J189" s="156"/>
      <c r="K189" s="154"/>
      <c r="L189" s="155"/>
      <c r="M189" s="155"/>
      <c r="N189" s="156"/>
      <c r="O189" s="154"/>
      <c r="P189" s="155"/>
      <c r="Q189" s="155"/>
      <c r="R189" s="156"/>
      <c r="S189" s="154"/>
      <c r="T189" s="155"/>
      <c r="U189" s="155"/>
      <c r="V189" s="156"/>
      <c r="W189" s="154"/>
      <c r="X189" s="155"/>
      <c r="Y189" s="155"/>
      <c r="Z189" s="156"/>
      <c r="AA189" s="154"/>
      <c r="AB189" s="155"/>
      <c r="AC189" s="155"/>
      <c r="AD189" s="156"/>
      <c r="AE189" s="107">
        <f>SUM(AE181:AE188)</f>
        <v>5050</v>
      </c>
      <c r="AF189" s="108">
        <f t="shared" si="306"/>
        <v>55.49450549</v>
      </c>
      <c r="AG189" s="109">
        <f>IFERROR(  SUMPRODUCT(AG181:AG188,AJ181:AJ188)/AJ189,0)</f>
        <v>0.5442845929</v>
      </c>
      <c r="AH189" s="157"/>
      <c r="AI189" s="111">
        <f t="shared" ref="AI189:AJ189" si="335">SUM(AI181:AI188)</f>
        <v>3994.49</v>
      </c>
      <c r="AJ189" s="111">
        <f t="shared" si="335"/>
        <v>91</v>
      </c>
      <c r="AK189" s="112">
        <f>IF(SUM(AK181:AK188)=0,TIME(,0,),TIME(,SUM(AK181:AK188)+F!$V$37,))</f>
        <v>0.06875</v>
      </c>
      <c r="AL189" s="98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ht="15.75" customHeight="1">
      <c r="A190" s="158">
        <f>A191</f>
        <v>43805</v>
      </c>
      <c r="B190" s="159" t="str">
        <f t="shared" ref="B190:F190" si="336">IF(B134="","",B134)</f>
        <v>Тяжелая</v>
      </c>
      <c r="C190" s="160" t="str">
        <f t="shared" si="336"/>
        <v>ПР</v>
      </c>
      <c r="D190" s="161" t="str">
        <f t="shared" si="336"/>
        <v>Присед</v>
      </c>
      <c r="E190" s="29">
        <f t="shared" si="336"/>
        <v>1.2</v>
      </c>
      <c r="F190" s="162" t="str">
        <f t="shared" si="336"/>
        <v/>
      </c>
      <c r="G190" s="163">
        <f t="shared" ref="G190:G194" si="338">IF(J190&lt;&gt;0, IFERROR(IF( $F190=2,  MROUND($AH190*J190,1),    IF( OR($F190="",$F190=1),   MROUND($AH190*J190,2.5),  MROUND($AH190*J190, 0.1))), "" ), "")</f>
        <v>85</v>
      </c>
      <c r="H190" s="164">
        <v>3.0</v>
      </c>
      <c r="I190" s="164">
        <v>1.0</v>
      </c>
      <c r="J190" s="165">
        <v>0.6</v>
      </c>
      <c r="K190" s="163">
        <f t="shared" ref="K190:K197" si="339">IF(N190&lt;&gt;0, IFERROR(IF( $F190=2,  MROUND($AH190*N190,1),    IF( OR($F190="",$F190=1),   MROUND($AH190*N190,2.5),  MROUND($AH190*N190, 0.1))), "" ), "")</f>
        <v>100</v>
      </c>
      <c r="L190" s="164">
        <v>2.0</v>
      </c>
      <c r="M190" s="164">
        <v>5.0</v>
      </c>
      <c r="N190" s="165">
        <v>0.7</v>
      </c>
      <c r="O190" s="163" t="str">
        <f t="shared" ref="O190:O197" si="340">IF(R190&lt;&gt;0, IFERROR(IF( $F190=2,  MROUND($AH190*R190,1),    IF( OR($F190="",$F190=1),   MROUND($AH190*R190,2.5),  MROUND($AH190*R190, 0.1))), "" ), "")</f>
        <v/>
      </c>
      <c r="P190" s="164"/>
      <c r="Q190" s="164"/>
      <c r="R190" s="165"/>
      <c r="S190" s="163" t="str">
        <f t="shared" ref="S190:S197" si="341">IF(V190&lt;&gt;0, IFERROR(IF( $F190=2,  MROUND($AH190*V190,1),    IF( OR($F190="",$F190=1),   MROUND($AH190*V190,2.5),  MROUND($AH190*V190, 0.1))), "" ), "")</f>
        <v/>
      </c>
      <c r="T190" s="164"/>
      <c r="U190" s="164"/>
      <c r="V190" s="165"/>
      <c r="W190" s="163" t="str">
        <f t="shared" ref="W190:W197" si="342">IF(Z190&lt;&gt;0, IFERROR(IF( $F190=2,  MROUND($AH190*Z190,1),    IF( OR($F190="",$F190=1),   MROUND($AH190*Z190,2.5),  MROUND($AH190*Z190, 0.1))), "" ), "")</f>
        <v/>
      </c>
      <c r="X190" s="164"/>
      <c r="Y190" s="164"/>
      <c r="Z190" s="165"/>
      <c r="AA190" s="163" t="str">
        <f t="shared" ref="AA190:AA197" si="343">IF(AD190&lt;&gt;0, IFERROR(IF( $F190=2,  MROUND($AH190*AD190,1),    IF( OR($F190="",$F190=1),   MROUND($AH190*AD190,2.5),  MROUND($AH190*AD190, 0.1))), "" ), "")</f>
        <v/>
      </c>
      <c r="AB190" s="164"/>
      <c r="AC190" s="164"/>
      <c r="AD190" s="165"/>
      <c r="AE190" s="166">
        <f t="shared" ref="AE190:AE197" si="344">(IF(ISNUMBER(G190),G190,0)*H190*I190+IF(ISNUMBER(K190),K190,1)*L190*M190+IF(ISNUMBER(O190),O190,1)*P190*Q190+IF(ISNUMBER(S190),S190,1)*T190*U190+IF(ISNUMBER(W190),W190,1)*X190*Y190+IF(ISNUMBER(AA190),AA190,1)*AB190*AC190)*IF(ISNUMBER(F190),F190,1)</f>
        <v>1255</v>
      </c>
      <c r="AF190" s="167">
        <f t="shared" si="306"/>
        <v>96.53846154</v>
      </c>
      <c r="AG190" s="168">
        <f t="shared" ref="AG190:AG197" si="345">IFERROR((AF190/(AH190*IF(ISNUMBER(F190),F190,1))),0)</f>
        <v>0.673854433</v>
      </c>
      <c r="AH190" s="169">
        <f t="shared" ref="AH190:AH197" si="346">IF(ISNUMBER(AH134), AH134+(AH134*$AH$170),"")</f>
        <v>143.26308</v>
      </c>
      <c r="AI190" s="167">
        <f> ( IF(ISNUMBER(G190), VLOOKUP(G190/$AH190,F!$A1:$B101,2,1)*G190*$H190*$I190,0)+IF(ISNUMBER(K190), VLOOKUP(K190/$AH190,F!$A1:$B101,2,1)*K190*$L190*$M190,0)+IF(ISNUMBER(O190), VLOOKUP(O190/$AH190,F!$A1:$B101,2,1)*O190*$P190*$Q190,0)+IF(ISNUMBER(S190), VLOOKUP(S190/$AH190,F!$A1:$B101,2,1)*S190*$T190*$U190,0)+IF(ISNUMBER(W190), VLOOKUP(W190/$AH190,F!$A1:$B101,2,1)*W190*$X190*$Y190,0)+IF(ISNUMBER(AA190), VLOOKUP(AA190/$AH190,F!$A1:$B101,2,1)*AA190*$AB190*$AC190,0))*IF(ISNUMBER(F190),F190,1)*IF(ISNUMBER(E190),E190,1)</f>
        <v>1276.08</v>
      </c>
      <c r="AJ190" s="164">
        <f t="shared" ref="AJ190:AJ197" si="347">H190*I190+L190*M190+P190*Q190+T190*U190+X190*Y190+AB190*AC190</f>
        <v>13</v>
      </c>
      <c r="AK190" s="170">
        <f t="array" ref="AK190">IFERROR(I190*INDEX(F!$P$21:$AB$33, MATCH(G190/$AH190, F!$O$21:$O$33,1), MATCH(E190, F!$P$20:$AB$20,1)), 0 ) +IFERROR( M190*INDEX(F!$P$21:$AB$33, MATCH(K190/$AH190, F!$O$21:$O$33,1), MATCH(E190, F!$P$20:$AB$20,1)),0) +  IFERROR( Q190*INDEX(F!$P$21:$AB$33, MATCH(O190/$AH190, F!$O$21:$O$33,1), MATCH(E190, F!$P$20:$AB$20,1)), 0) + IFERROR( U190*INDEX(F!$P$21:$AB$33, MATCH(S190/$AH190, F!$O$21:$O$33,1), MATCH(E190, F!$P$20:$AB$20,1)),0)  + IFERROR(Y190*INDEX(F!$P$21:$AB$33, MATCH(W190/$AH190, F!$O$21:$O$33,1), MATCH(E190, F!$P$20:$AB$20,1)),0)  + IFERROR( AC190*INDEX(F!$P$21:$AB$33, MATCH(AA190/$AH190, F!$O$21:$O$33,1), MATCH(E190, F!$P$20:$AB$20,1)),)</f>
        <v>24</v>
      </c>
      <c r="AL190" s="42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ht="15.75" customHeight="1">
      <c r="A191" s="44">
        <f>A135+A114</f>
        <v>43805</v>
      </c>
      <c r="B191" s="135" t="str">
        <f t="shared" ref="B191:F191" si="337">IF(B135="","",B135)</f>
        <v>Тяжелая</v>
      </c>
      <c r="C191" s="136" t="str">
        <f t="shared" si="337"/>
        <v>ЖМ</v>
      </c>
      <c r="D191" s="137" t="str">
        <f t="shared" si="337"/>
        <v>Жим лежа</v>
      </c>
      <c r="E191" s="48">
        <f t="shared" si="337"/>
        <v>1</v>
      </c>
      <c r="F191" s="138" t="str">
        <f t="shared" si="337"/>
        <v/>
      </c>
      <c r="G191" s="139">
        <f t="shared" si="338"/>
        <v>65</v>
      </c>
      <c r="H191" s="140">
        <v>4.0</v>
      </c>
      <c r="I191" s="140">
        <v>3.0</v>
      </c>
      <c r="J191" s="141">
        <v>0.65</v>
      </c>
      <c r="K191" s="139">
        <f t="shared" si="339"/>
        <v>75</v>
      </c>
      <c r="L191" s="140">
        <v>3.0</v>
      </c>
      <c r="M191" s="140">
        <v>3.0</v>
      </c>
      <c r="N191" s="141">
        <v>0.75</v>
      </c>
      <c r="O191" s="139" t="str">
        <f t="shared" si="340"/>
        <v/>
      </c>
      <c r="P191" s="140"/>
      <c r="Q191" s="140"/>
      <c r="R191" s="141"/>
      <c r="S191" s="139" t="str">
        <f t="shared" si="341"/>
        <v/>
      </c>
      <c r="T191" s="140"/>
      <c r="U191" s="140"/>
      <c r="V191" s="141"/>
      <c r="W191" s="139" t="str">
        <f t="shared" si="342"/>
        <v/>
      </c>
      <c r="X191" s="140"/>
      <c r="Y191" s="140"/>
      <c r="Z191" s="141"/>
      <c r="AA191" s="139" t="str">
        <f t="shared" si="343"/>
        <v/>
      </c>
      <c r="AB191" s="140"/>
      <c r="AC191" s="140"/>
      <c r="AD191" s="141"/>
      <c r="AE191" s="142">
        <f t="shared" si="344"/>
        <v>1455</v>
      </c>
      <c r="AF191" s="143">
        <f t="shared" si="306"/>
        <v>69.28571429</v>
      </c>
      <c r="AG191" s="144">
        <f t="shared" si="345"/>
        <v>0.6872576425</v>
      </c>
      <c r="AH191" s="76">
        <f t="shared" si="346"/>
        <v>100.81476</v>
      </c>
      <c r="AI191" s="143">
        <f> ( IF(ISNUMBER(G191), VLOOKUP(G191/$AH191,F!$A1:$B101,2,1)*G191*$H191*$I191,0)+IF(ISNUMBER(K191), VLOOKUP(K191/$AH191,F!$A1:$B101,2,1)*K191*$L191*$M191,0)+IF(ISNUMBER(O191), VLOOKUP(O191/$AH191,F!$A1:$B101,2,1)*O191*$P191*$Q191,0)+IF(ISNUMBER(S191), VLOOKUP(S191/$AH191,F!$A1:$B101,2,1)*S191*$T191*$U191,0)+IF(ISNUMBER(W191), VLOOKUP(W191/$AH191,F!$A1:$B101,2,1)*W191*$X191*$Y191,0)+IF(ISNUMBER(AA191), VLOOKUP(AA191/$AH191,F!$A1:$B101,2,1)*AA191*$AB191*$AC191,0))*IF(ISNUMBER(F191),F191,1)*IF(ISNUMBER(E191),E191,1)</f>
        <v>1377.9</v>
      </c>
      <c r="AJ191" s="140">
        <f t="shared" si="347"/>
        <v>21</v>
      </c>
      <c r="AK191" s="145">
        <f t="array" ref="AK191">IFERROR(I191*INDEX(F!$P$21:$AB$33, MATCH(G191/$AH191, F!$O$21:$O$33,1), MATCH(E191, F!$P$20:$AB$20,1)), 0 ) +IFERROR( M191*INDEX(F!$P$21:$AB$33, MATCH(K191/$AH191, F!$O$21:$O$33,1), MATCH(E191, F!$P$20:$AB$20,1)),0) +  IFERROR( Q191*INDEX(F!$P$21:$AB$33, MATCH(O191/$AH191, F!$O$21:$O$33,1), MATCH(E191, F!$P$20:$AB$20,1)), 0) + IFERROR( U191*INDEX(F!$P$21:$AB$33, MATCH(S191/$AH191, F!$O$21:$O$33,1), MATCH(E191, F!$P$20:$AB$20,1)),0)  + IFERROR(Y191*INDEX(F!$P$21:$AB$33, MATCH(W191/$AH191, F!$O$21:$O$33,1), MATCH(E191, F!$P$20:$AB$20,1)),0)  + IFERROR( AC191*INDEX(F!$P$21:$AB$33, MATCH(AA191/$AH191, F!$O$21:$O$33,1), MATCH(E191, F!$P$20:$AB$20,1)),)</f>
        <v>21</v>
      </c>
      <c r="AL191" s="59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ht="15.75" customHeight="1">
      <c r="A192" s="59"/>
      <c r="B192" s="173" t="s">
        <v>24</v>
      </c>
      <c r="C192" s="174" t="str">
        <f t="shared" ref="C192:F192" si="348">IF(C136="","",C136)</f>
        <v>ПР</v>
      </c>
      <c r="D192" s="175" t="str">
        <f t="shared" si="348"/>
        <v>Присед</v>
      </c>
      <c r="E192" s="48">
        <f t="shared" si="348"/>
        <v>1.2</v>
      </c>
      <c r="F192" s="176" t="str">
        <f t="shared" si="348"/>
        <v/>
      </c>
      <c r="G192" s="177">
        <f t="shared" si="338"/>
        <v>85</v>
      </c>
      <c r="H192" s="178">
        <v>4.0</v>
      </c>
      <c r="I192" s="178">
        <v>4.0</v>
      </c>
      <c r="J192" s="179">
        <v>0.6</v>
      </c>
      <c r="K192" s="177" t="str">
        <f t="shared" si="339"/>
        <v/>
      </c>
      <c r="L192" s="178"/>
      <c r="M192" s="178"/>
      <c r="N192" s="179"/>
      <c r="O192" s="177" t="str">
        <f t="shared" si="340"/>
        <v/>
      </c>
      <c r="P192" s="178"/>
      <c r="Q192" s="178"/>
      <c r="R192" s="179"/>
      <c r="S192" s="177" t="str">
        <f t="shared" si="341"/>
        <v/>
      </c>
      <c r="T192" s="178"/>
      <c r="U192" s="178"/>
      <c r="V192" s="179"/>
      <c r="W192" s="177" t="str">
        <f t="shared" si="342"/>
        <v/>
      </c>
      <c r="X192" s="178"/>
      <c r="Y192" s="178"/>
      <c r="Z192" s="179"/>
      <c r="AA192" s="177" t="str">
        <f t="shared" si="343"/>
        <v/>
      </c>
      <c r="AB192" s="178"/>
      <c r="AC192" s="178"/>
      <c r="AD192" s="179"/>
      <c r="AE192" s="180">
        <f t="shared" si="344"/>
        <v>1360</v>
      </c>
      <c r="AF192" s="181">
        <f t="shared" si="306"/>
        <v>85</v>
      </c>
      <c r="AG192" s="182">
        <f t="shared" si="345"/>
        <v>0.5933140625</v>
      </c>
      <c r="AH192" s="76">
        <f t="shared" si="346"/>
        <v>143.26308</v>
      </c>
      <c r="AI192" s="181">
        <f> ( IF(ISNUMBER(G192), VLOOKUP(G192/$AH192,F!$A1:$B101,2,1)*G192*$H192*$I192,0)+IF(ISNUMBER(K192), VLOOKUP(K192/$AH192,F!$A1:$B101,2,1)*K192*$L192*$M192,0)+IF(ISNUMBER(O192), VLOOKUP(O192/$AH192,F!$A1:$B101,2,1)*O192*$P192*$Q192,0)+IF(ISNUMBER(S192), VLOOKUP(S192/$AH192,F!$A1:$B101,2,1)*S192*$T192*$U192,0)+IF(ISNUMBER(W192), VLOOKUP(W192/$AH192,F!$A1:$B101,2,1)*W192*$X192*$Y192,0)+IF(ISNUMBER(AA192), VLOOKUP(AA192/$AH192,F!$A1:$B101,2,1)*AA192*$AB192*$AC192,0))*IF(ISNUMBER(F192),F192,1)*IF(ISNUMBER(E192),E192,1)</f>
        <v>1109.76</v>
      </c>
      <c r="AJ192" s="178">
        <f t="shared" si="347"/>
        <v>16</v>
      </c>
      <c r="AK192" s="183">
        <f t="array" ref="AK192">IFERROR(I192*INDEX(F!$P$21:$AB$33, MATCH(G192/$AH192, F!$O$21:$O$33,1), MATCH(E192, F!$P$20:$AB$20,1)), 0 ) +IFERROR( M192*INDEX(F!$P$21:$AB$33, MATCH(K192/$AH192, F!$O$21:$O$33,1), MATCH(E192, F!$P$20:$AB$20,1)),0) +  IFERROR( Q192*INDEX(F!$P$21:$AB$33, MATCH(O192/$AH192, F!$O$21:$O$33,1), MATCH(E192, F!$P$20:$AB$20,1)), 0) + IFERROR( U192*INDEX(F!$P$21:$AB$33, MATCH(S192/$AH192, F!$O$21:$O$33,1), MATCH(E192, F!$P$20:$AB$20,1)),0)  + IFERROR(Y192*INDEX(F!$P$21:$AB$33, MATCH(W192/$AH192, F!$O$21:$O$33,1), MATCH(E192, F!$P$20:$AB$20,1)),0)  + IFERROR( AC192*INDEX(F!$P$21:$AB$33, MATCH(AA192/$AH192, F!$O$21:$O$33,1), MATCH(E192, F!$P$20:$AB$20,1)),)</f>
        <v>16</v>
      </c>
      <c r="AL192" s="59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ht="15.0" customHeight="1">
      <c r="A193" s="59"/>
      <c r="B193" s="135" t="str">
        <f t="shared" ref="B193:F193" si="349">IF(B137="","",B137)</f>
        <v>Средняя</v>
      </c>
      <c r="C193" s="136" t="str">
        <f t="shared" si="349"/>
        <v>ЖМ</v>
      </c>
      <c r="D193" s="137" t="str">
        <f t="shared" si="349"/>
        <v>Жим на наклонной скамье</v>
      </c>
      <c r="E193" s="48">
        <f t="shared" si="349"/>
        <v>1</v>
      </c>
      <c r="F193" s="138" t="str">
        <f t="shared" si="349"/>
        <v/>
      </c>
      <c r="G193" s="139">
        <f t="shared" si="338"/>
        <v>47.5</v>
      </c>
      <c r="H193" s="140">
        <v>5.0</v>
      </c>
      <c r="I193" s="140">
        <v>5.0</v>
      </c>
      <c r="J193" s="141">
        <v>0.6</v>
      </c>
      <c r="K193" s="139" t="str">
        <f t="shared" si="339"/>
        <v/>
      </c>
      <c r="L193" s="140"/>
      <c r="M193" s="140"/>
      <c r="N193" s="141"/>
      <c r="O193" s="139" t="str">
        <f t="shared" si="340"/>
        <v/>
      </c>
      <c r="P193" s="140"/>
      <c r="Q193" s="140"/>
      <c r="R193" s="141"/>
      <c r="S193" s="139" t="str">
        <f t="shared" si="341"/>
        <v/>
      </c>
      <c r="T193" s="140"/>
      <c r="U193" s="140"/>
      <c r="V193" s="141"/>
      <c r="W193" s="139" t="str">
        <f t="shared" si="342"/>
        <v/>
      </c>
      <c r="X193" s="140"/>
      <c r="Y193" s="140"/>
      <c r="Z193" s="141"/>
      <c r="AA193" s="139" t="str">
        <f t="shared" si="343"/>
        <v/>
      </c>
      <c r="AB193" s="140"/>
      <c r="AC193" s="140"/>
      <c r="AD193" s="141"/>
      <c r="AE193" s="142">
        <f t="shared" si="344"/>
        <v>1187.5</v>
      </c>
      <c r="AF193" s="143">
        <f t="shared" si="306"/>
        <v>47.5</v>
      </c>
      <c r="AG193" s="144">
        <f t="shared" si="345"/>
        <v>0.5889514591</v>
      </c>
      <c r="AH193" s="76">
        <f t="shared" si="346"/>
        <v>80.651808</v>
      </c>
      <c r="AI193" s="143">
        <f> ( IF(ISNUMBER(G193), VLOOKUP(G193/$AH193,F!$A1:$B101,2,1)*G193*$H193*$I193,0)+IF(ISNUMBER(K193), VLOOKUP(K193/$AH193,F!$A1:$B101,2,1)*K193*$L193*$M193,0)+IF(ISNUMBER(O193), VLOOKUP(O193/$AH193,F!$A1:$B101,2,1)*O193*$P193*$Q193,0)+IF(ISNUMBER(S193), VLOOKUP(S193/$AH193,F!$A1:$B101,2,1)*S193*$T193*$U193,0)+IF(ISNUMBER(W193), VLOOKUP(W193/$AH193,F!$A1:$B101,2,1)*W193*$X193*$Y193,0)+IF(ISNUMBER(AA193), VLOOKUP(AA193/$AH193,F!$A1:$B101,2,1)*AA193*$AB193*$AC193,0))*IF(ISNUMBER(F193),F193,1)*IF(ISNUMBER(E193),E193,1)</f>
        <v>771.875</v>
      </c>
      <c r="AJ193" s="140">
        <f t="shared" si="347"/>
        <v>25</v>
      </c>
      <c r="AK193" s="145">
        <f t="array" ref="AK193">IFERROR(I193*INDEX(F!$P$21:$AB$33, MATCH(G193/$AH193, F!$O$21:$O$33,1), MATCH(E193, F!$P$20:$AB$20,1)), 0 ) +IFERROR( M193*INDEX(F!$P$21:$AB$33, MATCH(K193/$AH193, F!$O$21:$O$33,1), MATCH(E193, F!$P$20:$AB$20,1)),0) +  IFERROR( Q193*INDEX(F!$P$21:$AB$33, MATCH(O193/$AH193, F!$O$21:$O$33,1), MATCH(E193, F!$P$20:$AB$20,1)), 0) + IFERROR( U193*INDEX(F!$P$21:$AB$33, MATCH(S193/$AH193, F!$O$21:$O$33,1), MATCH(E193, F!$P$20:$AB$20,1)),0)  + IFERROR(Y193*INDEX(F!$P$21:$AB$33, MATCH(W193/$AH193, F!$O$21:$O$33,1), MATCH(E193, F!$P$20:$AB$20,1)),0)  + IFERROR( AC193*INDEX(F!$P$21:$AB$33, MATCH(AA193/$AH193, F!$O$21:$O$33,1), MATCH(E193, F!$P$20:$AB$20,1)),)</f>
        <v>15</v>
      </c>
      <c r="AL193" s="59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ht="15.75" customHeight="1">
      <c r="A194" s="59"/>
      <c r="B194" s="173" t="s">
        <v>24</v>
      </c>
      <c r="C194" s="174" t="str">
        <f t="shared" ref="C194:F194" si="350">IF(C138="","",C138)</f>
        <v>ОФП</v>
      </c>
      <c r="D194" s="175" t="str">
        <f t="shared" si="350"/>
        <v>Бицепс стоя</v>
      </c>
      <c r="E194" s="48">
        <f t="shared" si="350"/>
        <v>0.5</v>
      </c>
      <c r="F194" s="176" t="str">
        <f t="shared" si="350"/>
        <v/>
      </c>
      <c r="G194" s="177">
        <f t="shared" si="338"/>
        <v>0</v>
      </c>
      <c r="H194" s="178">
        <v>5.0</v>
      </c>
      <c r="I194" s="178">
        <v>1.0</v>
      </c>
      <c r="J194" s="179">
        <v>0.55</v>
      </c>
      <c r="K194" s="177">
        <f t="shared" si="339"/>
        <v>0</v>
      </c>
      <c r="L194" s="178">
        <v>5.0</v>
      </c>
      <c r="M194" s="178">
        <v>5.0</v>
      </c>
      <c r="N194" s="179">
        <v>0.65</v>
      </c>
      <c r="O194" s="177" t="str">
        <f t="shared" si="340"/>
        <v/>
      </c>
      <c r="P194" s="178"/>
      <c r="Q194" s="178"/>
      <c r="R194" s="179"/>
      <c r="S194" s="177" t="str">
        <f t="shared" si="341"/>
        <v/>
      </c>
      <c r="T194" s="178"/>
      <c r="U194" s="178"/>
      <c r="V194" s="179"/>
      <c r="W194" s="177" t="str">
        <f t="shared" si="342"/>
        <v/>
      </c>
      <c r="X194" s="178"/>
      <c r="Y194" s="178"/>
      <c r="Z194" s="179"/>
      <c r="AA194" s="177" t="str">
        <f t="shared" si="343"/>
        <v/>
      </c>
      <c r="AB194" s="178"/>
      <c r="AC194" s="178"/>
      <c r="AD194" s="179"/>
      <c r="AE194" s="180">
        <f t="shared" si="344"/>
        <v>0</v>
      </c>
      <c r="AF194" s="181">
        <f t="shared" si="306"/>
        <v>0</v>
      </c>
      <c r="AG194" s="182">
        <f t="shared" si="345"/>
        <v>0</v>
      </c>
      <c r="AH194" s="76" t="str">
        <f t="shared" si="346"/>
        <v/>
      </c>
      <c r="AI194" s="181" t="str">
        <f> ( IF(ISNUMBER(G194), VLOOKUP(G194/$AH194,F!$A1:$B101,2,1)*G194*$H194*$I194,0)+IF(ISNUMBER(K194), VLOOKUP(K194/$AH194,F!$A1:$B101,2,1)*K194*$L194*$M194,0)+IF(ISNUMBER(O194), VLOOKUP(O194/$AH194,F!$A1:$B101,2,1)*O194*$P194*$Q194,0)+IF(ISNUMBER(S194), VLOOKUP(S194/$AH194,F!$A1:$B101,2,1)*S194*$T194*$U194,0)+IF(ISNUMBER(W194), VLOOKUP(W194/$AH194,F!$A1:$B101,2,1)*W194*$X194*$Y194,0)+IF(ISNUMBER(AA194), VLOOKUP(AA194/$AH194,F!$A1:$B101,2,1)*AA194*$AB194*$AC194,0))*IF(ISNUMBER(F194),F194,1)*IF(ISNUMBER(E194),E194,1)</f>
        <v>#DIV/0!</v>
      </c>
      <c r="AJ194" s="178">
        <f t="shared" si="347"/>
        <v>30</v>
      </c>
      <c r="AK194" s="183">
        <f t="array" ref="AK194">IFERROR(I194*INDEX(F!$P$21:$AB$33, MATCH(G194/$AH194, F!$O$21:$O$33,1), MATCH(E194, F!$P$20:$AB$20,1)), 0 ) +IFERROR( M194*INDEX(F!$P$21:$AB$33, MATCH(K194/$AH194, F!$O$21:$O$33,1), MATCH(E194, F!$P$20:$AB$20,1)),0) +  IFERROR( Q194*INDEX(F!$P$21:$AB$33, MATCH(O194/$AH194, F!$O$21:$O$33,1), MATCH(E194, F!$P$20:$AB$20,1)), 0) + IFERROR( U194*INDEX(F!$P$21:$AB$33, MATCH(S194/$AH194, F!$O$21:$O$33,1), MATCH(E194, F!$P$20:$AB$20,1)),0)  + IFERROR(Y194*INDEX(F!$P$21:$AB$33, MATCH(W194/$AH194, F!$O$21:$O$33,1), MATCH(E194, F!$P$20:$AB$20,1)),0)  + IFERROR( AC194*INDEX(F!$P$21:$AB$33, MATCH(AA194/$AH194, F!$O$21:$O$33,1), MATCH(E194, F!$P$20:$AB$20,1)),)</f>
        <v>0</v>
      </c>
      <c r="AL194" s="59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ht="15.75" hidden="1" customHeight="1">
      <c r="A195" s="59"/>
      <c r="B195" s="135" t="str">
        <f t="shared" ref="B195:F195" si="351">IF(B139="","",B139)</f>
        <v/>
      </c>
      <c r="C195" s="136" t="str">
        <f t="shared" si="351"/>
        <v/>
      </c>
      <c r="D195" s="137" t="str">
        <f t="shared" si="351"/>
        <v/>
      </c>
      <c r="E195" s="48" t="str">
        <f t="shared" si="351"/>
        <v/>
      </c>
      <c r="F195" s="138" t="str">
        <f t="shared" si="351"/>
        <v/>
      </c>
      <c r="G195" s="148"/>
      <c r="H195" s="149"/>
      <c r="I195" s="149"/>
      <c r="J195" s="141"/>
      <c r="K195" s="139" t="str">
        <f t="shared" si="339"/>
        <v/>
      </c>
      <c r="L195" s="140"/>
      <c r="M195" s="140"/>
      <c r="N195" s="141"/>
      <c r="O195" s="139" t="str">
        <f t="shared" si="340"/>
        <v/>
      </c>
      <c r="P195" s="140"/>
      <c r="Q195" s="140"/>
      <c r="R195" s="141"/>
      <c r="S195" s="139" t="str">
        <f t="shared" si="341"/>
        <v/>
      </c>
      <c r="T195" s="140"/>
      <c r="U195" s="140"/>
      <c r="V195" s="141"/>
      <c r="W195" s="139" t="str">
        <f t="shared" si="342"/>
        <v/>
      </c>
      <c r="X195" s="140"/>
      <c r="Y195" s="140"/>
      <c r="Z195" s="141"/>
      <c r="AA195" s="139" t="str">
        <f t="shared" si="343"/>
        <v/>
      </c>
      <c r="AB195" s="140"/>
      <c r="AC195" s="140"/>
      <c r="AD195" s="141"/>
      <c r="AE195" s="142">
        <f t="shared" si="344"/>
        <v>0</v>
      </c>
      <c r="AF195" s="143">
        <f t="shared" si="306"/>
        <v>0</v>
      </c>
      <c r="AG195" s="144">
        <f t="shared" si="345"/>
        <v>0</v>
      </c>
      <c r="AH195" s="76" t="str">
        <f t="shared" si="346"/>
        <v/>
      </c>
      <c r="AI195" s="143">
        <f> ( IF(ISNUMBER(G195), VLOOKUP(G195/$AH195,F!$A1:$B101,2,1)*G195*$H195*$I195,0)+IF(ISNUMBER(K195), VLOOKUP(K195/$AH195,F!$A1:$B101,2,1)*K195*$L195*$M195,0)+IF(ISNUMBER(O195), VLOOKUP(O195/$AH195,F!$A1:$B101,2,1)*O195*$P195*$Q195,0)+IF(ISNUMBER(S195), VLOOKUP(S195/$AH195,F!$A1:$B101,2,1)*S195*$T195*$U195,0)+IF(ISNUMBER(W195), VLOOKUP(W195/$AH195,F!$A1:$B101,2,1)*W195*$X195*$Y195,0)+IF(ISNUMBER(AA195), VLOOKUP(AA195/$AH195,F!$A1:$B101,2,1)*AA195*$AB195*$AC195,0))*IF(ISNUMBER(F195),F195,1)*IF(ISNUMBER(E195),E195,1)</f>
        <v>0</v>
      </c>
      <c r="AJ195" s="140">
        <f t="shared" si="347"/>
        <v>0</v>
      </c>
      <c r="AK195" s="145">
        <f t="array" ref="AK195">IFERROR(I195*INDEX(F!$P$21:$AB$33, MATCH(G195/$AH195, F!$O$21:$O$33,1), MATCH(E195, F!$P$20:$AB$20,1)), 0 ) +IFERROR( M195*INDEX(F!$P$21:$AB$33, MATCH(K195/$AH195, F!$O$21:$O$33,1), MATCH(E195, F!$P$20:$AB$20,1)),0) +  IFERROR( Q195*INDEX(F!$P$21:$AB$33, MATCH(O195/$AH195, F!$O$21:$O$33,1), MATCH(E195, F!$P$20:$AB$20,1)), 0) + IFERROR( U195*INDEX(F!$P$21:$AB$33, MATCH(S195/$AH195, F!$O$21:$O$33,1), MATCH(E195, F!$P$20:$AB$20,1)),0)  + IFERROR(Y195*INDEX(F!$P$21:$AB$33, MATCH(W195/$AH195, F!$O$21:$O$33,1), MATCH(E195, F!$P$20:$AB$20,1)),0)  + IFERROR( AC195*INDEX(F!$P$21:$AB$33, MATCH(AA195/$AH195, F!$O$21:$O$33,1), MATCH(E195, F!$P$20:$AB$20,1)),)</f>
        <v>0</v>
      </c>
      <c r="AL195" s="59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ht="15.75" hidden="1" customHeight="1">
      <c r="A196" s="59"/>
      <c r="B196" s="173" t="str">
        <f t="shared" ref="B196:F196" si="352">IF(B140="","",B140)</f>
        <v/>
      </c>
      <c r="C196" s="174" t="str">
        <f t="shared" si="352"/>
        <v/>
      </c>
      <c r="D196" s="175" t="str">
        <f t="shared" si="352"/>
        <v/>
      </c>
      <c r="E196" s="48" t="str">
        <f t="shared" si="352"/>
        <v/>
      </c>
      <c r="F196" s="176" t="str">
        <f t="shared" si="352"/>
        <v/>
      </c>
      <c r="G196" s="177"/>
      <c r="H196" s="186"/>
      <c r="I196" s="186"/>
      <c r="J196" s="179"/>
      <c r="K196" s="177" t="str">
        <f t="shared" si="339"/>
        <v/>
      </c>
      <c r="L196" s="178"/>
      <c r="M196" s="178"/>
      <c r="N196" s="179"/>
      <c r="O196" s="177" t="str">
        <f t="shared" si="340"/>
        <v/>
      </c>
      <c r="P196" s="178"/>
      <c r="Q196" s="178"/>
      <c r="R196" s="179"/>
      <c r="S196" s="177" t="str">
        <f t="shared" si="341"/>
        <v/>
      </c>
      <c r="T196" s="178"/>
      <c r="U196" s="178"/>
      <c r="V196" s="179"/>
      <c r="W196" s="177" t="str">
        <f t="shared" si="342"/>
        <v/>
      </c>
      <c r="X196" s="178"/>
      <c r="Y196" s="178"/>
      <c r="Z196" s="179"/>
      <c r="AA196" s="177" t="str">
        <f t="shared" si="343"/>
        <v/>
      </c>
      <c r="AB196" s="178"/>
      <c r="AC196" s="178"/>
      <c r="AD196" s="179"/>
      <c r="AE196" s="180">
        <f t="shared" si="344"/>
        <v>0</v>
      </c>
      <c r="AF196" s="181">
        <f t="shared" si="306"/>
        <v>0</v>
      </c>
      <c r="AG196" s="182">
        <f t="shared" si="345"/>
        <v>0</v>
      </c>
      <c r="AH196" s="76" t="str">
        <f t="shared" si="346"/>
        <v/>
      </c>
      <c r="AI196" s="181">
        <f> ( IF(ISNUMBER(G196), VLOOKUP(G196/$AH196,F!$A1:$B101,2,1)*G196*$H196*$I196,0)+IF(ISNUMBER(K196), VLOOKUP(K196/$AH196,F!$A1:$B101,2,1)*K196*$L196*$M196,0)+IF(ISNUMBER(O196), VLOOKUP(O196/$AH196,F!$A1:$B101,2,1)*O196*$P196*$Q196,0)+IF(ISNUMBER(S196), VLOOKUP(S196/$AH196,F!$A1:$B101,2,1)*S196*$T196*$U196,0)+IF(ISNUMBER(W196), VLOOKUP(W196/$AH196,F!$A1:$B101,2,1)*W196*$X196*$Y196,0)+IF(ISNUMBER(AA196), VLOOKUP(AA196/$AH196,F!$A1:$B101,2,1)*AA196*$AB196*$AC196,0))*IF(ISNUMBER(F196),F196,1)*IF(ISNUMBER(E196),E196,1)</f>
        <v>0</v>
      </c>
      <c r="AJ196" s="178">
        <f t="shared" si="347"/>
        <v>0</v>
      </c>
      <c r="AK196" s="183">
        <f t="array" ref="AK196">IFERROR(I196*INDEX(F!$P$21:$AB$33, MATCH(G196/$AH196, F!$O$21:$O$33,1), MATCH(E196, F!$P$20:$AB$20,1)), 0 ) +IFERROR( M196*INDEX(F!$P$21:$AB$33, MATCH(K196/$AH196, F!$O$21:$O$33,1), MATCH(E196, F!$P$20:$AB$20,1)),0) +  IFERROR( Q196*INDEX(F!$P$21:$AB$33, MATCH(O196/$AH196, F!$O$21:$O$33,1), MATCH(E196, F!$P$20:$AB$20,1)), 0) + IFERROR( U196*INDEX(F!$P$21:$AB$33, MATCH(S196/$AH196, F!$O$21:$O$33,1), MATCH(E196, F!$P$20:$AB$20,1)),0)  + IFERROR(Y196*INDEX(F!$P$21:$AB$33, MATCH(W196/$AH196, F!$O$21:$O$33,1), MATCH(E196, F!$P$20:$AB$20,1)),0)  + IFERROR( AC196*INDEX(F!$P$21:$AB$33, MATCH(AA196/$AH196, F!$O$21:$O$33,1), MATCH(E196, F!$P$20:$AB$20,1)),)</f>
        <v>0</v>
      </c>
      <c r="AL196" s="59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ht="15.75" hidden="1" customHeight="1">
      <c r="A197" s="59"/>
      <c r="B197" s="135" t="str">
        <f t="shared" ref="B197:F197" si="353">IF(B141="","",B141)</f>
        <v/>
      </c>
      <c r="C197" s="136" t="str">
        <f t="shared" si="353"/>
        <v/>
      </c>
      <c r="D197" s="137" t="str">
        <f t="shared" si="353"/>
        <v/>
      </c>
      <c r="E197" s="48" t="str">
        <f t="shared" si="353"/>
        <v/>
      </c>
      <c r="F197" s="138" t="str">
        <f t="shared" si="353"/>
        <v/>
      </c>
      <c r="G197" s="139" t="str">
        <f>IF(J197&lt;&gt;0, IFERROR(IF( $F197=2,  MROUND($AH197*J197,1),    IF( OR($F197="",$F197=1),   MROUND($AH197*J197,2.5),  MROUND($AH197*J197, 0.1))), "" ), "")</f>
        <v/>
      </c>
      <c r="H197" s="140"/>
      <c r="I197" s="140"/>
      <c r="J197" s="141"/>
      <c r="K197" s="139" t="str">
        <f t="shared" si="339"/>
        <v/>
      </c>
      <c r="L197" s="140"/>
      <c r="M197" s="140"/>
      <c r="N197" s="141"/>
      <c r="O197" s="139" t="str">
        <f t="shared" si="340"/>
        <v/>
      </c>
      <c r="P197" s="140"/>
      <c r="Q197" s="140"/>
      <c r="R197" s="141"/>
      <c r="S197" s="139" t="str">
        <f t="shared" si="341"/>
        <v/>
      </c>
      <c r="T197" s="140"/>
      <c r="U197" s="140"/>
      <c r="V197" s="141"/>
      <c r="W197" s="139" t="str">
        <f t="shared" si="342"/>
        <v/>
      </c>
      <c r="X197" s="140"/>
      <c r="Y197" s="140"/>
      <c r="Z197" s="141"/>
      <c r="AA197" s="139" t="str">
        <f t="shared" si="343"/>
        <v/>
      </c>
      <c r="AB197" s="140"/>
      <c r="AC197" s="140"/>
      <c r="AD197" s="141"/>
      <c r="AE197" s="142">
        <f t="shared" si="344"/>
        <v>0</v>
      </c>
      <c r="AF197" s="143">
        <f t="shared" si="306"/>
        <v>0</v>
      </c>
      <c r="AG197" s="144">
        <f t="shared" si="345"/>
        <v>0</v>
      </c>
      <c r="AH197" s="76" t="str">
        <f t="shared" si="346"/>
        <v/>
      </c>
      <c r="AI197" s="143">
        <f> ( IF(ISNUMBER(G197), VLOOKUP(G197/$AH197,F!$A1:$B101,2,1)*G197*$H197*$I197,0)+IF(ISNUMBER(K197), VLOOKUP(K197/$AH197,F!$A1:$B101,2,1)*K197*$L197*$M197,0)+IF(ISNUMBER(O197), VLOOKUP(O197/$AH197,F!$A1:$B101,2,1)*O197*$P197*$Q197,0)+IF(ISNUMBER(S197), VLOOKUP(S197/$AH197,F!$A1:$B101,2,1)*S197*$T197*$U197,0)+IF(ISNUMBER(W197), VLOOKUP(W197/$AH197,F!$A1:$B101,2,1)*W197*$X197*$Y197,0)+IF(ISNUMBER(AA197), VLOOKUP(AA197/$AH197,F!$A1:$B101,2,1)*AA197*$AB197*$AC197,0))*IF(ISNUMBER(F197),F197,1)*IF(ISNUMBER(E197),E197,1)</f>
        <v>0</v>
      </c>
      <c r="AJ197" s="140">
        <f t="shared" si="347"/>
        <v>0</v>
      </c>
      <c r="AK197" s="145">
        <f t="array" ref="AK197">IFERROR(I197*INDEX(F!$P$21:$AB$33, MATCH(G197/$AH197, F!$O$21:$O$33,1), MATCH(E197, F!$P$20:$AB$20,1)), 0 ) +IFERROR( M197*INDEX(F!$P$21:$AB$33, MATCH(K197/$AH197, F!$O$21:$O$33,1), MATCH(E197, F!$P$20:$AB$20,1)),0) +  IFERROR( Q197*INDEX(F!$P$21:$AB$33, MATCH(O197/$AH197, F!$O$21:$O$33,1), MATCH(E197, F!$P$20:$AB$20,1)), 0) + IFERROR( U197*INDEX(F!$P$21:$AB$33, MATCH(S197/$AH197, F!$O$21:$O$33,1), MATCH(E197, F!$P$20:$AB$20,1)),0)  + IFERROR(Y197*INDEX(F!$P$21:$AB$33, MATCH(W197/$AH197, F!$O$21:$O$33,1), MATCH(E197, F!$P$20:$AB$20,1)),0)  + IFERROR( AC197*INDEX(F!$P$21:$AB$33, MATCH(AA197/$AH197, F!$O$21:$O$33,1), MATCH(E197, F!$P$20:$AB$20,1)),)</f>
        <v>0</v>
      </c>
      <c r="AL197" s="59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ht="15.75" customHeight="1">
      <c r="A198" s="98"/>
      <c r="B198" s="188"/>
      <c r="C198" s="189"/>
      <c r="D198" s="190"/>
      <c r="E198" s="102">
        <f>ROUND(IFERROR(SUMPRODUCT(AJ190:AJ197,E190:E197)/AJ198,0),3)</f>
        <v>0.912</v>
      </c>
      <c r="F198" s="191"/>
      <c r="G198" s="192"/>
      <c r="H198" s="193"/>
      <c r="I198" s="193"/>
      <c r="J198" s="194"/>
      <c r="K198" s="192"/>
      <c r="L198" s="193"/>
      <c r="M198" s="193"/>
      <c r="N198" s="194"/>
      <c r="O198" s="192"/>
      <c r="P198" s="193"/>
      <c r="Q198" s="193"/>
      <c r="R198" s="194"/>
      <c r="S198" s="192"/>
      <c r="T198" s="193"/>
      <c r="U198" s="193"/>
      <c r="V198" s="194"/>
      <c r="W198" s="192"/>
      <c r="X198" s="193"/>
      <c r="Y198" s="193"/>
      <c r="Z198" s="194"/>
      <c r="AA198" s="192"/>
      <c r="AB198" s="193"/>
      <c r="AC198" s="193"/>
      <c r="AD198" s="194"/>
      <c r="AE198" s="107">
        <f>SUM(AE190:AE197)</f>
        <v>5257.5</v>
      </c>
      <c r="AF198" s="108">
        <f t="shared" si="306"/>
        <v>50.07142857</v>
      </c>
      <c r="AG198" s="109">
        <f>IFERROR(  SUMPRODUCT(AG190:AG197,AJ190:AJ197)/AJ198,0)</f>
        <v>0.4515174247</v>
      </c>
      <c r="AH198" s="157"/>
      <c r="AI198" s="111" t="str">
        <f t="shared" ref="AI198:AJ198" si="354">SUM(AI190:AI197)</f>
        <v>#DIV/0!</v>
      </c>
      <c r="AJ198" s="111">
        <f t="shared" si="354"/>
        <v>105</v>
      </c>
      <c r="AK198" s="112">
        <f>IF(SUM(AK190:AK197)=0,TIME(,0,),TIME(,SUM(AK190:AK197)+F!$V$37,))</f>
        <v>0.07361111111</v>
      </c>
      <c r="AL198" s="98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ht="15.75" hidden="1" customHeight="1">
      <c r="A199" s="25">
        <f>A200</f>
        <v>43806</v>
      </c>
      <c r="B199" s="26" t="str">
        <f t="shared" ref="B199:F199" si="355">IF(B143="","",B143)</f>
        <v/>
      </c>
      <c r="C199" s="27" t="str">
        <f t="shared" si="355"/>
        <v/>
      </c>
      <c r="D199" s="28" t="str">
        <f t="shared" si="355"/>
        <v/>
      </c>
      <c r="E199" s="29" t="str">
        <f t="shared" si="355"/>
        <v/>
      </c>
      <c r="F199" s="30" t="str">
        <f t="shared" si="355"/>
        <v/>
      </c>
      <c r="G199" s="31" t="str">
        <f t="shared" ref="G199:G206" si="357">IF(J199&lt;&gt;0, IFERROR(IF( $F199=2,  MROUND($AH199*J199,1),    IF( OR($F199="",$F199=1),   MROUND($AH199*J199,2.5),  MROUND($AH199*J199, 0.1))), "" ), "")</f>
        <v/>
      </c>
      <c r="H199" s="32"/>
      <c r="I199" s="32"/>
      <c r="J199" s="33"/>
      <c r="K199" s="31" t="str">
        <f t="shared" ref="K199:K206" si="358">IF(N199&lt;&gt;0, IFERROR(IF( $F199=2,  MROUND($AH199*N199,1),    IF( OR($F199="",$F199=1),   MROUND($AH199*N199,2.5),  MROUND($AH199*N199, 0.1))), "" ), "")</f>
        <v/>
      </c>
      <c r="L199" s="32"/>
      <c r="M199" s="32"/>
      <c r="N199" s="33"/>
      <c r="O199" s="31" t="str">
        <f t="shared" ref="O199:O206" si="359">IF(R199&lt;&gt;0, IFERROR(IF( $F199=2,  MROUND($AH199*R199,1),    IF( OR($F199="",$F199=1),   MROUND($AH199*R199,2.5),  MROUND($AH199*R199, 0.1))), "" ), "")</f>
        <v/>
      </c>
      <c r="P199" s="32"/>
      <c r="Q199" s="32"/>
      <c r="R199" s="33"/>
      <c r="S199" s="31" t="str">
        <f t="shared" ref="S199:S206" si="360">IF(V199&lt;&gt;0, IFERROR(IF( $F199=2,  MROUND($AH199*V199,1),    IF( OR($F199="",$F199=1),   MROUND($AH199*V199,2.5),  MROUND($AH199*V199, 0.1))), "" ), "")</f>
        <v/>
      </c>
      <c r="T199" s="32"/>
      <c r="U199" s="32"/>
      <c r="V199" s="33"/>
      <c r="W199" s="31" t="str">
        <f t="shared" ref="W199:W206" si="361">IF(Z199&lt;&gt;0, IFERROR(IF( $F199=2,  MROUND($AH199*Z199,1),    IF( OR($F199="",$F199=1),   MROUND($AH199*Z199,2.5),  MROUND($AH199*Z199, 0.1))), "" ), "")</f>
        <v/>
      </c>
      <c r="X199" s="32"/>
      <c r="Y199" s="32"/>
      <c r="Z199" s="33"/>
      <c r="AA199" s="31" t="str">
        <f t="shared" ref="AA199:AA206" si="362">IF(AD199&lt;&gt;0, IFERROR(IF( $F199=2,  MROUND($AH199*AD199,1),    IF( OR($F199="",$F199=1),   MROUND($AH199*AD199,2.5),  MROUND($AH199*AD199, 0.1))), "" ), "")</f>
        <v/>
      </c>
      <c r="AB199" s="32"/>
      <c r="AC199" s="32"/>
      <c r="AD199" s="33"/>
      <c r="AE199" s="35">
        <f t="shared" ref="AE199:AE206" si="363">(IF(ISNUMBER(G199),G199,0)*H199*I199+IF(ISNUMBER(K199),K199,1)*L199*M199+IF(ISNUMBER(O199),O199,1)*P199*Q199+IF(ISNUMBER(S199),S199,1)*T199*U199+IF(ISNUMBER(W199),W199,1)*X199*Y199+IF(ISNUMBER(AA199),AA199,1)*AB199*AC199)*IF(ISNUMBER(F199),F199,1)</f>
        <v>0</v>
      </c>
      <c r="AF199" s="36">
        <f t="shared" si="306"/>
        <v>0</v>
      </c>
      <c r="AG199" s="195">
        <f t="shared" ref="AG199:AG206" si="364">IFERROR((AF199/(AH199*IF(ISNUMBER(F199),F199,1))),0)</f>
        <v>0</v>
      </c>
      <c r="AH199" s="169" t="str">
        <f t="shared" ref="AH199:AH206" si="365">IF(ISNUMBER(AH143), AH143+(AH143*$AH$170),"")</f>
        <v/>
      </c>
      <c r="AI199" s="196">
        <f> ( IF(ISNUMBER(G199), VLOOKUP(G199/$AH199,F!$A1:$B101,2,1)*G199*$H199*$I199,0)+IF(ISNUMBER(K199), VLOOKUP(K199/$AH199,F!$A1:$B101,2,1)*K199*$L199*$M199,0)+IF(ISNUMBER(O199), VLOOKUP(O199/$AH199,F!$A1:$B101,2,1)*O199*$P199*$Q199,0)+IF(ISNUMBER(S199), VLOOKUP(S199/$AH199,F!$A1:$B101,2,1)*S199*$T199*$U199,0)+IF(ISNUMBER(W199), VLOOKUP(W199/$AH199,F!$A1:$B101,2,1)*W199*$X199*$Y199,0)+IF(ISNUMBER(AA199), VLOOKUP(AA199/$AH199,F!$A1:$B101,2,1)*AA199*$AB199*$AC199,0))*IF(ISNUMBER(F199),F199,1)*IF(ISNUMBER(E199),E199,1)</f>
        <v>0</v>
      </c>
      <c r="AJ199" s="40">
        <f t="shared" ref="AJ199:AJ206" si="366">H199*I199+L199*M199+P199*Q199+T199*U199+X199*Y199+AB199*AC199</f>
        <v>0</v>
      </c>
      <c r="AK199" s="41">
        <f t="array" ref="AK199">IFERROR(I199*INDEX(F!$P$21:$AB$33, MATCH(G199/$AH199, F!$O$21:$O$33,1), MATCH(E199, F!$P$20:$AB$20,1)), 0 ) +IFERROR( M199*INDEX(F!$P$21:$AB$33, MATCH(K199/$AH199, F!$O$21:$O$33,1), MATCH(E199, F!$P$20:$AB$20,1)),0) +  IFERROR( Q199*INDEX(F!$P$21:$AB$33, MATCH(O199/$AH199, F!$O$21:$O$33,1), MATCH(E199, F!$P$20:$AB$20,1)), 0) + IFERROR( U199*INDEX(F!$P$21:$AB$33, MATCH(S199/$AH199, F!$O$21:$O$33,1), MATCH(E199, F!$P$20:$AB$20,1)),0)  + IFERROR(Y199*INDEX(F!$P$21:$AB$33, MATCH(W199/$AH199, F!$O$21:$O$33,1), MATCH(E199, F!$P$20:$AB$20,1)),0)  + IFERROR( AC199*INDEX(F!$P$21:$AB$33, MATCH(AA199/$AH199, F!$O$21:$O$33,1), MATCH(E199, F!$P$20:$AB$20,1)),)</f>
        <v>0</v>
      </c>
      <c r="AL199" s="42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ht="15.0" hidden="1" customHeight="1">
      <c r="A200" s="44">
        <f>A144+A114</f>
        <v>43806</v>
      </c>
      <c r="B200" s="45" t="str">
        <f t="shared" ref="B200:F200" si="356">IF(B144="","",B144)</f>
        <v/>
      </c>
      <c r="C200" s="46" t="str">
        <f t="shared" si="356"/>
        <v/>
      </c>
      <c r="D200" s="47" t="str">
        <f t="shared" si="356"/>
        <v/>
      </c>
      <c r="E200" s="48" t="str">
        <f t="shared" si="356"/>
        <v/>
      </c>
      <c r="F200" s="49" t="str">
        <f t="shared" si="356"/>
        <v/>
      </c>
      <c r="G200" s="50" t="str">
        <f t="shared" si="357"/>
        <v/>
      </c>
      <c r="H200" s="51"/>
      <c r="I200" s="51"/>
      <c r="J200" s="52"/>
      <c r="K200" s="50" t="str">
        <f t="shared" si="358"/>
        <v/>
      </c>
      <c r="L200" s="51"/>
      <c r="M200" s="51"/>
      <c r="N200" s="52"/>
      <c r="O200" s="50" t="str">
        <f t="shared" si="359"/>
        <v/>
      </c>
      <c r="P200" s="51"/>
      <c r="Q200" s="51"/>
      <c r="R200" s="52"/>
      <c r="S200" s="50" t="str">
        <f t="shared" si="360"/>
        <v/>
      </c>
      <c r="T200" s="51"/>
      <c r="U200" s="51"/>
      <c r="V200" s="52"/>
      <c r="W200" s="50" t="str">
        <f t="shared" si="361"/>
        <v/>
      </c>
      <c r="X200" s="51"/>
      <c r="Y200" s="51"/>
      <c r="Z200" s="52"/>
      <c r="AA200" s="50" t="str">
        <f t="shared" si="362"/>
        <v/>
      </c>
      <c r="AB200" s="51"/>
      <c r="AC200" s="51"/>
      <c r="AD200" s="52"/>
      <c r="AE200" s="53">
        <f t="shared" si="363"/>
        <v>0</v>
      </c>
      <c r="AF200" s="54">
        <f t="shared" si="306"/>
        <v>0</v>
      </c>
      <c r="AG200" s="75">
        <f t="shared" si="364"/>
        <v>0</v>
      </c>
      <c r="AH200" s="76" t="str">
        <f t="shared" si="365"/>
        <v/>
      </c>
      <c r="AI200" s="77">
        <f> ( IF(ISNUMBER(G200), VLOOKUP(G200/$AH200,F!$A1:$B101,2,1)*G200*$H200*$I200,0)+IF(ISNUMBER(K200), VLOOKUP(K200/$AH200,F!$A1:$B101,2,1)*K200*$L200*$M200,0)+IF(ISNUMBER(O200), VLOOKUP(O200/$AH200,F!$A1:$B101,2,1)*O200*$P200*$Q200,0)+IF(ISNUMBER(S200), VLOOKUP(S200/$AH200,F!$A1:$B101,2,1)*S200*$T200*$U200,0)+IF(ISNUMBER(W200), VLOOKUP(W200/$AH200,F!$A1:$B101,2,1)*W200*$X200*$Y200,0)+IF(ISNUMBER(AA200), VLOOKUP(AA200/$AH200,F!$A1:$B101,2,1)*AA200*$AB200*$AC200,0))*IF(ISNUMBER(F200),F200,1)*IF(ISNUMBER(E200),E200,1)</f>
        <v>0</v>
      </c>
      <c r="AJ200" s="57">
        <f t="shared" si="366"/>
        <v>0</v>
      </c>
      <c r="AK200" s="58">
        <f t="array" ref="AK200">IFERROR(I200*INDEX(F!$P$21:$AB$33, MATCH(G200/$AH200, F!$O$21:$O$33,1), MATCH(E200, F!$P$20:$AB$20,1)), 0 ) +IFERROR( M200*INDEX(F!$P$21:$AB$33, MATCH(K200/$AH200, F!$O$21:$O$33,1), MATCH(E200, F!$P$20:$AB$20,1)),0) +  IFERROR( Q200*INDEX(F!$P$21:$AB$33, MATCH(O200/$AH200, F!$O$21:$O$33,1), MATCH(E200, F!$P$20:$AB$20,1)), 0) + IFERROR( U200*INDEX(F!$P$21:$AB$33, MATCH(S200/$AH200, F!$O$21:$O$33,1), MATCH(E200, F!$P$20:$AB$20,1)),0)  + IFERROR(Y200*INDEX(F!$P$21:$AB$33, MATCH(W200/$AH200, F!$O$21:$O$33,1), MATCH(E200, F!$P$20:$AB$20,1)),0)  + IFERROR( AC200*INDEX(F!$P$21:$AB$33, MATCH(AA200/$AH200, F!$O$21:$O$33,1), MATCH(E200, F!$P$20:$AB$20,1)),)</f>
        <v>0</v>
      </c>
      <c r="AL200" s="59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ht="15.75" hidden="1" customHeight="1">
      <c r="A201" s="59"/>
      <c r="B201" s="60" t="str">
        <f t="shared" ref="B201:F201" si="367">IF(B145="","",B145)</f>
        <v/>
      </c>
      <c r="C201" s="61" t="str">
        <f t="shared" si="367"/>
        <v/>
      </c>
      <c r="D201" s="62" t="str">
        <f t="shared" si="367"/>
        <v/>
      </c>
      <c r="E201" s="48" t="str">
        <f t="shared" si="367"/>
        <v/>
      </c>
      <c r="F201" s="63" t="str">
        <f t="shared" si="367"/>
        <v/>
      </c>
      <c r="G201" s="64" t="str">
        <f t="shared" si="357"/>
        <v/>
      </c>
      <c r="H201" s="34"/>
      <c r="I201" s="34"/>
      <c r="J201" s="65"/>
      <c r="K201" s="64" t="str">
        <f t="shared" si="358"/>
        <v/>
      </c>
      <c r="L201" s="34"/>
      <c r="M201" s="34"/>
      <c r="N201" s="65"/>
      <c r="O201" s="64" t="str">
        <f t="shared" si="359"/>
        <v/>
      </c>
      <c r="P201" s="34"/>
      <c r="Q201" s="34"/>
      <c r="R201" s="65"/>
      <c r="S201" s="64" t="str">
        <f t="shared" si="360"/>
        <v/>
      </c>
      <c r="T201" s="34"/>
      <c r="U201" s="34"/>
      <c r="V201" s="65"/>
      <c r="W201" s="64" t="str">
        <f t="shared" si="361"/>
        <v/>
      </c>
      <c r="X201" s="34"/>
      <c r="Y201" s="34"/>
      <c r="Z201" s="65"/>
      <c r="AA201" s="64" t="str">
        <f t="shared" si="362"/>
        <v/>
      </c>
      <c r="AB201" s="34"/>
      <c r="AC201" s="34"/>
      <c r="AD201" s="65"/>
      <c r="AE201" s="66">
        <f t="shared" si="363"/>
        <v>0</v>
      </c>
      <c r="AF201" s="67">
        <f t="shared" si="306"/>
        <v>0</v>
      </c>
      <c r="AG201" s="68">
        <f t="shared" si="364"/>
        <v>0</v>
      </c>
      <c r="AH201" s="76" t="str">
        <f t="shared" si="365"/>
        <v/>
      </c>
      <c r="AI201" s="70">
        <f> ( IF(ISNUMBER(G201), VLOOKUP(G201/$AH201,F!$A1:$B101,2,1)*G201*$H201*$I201,0)+IF(ISNUMBER(K201), VLOOKUP(K201/$AH201,F!$A1:$B101,2,1)*K201*$L201*$M201,0)+IF(ISNUMBER(O201), VLOOKUP(O201/$AH201,F!$A1:$B101,2,1)*O201*$P201*$Q201,0)+IF(ISNUMBER(S201), VLOOKUP(S201/$AH201,F!$A1:$B101,2,1)*S201*$T201*$U201,0)+IF(ISNUMBER(W201), VLOOKUP(W201/$AH201,F!$A1:$B101,2,1)*W201*$X201*$Y201,0)+IF(ISNUMBER(AA201), VLOOKUP(AA201/$AH201,F!$A1:$B101,2,1)*AA201*$AB201*$AC201,0))*IF(ISNUMBER(F201),F201,1)*IF(ISNUMBER(E201),E201,1)</f>
        <v>0</v>
      </c>
      <c r="AJ201" s="71">
        <f t="shared" si="366"/>
        <v>0</v>
      </c>
      <c r="AK201" s="72">
        <f t="array" ref="AK201">IFERROR(I201*INDEX(F!$P$21:$AB$33, MATCH(G201/$AH201, F!$O$21:$O$33,1), MATCH(E201, F!$P$20:$AB$20,1)), 0 ) +IFERROR( M201*INDEX(F!$P$21:$AB$33, MATCH(K201/$AH201, F!$O$21:$O$33,1), MATCH(E201, F!$P$20:$AB$20,1)),0) +  IFERROR( Q201*INDEX(F!$P$21:$AB$33, MATCH(O201/$AH201, F!$O$21:$O$33,1), MATCH(E201, F!$P$20:$AB$20,1)), 0) + IFERROR( U201*INDEX(F!$P$21:$AB$33, MATCH(S201/$AH201, F!$O$21:$O$33,1), MATCH(E201, F!$P$20:$AB$20,1)),0)  + IFERROR(Y201*INDEX(F!$P$21:$AB$33, MATCH(W201/$AH201, F!$O$21:$O$33,1), MATCH(E201, F!$P$20:$AB$20,1)),0)  + IFERROR( AC201*INDEX(F!$P$21:$AB$33, MATCH(AA201/$AH201, F!$O$21:$O$33,1), MATCH(E201, F!$P$20:$AB$20,1)),)</f>
        <v>0</v>
      </c>
      <c r="AL201" s="59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ht="15.75" hidden="1" customHeight="1">
      <c r="A202" s="59"/>
      <c r="B202" s="215" t="str">
        <f t="shared" ref="B202:F202" si="368">IF(B146="","",B146)</f>
        <v/>
      </c>
      <c r="C202" s="73" t="str">
        <f t="shared" si="368"/>
        <v/>
      </c>
      <c r="D202" s="47" t="str">
        <f t="shared" si="368"/>
        <v/>
      </c>
      <c r="E202" s="48" t="str">
        <f t="shared" si="368"/>
        <v/>
      </c>
      <c r="F202" s="74" t="str">
        <f t="shared" si="368"/>
        <v/>
      </c>
      <c r="G202" s="50" t="str">
        <f t="shared" si="357"/>
        <v/>
      </c>
      <c r="H202" s="51"/>
      <c r="I202" s="51"/>
      <c r="J202" s="52"/>
      <c r="K202" s="50" t="str">
        <f t="shared" si="358"/>
        <v/>
      </c>
      <c r="L202" s="51"/>
      <c r="M202" s="51"/>
      <c r="N202" s="52"/>
      <c r="O202" s="50" t="str">
        <f t="shared" si="359"/>
        <v/>
      </c>
      <c r="P202" s="51"/>
      <c r="Q202" s="51"/>
      <c r="R202" s="52"/>
      <c r="S202" s="50" t="str">
        <f t="shared" si="360"/>
        <v/>
      </c>
      <c r="T202" s="51"/>
      <c r="U202" s="51"/>
      <c r="V202" s="52"/>
      <c r="W202" s="50" t="str">
        <f t="shared" si="361"/>
        <v/>
      </c>
      <c r="X202" s="51"/>
      <c r="Y202" s="51"/>
      <c r="Z202" s="52"/>
      <c r="AA202" s="50" t="str">
        <f t="shared" si="362"/>
        <v/>
      </c>
      <c r="AB202" s="51"/>
      <c r="AC202" s="51"/>
      <c r="AD202" s="52"/>
      <c r="AE202" s="53">
        <f t="shared" si="363"/>
        <v>0</v>
      </c>
      <c r="AF202" s="54">
        <f t="shared" si="306"/>
        <v>0</v>
      </c>
      <c r="AG202" s="75">
        <f t="shared" si="364"/>
        <v>0</v>
      </c>
      <c r="AH202" s="76" t="str">
        <f t="shared" si="365"/>
        <v/>
      </c>
      <c r="AI202" s="77">
        <f> ( IF(ISNUMBER(G202), VLOOKUP(G202/$AH202,F!$A1:$B101,2,1)*G202*$H202*$I202,0)+IF(ISNUMBER(K202), VLOOKUP(K202/$AH202,F!$A1:$B101,2,1)*K202*$L202*$M202,0)+IF(ISNUMBER(O202), VLOOKUP(O202/$AH202,F!$A1:$B101,2,1)*O202*$P202*$Q202,0)+IF(ISNUMBER(S202), VLOOKUP(S202/$AH202,F!$A1:$B101,2,1)*S202*$T202*$U202,0)+IF(ISNUMBER(W202), VLOOKUP(W202/$AH202,F!$A1:$B101,2,1)*W202*$X202*$Y202,0)+IF(ISNUMBER(AA202), VLOOKUP(AA202/$AH202,F!$A1:$B101,2,1)*AA202*$AB202*$AC202,0))*IF(ISNUMBER(F202),F202,1)*IF(ISNUMBER(E202),E202,1)</f>
        <v>0</v>
      </c>
      <c r="AJ202" s="57">
        <f t="shared" si="366"/>
        <v>0</v>
      </c>
      <c r="AK202" s="58">
        <f t="array" ref="AK202">IFERROR(I202*INDEX(F!$P$21:$AB$33, MATCH(G202/$AH202, F!$O$21:$O$33,1), MATCH(E202, F!$P$20:$AB$20,1)), 0 ) +IFERROR( M202*INDEX(F!$P$21:$AB$33, MATCH(K202/$AH202, F!$O$21:$O$33,1), MATCH(E202, F!$P$20:$AB$20,1)),0) +  IFERROR( Q202*INDEX(F!$P$21:$AB$33, MATCH(O202/$AH202, F!$O$21:$O$33,1), MATCH(E202, F!$P$20:$AB$20,1)), 0) + IFERROR( U202*INDEX(F!$P$21:$AB$33, MATCH(S202/$AH202, F!$O$21:$O$33,1), MATCH(E202, F!$P$20:$AB$20,1)),0)  + IFERROR(Y202*INDEX(F!$P$21:$AB$33, MATCH(W202/$AH202, F!$O$21:$O$33,1), MATCH(E202, F!$P$20:$AB$20,1)),0)  + IFERROR( AC202*INDEX(F!$P$21:$AB$33, MATCH(AA202/$AH202, F!$O$21:$O$33,1), MATCH(E202, F!$P$20:$AB$20,1)),)</f>
        <v>0</v>
      </c>
      <c r="AL202" s="59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ht="15.75" hidden="1" customHeight="1">
      <c r="A203" s="59"/>
      <c r="B203" s="216" t="str">
        <f t="shared" ref="B203:F203" si="369">IF(B147="","",B147)</f>
        <v/>
      </c>
      <c r="C203" s="78" t="str">
        <f t="shared" si="369"/>
        <v/>
      </c>
      <c r="D203" s="62" t="str">
        <f t="shared" si="369"/>
        <v/>
      </c>
      <c r="E203" s="48" t="str">
        <f t="shared" si="369"/>
        <v/>
      </c>
      <c r="F203" s="79" t="str">
        <f t="shared" si="369"/>
        <v/>
      </c>
      <c r="G203" s="64" t="str">
        <f t="shared" si="357"/>
        <v/>
      </c>
      <c r="H203" s="34"/>
      <c r="I203" s="34"/>
      <c r="J203" s="65"/>
      <c r="K203" s="64" t="str">
        <f t="shared" si="358"/>
        <v/>
      </c>
      <c r="L203" s="34"/>
      <c r="M203" s="34"/>
      <c r="N203" s="65"/>
      <c r="O203" s="64" t="str">
        <f t="shared" si="359"/>
        <v/>
      </c>
      <c r="P203" s="34"/>
      <c r="Q203" s="34"/>
      <c r="R203" s="65"/>
      <c r="S203" s="64" t="str">
        <f t="shared" si="360"/>
        <v/>
      </c>
      <c r="T203" s="34"/>
      <c r="U203" s="34"/>
      <c r="V203" s="65"/>
      <c r="W203" s="64" t="str">
        <f t="shared" si="361"/>
        <v/>
      </c>
      <c r="X203" s="34"/>
      <c r="Y203" s="34"/>
      <c r="Z203" s="65"/>
      <c r="AA203" s="64" t="str">
        <f t="shared" si="362"/>
        <v/>
      </c>
      <c r="AB203" s="34"/>
      <c r="AC203" s="34"/>
      <c r="AD203" s="65"/>
      <c r="AE203" s="66">
        <f t="shared" si="363"/>
        <v>0</v>
      </c>
      <c r="AF203" s="67">
        <f t="shared" si="306"/>
        <v>0</v>
      </c>
      <c r="AG203" s="68">
        <f t="shared" si="364"/>
        <v>0</v>
      </c>
      <c r="AH203" s="76" t="str">
        <f t="shared" si="365"/>
        <v/>
      </c>
      <c r="AI203" s="70">
        <f> ( IF(ISNUMBER(G203), VLOOKUP(G203/$AH203,F!$A1:$B101,2,1)*G203*$H203*$I203,0)+IF(ISNUMBER(K203), VLOOKUP(K203/$AH203,F!$A1:$B101,2,1)*K203*$L203*$M203,0)+IF(ISNUMBER(O203), VLOOKUP(O203/$AH203,F!$A1:$B101,2,1)*O203*$P203*$Q203,0)+IF(ISNUMBER(S203), VLOOKUP(S203/$AH203,F!$A1:$B101,2,1)*S203*$T203*$U203,0)+IF(ISNUMBER(W203), VLOOKUP(W203/$AH203,F!$A1:$B101,2,1)*W203*$X203*$Y203,0)+IF(ISNUMBER(AA203), VLOOKUP(AA203/$AH203,F!$A1:$B101,2,1)*AA203*$AB203*$AC203,0))*IF(ISNUMBER(F203),F203,1)*IF(ISNUMBER(E203),E203,1)</f>
        <v>0</v>
      </c>
      <c r="AJ203" s="71">
        <f t="shared" si="366"/>
        <v>0</v>
      </c>
      <c r="AK203" s="72">
        <f t="array" ref="AK203">IFERROR(I203*INDEX(F!$P$21:$AB$33, MATCH(G203/$AH203, F!$O$21:$O$33,1), MATCH(E203, F!$P$20:$AB$20,1)), 0 ) +IFERROR( M203*INDEX(F!$P$21:$AB$33, MATCH(K203/$AH203, F!$O$21:$O$33,1), MATCH(E203, F!$P$20:$AB$20,1)),0) +  IFERROR( Q203*INDEX(F!$P$21:$AB$33, MATCH(O203/$AH203, F!$O$21:$O$33,1), MATCH(E203, F!$P$20:$AB$20,1)), 0) + IFERROR( U203*INDEX(F!$P$21:$AB$33, MATCH(S203/$AH203, F!$O$21:$O$33,1), MATCH(E203, F!$P$20:$AB$20,1)),0)  + IFERROR(Y203*INDEX(F!$P$21:$AB$33, MATCH(W203/$AH203, F!$O$21:$O$33,1), MATCH(E203, F!$P$20:$AB$20,1)),0)  + IFERROR( AC203*INDEX(F!$P$21:$AB$33, MATCH(AA203/$AH203, F!$O$21:$O$33,1), MATCH(E203, F!$P$20:$AB$20,1)),)</f>
        <v>0</v>
      </c>
      <c r="AL203" s="59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ht="15.75" hidden="1" customHeight="1">
      <c r="A204" s="59"/>
      <c r="B204" s="45" t="str">
        <f t="shared" ref="B204:F204" si="370">IF(B148="","",B148)</f>
        <v/>
      </c>
      <c r="C204" s="46" t="str">
        <f t="shared" si="370"/>
        <v/>
      </c>
      <c r="D204" s="197" t="str">
        <f t="shared" si="370"/>
        <v/>
      </c>
      <c r="E204" s="48" t="str">
        <f t="shared" si="370"/>
        <v/>
      </c>
      <c r="F204" s="83" t="str">
        <f t="shared" si="370"/>
        <v/>
      </c>
      <c r="G204" s="50" t="str">
        <f t="shared" si="357"/>
        <v/>
      </c>
      <c r="H204" s="51"/>
      <c r="I204" s="51"/>
      <c r="J204" s="52"/>
      <c r="K204" s="50" t="str">
        <f t="shared" si="358"/>
        <v/>
      </c>
      <c r="L204" s="51"/>
      <c r="M204" s="51"/>
      <c r="N204" s="52"/>
      <c r="O204" s="50" t="str">
        <f t="shared" si="359"/>
        <v/>
      </c>
      <c r="P204" s="51"/>
      <c r="Q204" s="51"/>
      <c r="R204" s="52"/>
      <c r="S204" s="50" t="str">
        <f t="shared" si="360"/>
        <v/>
      </c>
      <c r="T204" s="51"/>
      <c r="U204" s="51"/>
      <c r="V204" s="52"/>
      <c r="W204" s="50" t="str">
        <f t="shared" si="361"/>
        <v/>
      </c>
      <c r="X204" s="51"/>
      <c r="Y204" s="51"/>
      <c r="Z204" s="52"/>
      <c r="AA204" s="50" t="str">
        <f t="shared" si="362"/>
        <v/>
      </c>
      <c r="AB204" s="51"/>
      <c r="AC204" s="51"/>
      <c r="AD204" s="52"/>
      <c r="AE204" s="53">
        <f t="shared" si="363"/>
        <v>0</v>
      </c>
      <c r="AF204" s="54">
        <f t="shared" si="306"/>
        <v>0</v>
      </c>
      <c r="AG204" s="75">
        <f t="shared" si="364"/>
        <v>0</v>
      </c>
      <c r="AH204" s="76" t="str">
        <f t="shared" si="365"/>
        <v/>
      </c>
      <c r="AI204" s="77">
        <f> ( IF(ISNUMBER(G204), VLOOKUP(G204/$AH204,F!$A1:$B101,2,1)*G204*$H204*$I204,0)+IF(ISNUMBER(K204), VLOOKUP(K204/$AH204,F!$A1:$B101,2,1)*K204*$L204*$M204,0)+IF(ISNUMBER(O204), VLOOKUP(O204/$AH204,F!$A1:$B101,2,1)*O204*$P204*$Q204,0)+IF(ISNUMBER(S204), VLOOKUP(S204/$AH204,F!$A1:$B101,2,1)*S204*$T204*$U204,0)+IF(ISNUMBER(W204), VLOOKUP(W204/$AH204,F!$A1:$B101,2,1)*W204*$X204*$Y204,0)+IF(ISNUMBER(AA204), VLOOKUP(AA204/$AH204,F!$A1:$B101,2,1)*AA204*$AB204*$AC204,0))*IF(ISNUMBER(F204),F204,1)*IF(ISNUMBER(E204),E204,1)</f>
        <v>0</v>
      </c>
      <c r="AJ204" s="86">
        <f t="shared" si="366"/>
        <v>0</v>
      </c>
      <c r="AK204" s="58">
        <f t="array" ref="AK204">IFERROR(I204*INDEX(F!$P$21:$AB$33, MATCH(G204/$AH204, F!$O$21:$O$33,1), MATCH(E204, F!$P$20:$AB$20,1)), 0 ) +IFERROR( M204*INDEX(F!$P$21:$AB$33, MATCH(K204/$AH204, F!$O$21:$O$33,1), MATCH(E204, F!$P$20:$AB$20,1)),0) +  IFERROR( Q204*INDEX(F!$P$21:$AB$33, MATCH(O204/$AH204, F!$O$21:$O$33,1), MATCH(E204, F!$P$20:$AB$20,1)), 0) + IFERROR( U204*INDEX(F!$P$21:$AB$33, MATCH(S204/$AH204, F!$O$21:$O$33,1), MATCH(E204, F!$P$20:$AB$20,1)),0)  + IFERROR(Y204*INDEX(F!$P$21:$AB$33, MATCH(W204/$AH204, F!$O$21:$O$33,1), MATCH(E204, F!$P$20:$AB$20,1)),0)  + IFERROR( AC204*INDEX(F!$P$21:$AB$33, MATCH(AA204/$AH204, F!$O$21:$O$33,1), MATCH(E204, F!$P$20:$AB$20,1)),)</f>
        <v>0</v>
      </c>
      <c r="AL204" s="59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ht="15.75" hidden="1" customHeight="1">
      <c r="A205" s="59"/>
      <c r="B205" s="60" t="str">
        <f t="shared" ref="B205:F205" si="371">IF(B149="","",B149)</f>
        <v/>
      </c>
      <c r="C205" s="61" t="str">
        <f t="shared" si="371"/>
        <v/>
      </c>
      <c r="D205" s="198" t="str">
        <f t="shared" si="371"/>
        <v/>
      </c>
      <c r="E205" s="48" t="str">
        <f t="shared" si="371"/>
        <v/>
      </c>
      <c r="F205" s="79" t="str">
        <f t="shared" si="371"/>
        <v/>
      </c>
      <c r="G205" s="64" t="str">
        <f t="shared" si="357"/>
        <v/>
      </c>
      <c r="H205" s="34"/>
      <c r="I205" s="34"/>
      <c r="J205" s="65"/>
      <c r="K205" s="64" t="str">
        <f t="shared" si="358"/>
        <v/>
      </c>
      <c r="L205" s="34"/>
      <c r="M205" s="34"/>
      <c r="N205" s="65"/>
      <c r="O205" s="64" t="str">
        <f t="shared" si="359"/>
        <v/>
      </c>
      <c r="P205" s="34"/>
      <c r="Q205" s="34"/>
      <c r="R205" s="65"/>
      <c r="S205" s="64" t="str">
        <f t="shared" si="360"/>
        <v/>
      </c>
      <c r="T205" s="34"/>
      <c r="U205" s="34"/>
      <c r="V205" s="65"/>
      <c r="W205" s="64" t="str">
        <f t="shared" si="361"/>
        <v/>
      </c>
      <c r="X205" s="34"/>
      <c r="Y205" s="34"/>
      <c r="Z205" s="65"/>
      <c r="AA205" s="64" t="str">
        <f t="shared" si="362"/>
        <v/>
      </c>
      <c r="AB205" s="34"/>
      <c r="AC205" s="34"/>
      <c r="AD205" s="65"/>
      <c r="AE205" s="66">
        <f t="shared" si="363"/>
        <v>0</v>
      </c>
      <c r="AF205" s="67">
        <f t="shared" si="306"/>
        <v>0</v>
      </c>
      <c r="AG205" s="68">
        <f t="shared" si="364"/>
        <v>0</v>
      </c>
      <c r="AH205" s="76" t="str">
        <f t="shared" si="365"/>
        <v/>
      </c>
      <c r="AI205" s="90">
        <f> ( IF(ISNUMBER(G205), VLOOKUP(G205/$AH205,F!$A1:$B101,2,1)*G205*$H205*$I205,0)+IF(ISNUMBER(K205), VLOOKUP(K205/$AH205,F!$A1:$B101,2,1)*K205*$L205*$M205,0)+IF(ISNUMBER(O205), VLOOKUP(O205/$AH205,F!$A1:$B101,2,1)*O205*$P205*$Q205,0)+IF(ISNUMBER(S205), VLOOKUP(S205/$AH205,F!$A1:$B101,2,1)*S205*$T205*$U205,0)+IF(ISNUMBER(W205), VLOOKUP(W205/$AH205,F!$A1:$B101,2,1)*W205*$X205*$Y205,0)+IF(ISNUMBER(AA205), VLOOKUP(AA205/$AH205,F!$A1:$B101,2,1)*AA205*$AB205*$AC205,0))*IF(ISNUMBER(F205),F205,1)*IF(ISNUMBER(E205),E205,1)</f>
        <v>0</v>
      </c>
      <c r="AJ205" s="34">
        <f t="shared" si="366"/>
        <v>0</v>
      </c>
      <c r="AK205" s="91">
        <f t="array" ref="AK205">IFERROR(I205*INDEX(F!$P$21:$AB$33, MATCH(G205/$AH205, F!$O$21:$O$33,1), MATCH(E205, F!$P$20:$AB$20,1)), 0 ) +IFERROR( M205*INDEX(F!$P$21:$AB$33, MATCH(K205/$AH205, F!$O$21:$O$33,1), MATCH(E205, F!$P$20:$AB$20,1)),0) +  IFERROR( Q205*INDEX(F!$P$21:$AB$33, MATCH(O205/$AH205, F!$O$21:$O$33,1), MATCH(E205, F!$P$20:$AB$20,1)), 0) + IFERROR( U205*INDEX(F!$P$21:$AB$33, MATCH(S205/$AH205, F!$O$21:$O$33,1), MATCH(E205, F!$P$20:$AB$20,1)),0)  + IFERROR(Y205*INDEX(F!$P$21:$AB$33, MATCH(W205/$AH205, F!$O$21:$O$33,1), MATCH(E205, F!$P$20:$AB$20,1)),0)  + IFERROR( AC205*INDEX(F!$P$21:$AB$33, MATCH(AA205/$AH205, F!$O$21:$O$33,1), MATCH(E205, F!$P$20:$AB$20,1)),)</f>
        <v>0</v>
      </c>
      <c r="AL205" s="59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ht="15.75" hidden="1" customHeight="1">
      <c r="A206" s="59"/>
      <c r="B206" s="45" t="str">
        <f t="shared" ref="B206:F206" si="372">IF(B150="","",B150)</f>
        <v/>
      </c>
      <c r="C206" s="46" t="str">
        <f t="shared" si="372"/>
        <v/>
      </c>
      <c r="D206" s="92" t="str">
        <f t="shared" si="372"/>
        <v/>
      </c>
      <c r="E206" s="48" t="str">
        <f t="shared" si="372"/>
        <v/>
      </c>
      <c r="F206" s="74" t="str">
        <f t="shared" si="372"/>
        <v/>
      </c>
      <c r="G206" s="50" t="str">
        <f t="shared" si="357"/>
        <v/>
      </c>
      <c r="H206" s="51"/>
      <c r="I206" s="51"/>
      <c r="J206" s="52"/>
      <c r="K206" s="50" t="str">
        <f t="shared" si="358"/>
        <v/>
      </c>
      <c r="L206" s="51"/>
      <c r="M206" s="51"/>
      <c r="N206" s="52"/>
      <c r="O206" s="50" t="str">
        <f t="shared" si="359"/>
        <v/>
      </c>
      <c r="P206" s="51"/>
      <c r="Q206" s="51"/>
      <c r="R206" s="52"/>
      <c r="S206" s="50" t="str">
        <f t="shared" si="360"/>
        <v/>
      </c>
      <c r="T206" s="51"/>
      <c r="U206" s="51"/>
      <c r="V206" s="52"/>
      <c r="W206" s="50" t="str">
        <f t="shared" si="361"/>
        <v/>
      </c>
      <c r="X206" s="51"/>
      <c r="Y206" s="51"/>
      <c r="Z206" s="52"/>
      <c r="AA206" s="50" t="str">
        <f t="shared" si="362"/>
        <v/>
      </c>
      <c r="AB206" s="51"/>
      <c r="AC206" s="51"/>
      <c r="AD206" s="52"/>
      <c r="AE206" s="53">
        <f t="shared" si="363"/>
        <v>0</v>
      </c>
      <c r="AF206" s="93">
        <f t="shared" si="306"/>
        <v>0</v>
      </c>
      <c r="AG206" s="94">
        <f t="shared" si="364"/>
        <v>0</v>
      </c>
      <c r="AH206" s="76" t="str">
        <f t="shared" si="365"/>
        <v/>
      </c>
      <c r="AI206" s="95">
        <f> ( IF(ISNUMBER(G206), VLOOKUP(G206/$AH206,F!$A1:$B101,2,1)*G206*$H206*$I206,0)+IF(ISNUMBER(K206), VLOOKUP(K206/$AH206,F!$A1:$B101,2,1)*K206*$L206*$M206,0)+IF(ISNUMBER(O206), VLOOKUP(O206/$AH206,F!$A1:$B101,2,1)*O206*$P206*$Q206,0)+IF(ISNUMBER(S206), VLOOKUP(S206/$AH206,F!$A1:$B101,2,1)*S206*$T206*$U206,0)+IF(ISNUMBER(W206), VLOOKUP(W206/$AH206,F!$A1:$B101,2,1)*W206*$X206*$Y206,0)+IF(ISNUMBER(AA206), VLOOKUP(AA206/$AH206,F!$A1:$B101,2,1)*AA206*$AB206*$AC206,0))*IF(ISNUMBER(F206),F206,1)*IF(ISNUMBER(E206),E206,1)</f>
        <v>0</v>
      </c>
      <c r="AJ206" s="96">
        <f t="shared" si="366"/>
        <v>0</v>
      </c>
      <c r="AK206" s="97">
        <f t="array" ref="AK206">IFERROR(I206*INDEX(F!$P$21:$AB$33, MATCH(G206/$AH206, F!$O$21:$O$33,1), MATCH(E206, F!$P$20:$AB$20,1)), 0 ) +IFERROR( M206*INDEX(F!$P$21:$AB$33, MATCH(K206/$AH206, F!$O$21:$O$33,1), MATCH(E206, F!$P$20:$AB$20,1)),0) +  IFERROR( Q206*INDEX(F!$P$21:$AB$33, MATCH(O206/$AH206, F!$O$21:$O$33,1), MATCH(E206, F!$P$20:$AB$20,1)), 0) + IFERROR( U206*INDEX(F!$P$21:$AB$33, MATCH(S206/$AH206, F!$O$21:$O$33,1), MATCH(E206, F!$P$20:$AB$20,1)),0)  + IFERROR(Y206*INDEX(F!$P$21:$AB$33, MATCH(W206/$AH206, F!$O$21:$O$33,1), MATCH(E206, F!$P$20:$AB$20,1)),0)  + IFERROR( AC206*INDEX(F!$P$21:$AB$33, MATCH(AA206/$AH206, F!$O$21:$O$33,1), MATCH(E206, F!$P$20:$AB$20,1)),)</f>
        <v>0</v>
      </c>
      <c r="AL206" s="59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ht="15.75" hidden="1" customHeight="1">
      <c r="A207" s="98"/>
      <c r="B207" s="99"/>
      <c r="C207" s="100"/>
      <c r="D207" s="101"/>
      <c r="E207" s="102">
        <f>ROUND(IFERROR(SUMPRODUCT(AJ199:AJ206,E199:E206)/AJ207,0),3)</f>
        <v>0</v>
      </c>
      <c r="F207" s="199"/>
      <c r="G207" s="104"/>
      <c r="H207" s="105"/>
      <c r="I207" s="105"/>
      <c r="J207" s="106"/>
      <c r="K207" s="104"/>
      <c r="L207" s="105"/>
      <c r="M207" s="105"/>
      <c r="N207" s="106"/>
      <c r="O207" s="104"/>
      <c r="P207" s="105"/>
      <c r="Q207" s="105"/>
      <c r="R207" s="106"/>
      <c r="S207" s="104"/>
      <c r="T207" s="105"/>
      <c r="U207" s="105"/>
      <c r="V207" s="106"/>
      <c r="W207" s="104"/>
      <c r="X207" s="105"/>
      <c r="Y207" s="105"/>
      <c r="Z207" s="106"/>
      <c r="AA207" s="104"/>
      <c r="AB207" s="105"/>
      <c r="AC207" s="105"/>
      <c r="AD207" s="106"/>
      <c r="AE207" s="107">
        <f>SUM(AE199:AE206)</f>
        <v>0</v>
      </c>
      <c r="AF207" s="108">
        <f t="shared" si="306"/>
        <v>0</v>
      </c>
      <c r="AG207" s="109">
        <f>IFERROR(  SUMPRODUCT(AG199:AG206,AJ199:AJ206)/AJ207,0)</f>
        <v>0</v>
      </c>
      <c r="AH207" s="157"/>
      <c r="AI207" s="111">
        <f t="shared" ref="AI207:AJ207" si="373">SUM(AI199:AI206)</f>
        <v>0</v>
      </c>
      <c r="AJ207" s="111">
        <f t="shared" si="373"/>
        <v>0</v>
      </c>
      <c r="AK207" s="112">
        <f>IF(SUM(AK199:AK206)=0,TIME(,0,),TIME(,SUM(AK199:AK206)+F!$V$37,))</f>
        <v>0</v>
      </c>
      <c r="AL207" s="98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ht="15.75" hidden="1" customHeight="1">
      <c r="A208" s="113">
        <f>A209</f>
        <v>43807</v>
      </c>
      <c r="B208" s="114" t="str">
        <f t="shared" ref="B208:F208" si="374">IF(B152="","",B152)</f>
        <v/>
      </c>
      <c r="C208" s="115" t="str">
        <f t="shared" si="374"/>
        <v/>
      </c>
      <c r="D208" s="116" t="str">
        <f t="shared" si="374"/>
        <v/>
      </c>
      <c r="E208" s="29" t="str">
        <f t="shared" si="374"/>
        <v/>
      </c>
      <c r="F208" s="117" t="str">
        <f t="shared" si="374"/>
        <v/>
      </c>
      <c r="G208" s="118" t="str">
        <f t="shared" ref="G208:G215" si="376">IF(J208&lt;&gt;0, IFERROR(IF( $F208=2,  MROUND($AH208*J208,1),    IF( OR($F208="",$F208=1),   MROUND($AH208*J208,2.5),  MROUND($AH208*J208, 0.1))), "" ), "")</f>
        <v/>
      </c>
      <c r="H208" s="119"/>
      <c r="I208" s="119"/>
      <c r="J208" s="120"/>
      <c r="K208" s="118" t="str">
        <f t="shared" ref="K208:K215" si="377">IF(N208&lt;&gt;0, IFERROR(IF( $F208=2,  MROUND($AH208*N208,1),    IF( OR($F208="",$F208=1),   MROUND($AH208*N208,2.5),  MROUND($AH208*N208, 0.1))), "" ), "")</f>
        <v/>
      </c>
      <c r="L208" s="119"/>
      <c r="M208" s="119"/>
      <c r="N208" s="120"/>
      <c r="O208" s="118" t="str">
        <f t="shared" ref="O208:O215" si="378">IF(R208&lt;&gt;0, IFERROR(IF( $F208=2,  MROUND($AH208*R208,1),    IF( OR($F208="",$F208=1),   MROUND($AH208*R208,2.5),  MROUND($AH208*R208, 0.1))), "" ), "")</f>
        <v/>
      </c>
      <c r="P208" s="119"/>
      <c r="Q208" s="119"/>
      <c r="R208" s="120"/>
      <c r="S208" s="118" t="str">
        <f t="shared" ref="S208:S215" si="379">IF(V208&lt;&gt;0, IFERROR(IF( $F208=2,  MROUND($AH208*V208,1),    IF( OR($F208="",$F208=1),   MROUND($AH208*V208,2.5),  MROUND($AH208*V208, 0.1))), "" ), "")</f>
        <v/>
      </c>
      <c r="T208" s="119"/>
      <c r="U208" s="119"/>
      <c r="V208" s="120"/>
      <c r="W208" s="118" t="str">
        <f t="shared" ref="W208:W215" si="380">IF(Z208&lt;&gt;0, IFERROR(IF( $F208=2,  MROUND($AH208*Z208,1),    IF( OR($F208="",$F208=1),   MROUND($AH208*Z208,2.5),  MROUND($AH208*Z208, 0.1))), "" ), "")</f>
        <v/>
      </c>
      <c r="X208" s="119"/>
      <c r="Y208" s="119"/>
      <c r="Z208" s="120"/>
      <c r="AA208" s="118" t="str">
        <f t="shared" ref="AA208:AA215" si="381">IF(AD208&lt;&gt;0, IFERROR(IF( $F208=2,  MROUND($AH208*AD208,1),    IF( OR($F208="",$F208=1),   MROUND($AH208*AD208,2.5),  MROUND($AH208*AD208, 0.1))), "" ), "")</f>
        <v/>
      </c>
      <c r="AB208" s="119"/>
      <c r="AC208" s="119"/>
      <c r="AD208" s="120"/>
      <c r="AE208" s="121">
        <f t="shared" ref="AE208:AE215" si="382">(IF(ISNUMBER(G208),G208,0)*H208*I208+IF(ISNUMBER(K208),K208,1)*L208*M208+IF(ISNUMBER(O208),O208,1)*P208*Q208+IF(ISNUMBER(S208),S208,1)*T208*U208+IF(ISNUMBER(W208),W208,1)*X208*Y208+IF(ISNUMBER(AA208),AA208,1)*AB208*AC208)*IF(ISNUMBER(F208),F208,1)</f>
        <v>0</v>
      </c>
      <c r="AF208" s="122">
        <f t="shared" si="306"/>
        <v>0</v>
      </c>
      <c r="AG208" s="200">
        <f t="shared" ref="AG208:AG215" si="383">IFERROR((AF208/(AH208*IF(ISNUMBER(F208),F208,1))),0)</f>
        <v>0</v>
      </c>
      <c r="AH208" s="169" t="str">
        <f t="shared" ref="AH208:AH215" si="384">IF(ISNUMBER(AH152), AH152+(AH152*$AH$170),"")</f>
        <v/>
      </c>
      <c r="AI208" s="122">
        <f> ( IF(ISNUMBER(G208), VLOOKUP(G208/$AH208,F!$A1:$B101,2,1)*G208*$H208*$I208,0)+IF(ISNUMBER(K208), VLOOKUP(K208/$AH208,F!$A1:$B101,2,1)*K208*$L208*$M208,0)+IF(ISNUMBER(O208), VLOOKUP(O208/$AH208,F!$A1:$B101,2,1)*O208*$P208*$Q208,0)+IF(ISNUMBER(S208), VLOOKUP(S208/$AH208,F!$A1:$B101,2,1)*S208*$T208*$U208,0)+IF(ISNUMBER(W208), VLOOKUP(W208/$AH208,F!$A1:$B101,2,1)*W208*$X208*$Y208,0)+IF(ISNUMBER(AA208), VLOOKUP(AA208/$AH208,F!$A1:$B101,2,1)*AA208*$AB208*$AC208,0))*IF(ISNUMBER(F208),F208,1)*IF(ISNUMBER(E208),E208,1)</f>
        <v>0</v>
      </c>
      <c r="AJ208" s="119">
        <f t="shared" ref="AJ208:AJ215" si="385">H208*I208+L208*M208+P208*Q208+T208*U208+X208*Y208+AB208*AC208</f>
        <v>0</v>
      </c>
      <c r="AK208" s="125">
        <f t="array" ref="AK208">IFERROR(I208*INDEX(F!$P$21:$AB$33, MATCH(G208/$AH208, F!$O$21:$O$33,1), MATCH(E208, F!$P$20:$AB$20,1)), 0 ) +IFERROR( M208*INDEX(F!$P$21:$AB$33, MATCH(K208/$AH208, F!$O$21:$O$33,1), MATCH(E208, F!$P$20:$AB$20,1)),0) +  IFERROR( Q208*INDEX(F!$P$21:$AB$33, MATCH(O208/$AH208, F!$O$21:$O$33,1), MATCH(E208, F!$P$20:$AB$20,1)), 0) + IFERROR( U208*INDEX(F!$P$21:$AB$33, MATCH(S208/$AH208, F!$O$21:$O$33,1), MATCH(E208, F!$P$20:$AB$20,1)),0)  + IFERROR(Y208*INDEX(F!$P$21:$AB$33, MATCH(W208/$AH208, F!$O$21:$O$33,1), MATCH(E208, F!$P$20:$AB$20,1)),0)  + IFERROR( AC208*INDEX(F!$P$21:$AB$33, MATCH(AA208/$AH208, F!$O$21:$O$33,1), MATCH(E208, F!$P$20:$AB$20,1)),)</f>
        <v>0</v>
      </c>
      <c r="AL208" s="42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ht="15.0" hidden="1" customHeight="1">
      <c r="A209" s="44">
        <f>A153+A114</f>
        <v>43807</v>
      </c>
      <c r="B209" s="126" t="str">
        <f t="shared" ref="B209:F209" si="375">IF(B153="","",B153)</f>
        <v/>
      </c>
      <c r="C209" s="127" t="str">
        <f t="shared" si="375"/>
        <v/>
      </c>
      <c r="D209" s="128" t="str">
        <f t="shared" si="375"/>
        <v/>
      </c>
      <c r="E209" s="48" t="str">
        <f t="shared" si="375"/>
        <v/>
      </c>
      <c r="F209" s="129" t="str">
        <f t="shared" si="375"/>
        <v/>
      </c>
      <c r="G209" s="130" t="str">
        <f t="shared" si="376"/>
        <v/>
      </c>
      <c r="H209" s="34"/>
      <c r="I209" s="34"/>
      <c r="J209" s="65"/>
      <c r="K209" s="130" t="str">
        <f t="shared" si="377"/>
        <v/>
      </c>
      <c r="L209" s="34"/>
      <c r="M209" s="34"/>
      <c r="N209" s="65"/>
      <c r="O209" s="130" t="str">
        <f t="shared" si="378"/>
        <v/>
      </c>
      <c r="P209" s="34"/>
      <c r="Q209" s="34"/>
      <c r="R209" s="65"/>
      <c r="S209" s="130" t="str">
        <f t="shared" si="379"/>
        <v/>
      </c>
      <c r="T209" s="34"/>
      <c r="U209" s="34"/>
      <c r="V209" s="65"/>
      <c r="W209" s="130" t="str">
        <f t="shared" si="380"/>
        <v/>
      </c>
      <c r="X209" s="34"/>
      <c r="Y209" s="34"/>
      <c r="Z209" s="65"/>
      <c r="AA209" s="130" t="str">
        <f t="shared" si="381"/>
        <v/>
      </c>
      <c r="AB209" s="34"/>
      <c r="AC209" s="34"/>
      <c r="AD209" s="65"/>
      <c r="AE209" s="131">
        <f t="shared" si="382"/>
        <v>0</v>
      </c>
      <c r="AF209" s="132">
        <f t="shared" si="306"/>
        <v>0</v>
      </c>
      <c r="AG209" s="133">
        <f t="shared" si="383"/>
        <v>0</v>
      </c>
      <c r="AH209" s="76" t="str">
        <f t="shared" si="384"/>
        <v/>
      </c>
      <c r="AI209" s="132">
        <f> ( IF(ISNUMBER(G209), VLOOKUP(G209/$AH209,F!$A1:$B101,2,1)*G209*$H209*$I209,0)+IF(ISNUMBER(K209), VLOOKUP(K209/$AH209,F!$A1:$B101,2,1)*K209*$L209*$M209,0)+IF(ISNUMBER(O209), VLOOKUP(O209/$AH209,F!$A1:$B101,2,1)*O209*$P209*$Q209,0)+IF(ISNUMBER(S209), VLOOKUP(S209/$AH209,F!$A1:$B101,2,1)*S209*$T209*$U209,0)+IF(ISNUMBER(W209), VLOOKUP(W209/$AH209,F!$A1:$B101,2,1)*W209*$X209*$Y209,0)+IF(ISNUMBER(AA209), VLOOKUP(AA209/$AH209,F!$A1:$B101,2,1)*AA209*$AB209*$AC209,0))*IF(ISNUMBER(F209),F209,1)*IF(ISNUMBER(E209),E209,1)</f>
        <v>0</v>
      </c>
      <c r="AJ209" s="34">
        <f t="shared" si="385"/>
        <v>0</v>
      </c>
      <c r="AK209" s="134">
        <f t="array" ref="AK209">IFERROR(I209*INDEX(F!$P$21:$AB$33, MATCH(G209/$AH209, F!$O$21:$O$33,1), MATCH(E209, F!$P$20:$AB$20,1)), 0 ) +IFERROR( M209*INDEX(F!$P$21:$AB$33, MATCH(K209/$AH209, F!$O$21:$O$33,1), MATCH(E209, F!$P$20:$AB$20,1)),0) +  IFERROR( Q209*INDEX(F!$P$21:$AB$33, MATCH(O209/$AH209, F!$O$21:$O$33,1), MATCH(E209, F!$P$20:$AB$20,1)), 0) + IFERROR( U209*INDEX(F!$P$21:$AB$33, MATCH(S209/$AH209, F!$O$21:$O$33,1), MATCH(E209, F!$P$20:$AB$20,1)),0)  + IFERROR(Y209*INDEX(F!$P$21:$AB$33, MATCH(W209/$AH209, F!$O$21:$O$33,1), MATCH(E209, F!$P$20:$AB$20,1)),0)  + IFERROR( AC209*INDEX(F!$P$21:$AB$33, MATCH(AA209/$AH209, F!$O$21:$O$33,1), MATCH(E209, F!$P$20:$AB$20,1)),)</f>
        <v>0</v>
      </c>
      <c r="AL209" s="59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ht="15.75" hidden="1" customHeight="1">
      <c r="A210" s="59"/>
      <c r="B210" s="135" t="str">
        <f t="shared" ref="B210:F210" si="386">IF(B154="","",B154)</f>
        <v/>
      </c>
      <c r="C210" s="136" t="str">
        <f t="shared" si="386"/>
        <v/>
      </c>
      <c r="D210" s="137" t="str">
        <f t="shared" si="386"/>
        <v/>
      </c>
      <c r="E210" s="48" t="str">
        <f t="shared" si="386"/>
        <v/>
      </c>
      <c r="F210" s="138" t="str">
        <f t="shared" si="386"/>
        <v/>
      </c>
      <c r="G210" s="139" t="str">
        <f t="shared" si="376"/>
        <v/>
      </c>
      <c r="H210" s="140"/>
      <c r="I210" s="140"/>
      <c r="J210" s="141"/>
      <c r="K210" s="139" t="str">
        <f t="shared" si="377"/>
        <v/>
      </c>
      <c r="L210" s="140"/>
      <c r="M210" s="140"/>
      <c r="N210" s="141"/>
      <c r="O210" s="139" t="str">
        <f t="shared" si="378"/>
        <v/>
      </c>
      <c r="P210" s="140"/>
      <c r="Q210" s="140"/>
      <c r="R210" s="141"/>
      <c r="S210" s="139" t="str">
        <f t="shared" si="379"/>
        <v/>
      </c>
      <c r="T210" s="140"/>
      <c r="U210" s="140"/>
      <c r="V210" s="141"/>
      <c r="W210" s="139" t="str">
        <f t="shared" si="380"/>
        <v/>
      </c>
      <c r="X210" s="140"/>
      <c r="Y210" s="140"/>
      <c r="Z210" s="141"/>
      <c r="AA210" s="139" t="str">
        <f t="shared" si="381"/>
        <v/>
      </c>
      <c r="AB210" s="140"/>
      <c r="AC210" s="140"/>
      <c r="AD210" s="141"/>
      <c r="AE210" s="142">
        <f t="shared" si="382"/>
        <v>0</v>
      </c>
      <c r="AF210" s="143">
        <f t="shared" si="306"/>
        <v>0</v>
      </c>
      <c r="AG210" s="144">
        <f t="shared" si="383"/>
        <v>0</v>
      </c>
      <c r="AH210" s="76" t="str">
        <f t="shared" si="384"/>
        <v/>
      </c>
      <c r="AI210" s="143">
        <f> ( IF(ISNUMBER(G210), VLOOKUP(G210/$AH210,F!$A1:$B101,2,1)*G210*$H210*$I210,0)+IF(ISNUMBER(K210), VLOOKUP(K210/$AH210,F!$A1:$B101,2,1)*K210*$L210*$M210,0)+IF(ISNUMBER(O210), VLOOKUP(O210/$AH210,F!$A1:$B101,2,1)*O210*$P210*$Q210,0)+IF(ISNUMBER(S210), VLOOKUP(S210/$AH210,F!$A1:$B101,2,1)*S210*$T210*$U210,0)+IF(ISNUMBER(W210), VLOOKUP(W210/$AH210,F!$A1:$B101,2,1)*W210*$X210*$Y210,0)+IF(ISNUMBER(AA210), VLOOKUP(AA210/$AH210,F!$A1:$B101,2,1)*AA210*$AB210*$AC210,0))*IF(ISNUMBER(F210),F210,1)*IF(ISNUMBER(E210),E210,1)</f>
        <v>0</v>
      </c>
      <c r="AJ210" s="140">
        <f t="shared" si="385"/>
        <v>0</v>
      </c>
      <c r="AK210" s="145">
        <f t="array" ref="AK210">IFERROR(I210*INDEX(F!$P$21:$AB$33, MATCH(G210/$AH210, F!$O$21:$O$33,1), MATCH(E210, F!$P$20:$AB$20,1)), 0 ) +IFERROR( M210*INDEX(F!$P$21:$AB$33, MATCH(K210/$AH210, F!$O$21:$O$33,1), MATCH(E210, F!$P$20:$AB$20,1)),0) +  IFERROR( Q210*INDEX(F!$P$21:$AB$33, MATCH(O210/$AH210, F!$O$21:$O$33,1), MATCH(E210, F!$P$20:$AB$20,1)), 0) + IFERROR( U210*INDEX(F!$P$21:$AB$33, MATCH(S210/$AH210, F!$O$21:$O$33,1), MATCH(E210, F!$P$20:$AB$20,1)),0)  + IFERROR(Y210*INDEX(F!$P$21:$AB$33, MATCH(W210/$AH210, F!$O$21:$O$33,1), MATCH(E210, F!$P$20:$AB$20,1)),0)  + IFERROR( AC210*INDEX(F!$P$21:$AB$33, MATCH(AA210/$AH210, F!$O$21:$O$33,1), MATCH(E210, F!$P$20:$AB$20,1)),)</f>
        <v>0</v>
      </c>
      <c r="AL210" s="59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ht="15.75" hidden="1" customHeight="1">
      <c r="A211" s="59"/>
      <c r="B211" s="126" t="str">
        <f t="shared" ref="B211:F211" si="387">IF(B155="","",B155)</f>
        <v/>
      </c>
      <c r="C211" s="127" t="str">
        <f t="shared" si="387"/>
        <v/>
      </c>
      <c r="D211" s="128" t="str">
        <f t="shared" si="387"/>
        <v/>
      </c>
      <c r="E211" s="48" t="str">
        <f t="shared" si="387"/>
        <v/>
      </c>
      <c r="F211" s="129" t="str">
        <f t="shared" si="387"/>
        <v/>
      </c>
      <c r="G211" s="130" t="str">
        <f t="shared" si="376"/>
        <v/>
      </c>
      <c r="H211" s="34"/>
      <c r="I211" s="34"/>
      <c r="J211" s="65"/>
      <c r="K211" s="130" t="str">
        <f t="shared" si="377"/>
        <v/>
      </c>
      <c r="L211" s="34"/>
      <c r="M211" s="34"/>
      <c r="N211" s="65"/>
      <c r="O211" s="130" t="str">
        <f t="shared" si="378"/>
        <v/>
      </c>
      <c r="P211" s="34"/>
      <c r="Q211" s="34"/>
      <c r="R211" s="65"/>
      <c r="S211" s="130" t="str">
        <f t="shared" si="379"/>
        <v/>
      </c>
      <c r="T211" s="34"/>
      <c r="U211" s="34"/>
      <c r="V211" s="65"/>
      <c r="W211" s="130" t="str">
        <f t="shared" si="380"/>
        <v/>
      </c>
      <c r="X211" s="34"/>
      <c r="Y211" s="34"/>
      <c r="Z211" s="65"/>
      <c r="AA211" s="130" t="str">
        <f t="shared" si="381"/>
        <v/>
      </c>
      <c r="AB211" s="34"/>
      <c r="AC211" s="34"/>
      <c r="AD211" s="65"/>
      <c r="AE211" s="131">
        <f t="shared" si="382"/>
        <v>0</v>
      </c>
      <c r="AF211" s="132">
        <f t="shared" si="306"/>
        <v>0</v>
      </c>
      <c r="AG211" s="133">
        <f t="shared" si="383"/>
        <v>0</v>
      </c>
      <c r="AH211" s="76" t="str">
        <f t="shared" si="384"/>
        <v/>
      </c>
      <c r="AI211" s="132">
        <f> ( IF(ISNUMBER(G211), VLOOKUP(G211/$AH211,F!$A1:$B101,2,1)*G211*$H211*$I211,0)+IF(ISNUMBER(K211), VLOOKUP(K211/$AH211,F!$A1:$B101,2,1)*K211*$L211*$M211,0)+IF(ISNUMBER(O211), VLOOKUP(O211/$AH211,F!$A1:$B101,2,1)*O211*$P211*$Q211,0)+IF(ISNUMBER(S211), VLOOKUP(S211/$AH211,F!$A1:$B101,2,1)*S211*$T211*$U211,0)+IF(ISNUMBER(W211), VLOOKUP(W211/$AH211,F!$A1:$B101,2,1)*W211*$X211*$Y211,0)+IF(ISNUMBER(AA211), VLOOKUP(AA211/$AH211,F!$A1:$B101,2,1)*AA211*$AB211*$AC211,0))*IF(ISNUMBER(F211),F211,1)*IF(ISNUMBER(E211),E211,1)</f>
        <v>0</v>
      </c>
      <c r="AJ211" s="34">
        <f t="shared" si="385"/>
        <v>0</v>
      </c>
      <c r="AK211" s="134">
        <f t="array" ref="AK211">IFERROR(I211*INDEX(F!$P$21:$AB$33, MATCH(G211/$AH211, F!$O$21:$O$33,1), MATCH(E211, F!$P$20:$AB$20,1)), 0 ) +IFERROR( M211*INDEX(F!$P$21:$AB$33, MATCH(K211/$AH211, F!$O$21:$O$33,1), MATCH(E211, F!$P$20:$AB$20,1)),0) +  IFERROR( Q211*INDEX(F!$P$21:$AB$33, MATCH(O211/$AH211, F!$O$21:$O$33,1), MATCH(E211, F!$P$20:$AB$20,1)), 0) + IFERROR( U211*INDEX(F!$P$21:$AB$33, MATCH(S211/$AH211, F!$O$21:$O$33,1), MATCH(E211, F!$P$20:$AB$20,1)),0)  + IFERROR(Y211*INDEX(F!$P$21:$AB$33, MATCH(W211/$AH211, F!$O$21:$O$33,1), MATCH(E211, F!$P$20:$AB$20,1)),0)  + IFERROR( AC211*INDEX(F!$P$21:$AB$33, MATCH(AA211/$AH211, F!$O$21:$O$33,1), MATCH(E211, F!$P$20:$AB$20,1)),)</f>
        <v>0</v>
      </c>
      <c r="AL211" s="59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ht="15.75" hidden="1" customHeight="1">
      <c r="A212" s="59"/>
      <c r="B212" s="135" t="str">
        <f t="shared" ref="B212:F212" si="388">IF(B156="","",B156)</f>
        <v/>
      </c>
      <c r="C212" s="136" t="str">
        <f t="shared" si="388"/>
        <v/>
      </c>
      <c r="D212" s="137" t="str">
        <f t="shared" si="388"/>
        <v/>
      </c>
      <c r="E212" s="48" t="str">
        <f t="shared" si="388"/>
        <v/>
      </c>
      <c r="F212" s="138" t="str">
        <f t="shared" si="388"/>
        <v/>
      </c>
      <c r="G212" s="139" t="str">
        <f t="shared" si="376"/>
        <v/>
      </c>
      <c r="H212" s="140"/>
      <c r="I212" s="140"/>
      <c r="J212" s="141"/>
      <c r="K212" s="139" t="str">
        <f t="shared" si="377"/>
        <v/>
      </c>
      <c r="L212" s="140"/>
      <c r="M212" s="140"/>
      <c r="N212" s="141"/>
      <c r="O212" s="139" t="str">
        <f t="shared" si="378"/>
        <v/>
      </c>
      <c r="P212" s="140"/>
      <c r="Q212" s="140"/>
      <c r="R212" s="141"/>
      <c r="S212" s="139" t="str">
        <f t="shared" si="379"/>
        <v/>
      </c>
      <c r="T212" s="140"/>
      <c r="U212" s="140"/>
      <c r="V212" s="141"/>
      <c r="W212" s="139" t="str">
        <f t="shared" si="380"/>
        <v/>
      </c>
      <c r="X212" s="140"/>
      <c r="Y212" s="140"/>
      <c r="Z212" s="141"/>
      <c r="AA212" s="139" t="str">
        <f t="shared" si="381"/>
        <v/>
      </c>
      <c r="AB212" s="140"/>
      <c r="AC212" s="140"/>
      <c r="AD212" s="141"/>
      <c r="AE212" s="142">
        <f t="shared" si="382"/>
        <v>0</v>
      </c>
      <c r="AF212" s="143">
        <f t="shared" si="306"/>
        <v>0</v>
      </c>
      <c r="AG212" s="144">
        <f t="shared" si="383"/>
        <v>0</v>
      </c>
      <c r="AH212" s="76" t="str">
        <f t="shared" si="384"/>
        <v/>
      </c>
      <c r="AI212" s="143">
        <f> ( IF(ISNUMBER(G212), VLOOKUP(G212/$AH212,F!$A1:$B101,2,1)*G212*$H212*$I212,0)+IF(ISNUMBER(K212), VLOOKUP(K212/$AH212,F!$A1:$B101,2,1)*K212*$L212*$M212,0)+IF(ISNUMBER(O212), VLOOKUP(O212/$AH212,F!$A1:$B101,2,1)*O212*$P212*$Q212,0)+IF(ISNUMBER(S212), VLOOKUP(S212/$AH212,F!$A1:$B101,2,1)*S212*$T212*$U212,0)+IF(ISNUMBER(W212), VLOOKUP(W212/$AH212,F!$A1:$B101,2,1)*W212*$X212*$Y212,0)+IF(ISNUMBER(AA212), VLOOKUP(AA212/$AH212,F!$A1:$B101,2,1)*AA212*$AB212*$AC212,0))*IF(ISNUMBER(F212),F212,1)*IF(ISNUMBER(E212),E212,1)</f>
        <v>0</v>
      </c>
      <c r="AJ212" s="140">
        <f t="shared" si="385"/>
        <v>0</v>
      </c>
      <c r="AK212" s="145">
        <f t="array" ref="AK212">IFERROR(I212*INDEX(F!$P$21:$AB$33, MATCH(G212/$AH212, F!$O$21:$O$33,1), MATCH(E212, F!$P$20:$AB$20,1)), 0 ) +IFERROR( M212*INDEX(F!$P$21:$AB$33, MATCH(K212/$AH212, F!$O$21:$O$33,1), MATCH(E212, F!$P$20:$AB$20,1)),0) +  IFERROR( Q212*INDEX(F!$P$21:$AB$33, MATCH(O212/$AH212, F!$O$21:$O$33,1), MATCH(E212, F!$P$20:$AB$20,1)), 0) + IFERROR( U212*INDEX(F!$P$21:$AB$33, MATCH(S212/$AH212, F!$O$21:$O$33,1), MATCH(E212, F!$P$20:$AB$20,1)),0)  + IFERROR(Y212*INDEX(F!$P$21:$AB$33, MATCH(W212/$AH212, F!$O$21:$O$33,1), MATCH(E212, F!$P$20:$AB$20,1)),0)  + IFERROR( AC212*INDEX(F!$P$21:$AB$33, MATCH(AA212/$AH212, F!$O$21:$O$33,1), MATCH(E212, F!$P$20:$AB$20,1)),)</f>
        <v>0</v>
      </c>
      <c r="AL212" s="59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ht="15.75" hidden="1" customHeight="1">
      <c r="A213" s="59"/>
      <c r="B213" s="126" t="str">
        <f t="shared" ref="B213:F213" si="389">IF(B157="","",B157)</f>
        <v/>
      </c>
      <c r="C213" s="127" t="str">
        <f t="shared" si="389"/>
        <v/>
      </c>
      <c r="D213" s="128" t="str">
        <f t="shared" si="389"/>
        <v/>
      </c>
      <c r="E213" s="48" t="str">
        <f t="shared" si="389"/>
        <v/>
      </c>
      <c r="F213" s="129" t="str">
        <f t="shared" si="389"/>
        <v/>
      </c>
      <c r="G213" s="130" t="str">
        <f t="shared" si="376"/>
        <v/>
      </c>
      <c r="H213" s="34"/>
      <c r="I213" s="34"/>
      <c r="J213" s="65"/>
      <c r="K213" s="130" t="str">
        <f t="shared" si="377"/>
        <v/>
      </c>
      <c r="L213" s="34"/>
      <c r="M213" s="34"/>
      <c r="N213" s="65"/>
      <c r="O213" s="130" t="str">
        <f t="shared" si="378"/>
        <v/>
      </c>
      <c r="P213" s="34"/>
      <c r="Q213" s="34"/>
      <c r="R213" s="65"/>
      <c r="S213" s="130" t="str">
        <f t="shared" si="379"/>
        <v/>
      </c>
      <c r="T213" s="34"/>
      <c r="U213" s="34"/>
      <c r="V213" s="65"/>
      <c r="W213" s="130" t="str">
        <f t="shared" si="380"/>
        <v/>
      </c>
      <c r="X213" s="34"/>
      <c r="Y213" s="34"/>
      <c r="Z213" s="65"/>
      <c r="AA213" s="130" t="str">
        <f t="shared" si="381"/>
        <v/>
      </c>
      <c r="AB213" s="34"/>
      <c r="AC213" s="34"/>
      <c r="AD213" s="65"/>
      <c r="AE213" s="131">
        <f t="shared" si="382"/>
        <v>0</v>
      </c>
      <c r="AF213" s="132">
        <f t="shared" si="306"/>
        <v>0</v>
      </c>
      <c r="AG213" s="133">
        <f t="shared" si="383"/>
        <v>0</v>
      </c>
      <c r="AH213" s="76" t="str">
        <f t="shared" si="384"/>
        <v/>
      </c>
      <c r="AI213" s="132">
        <f> ( IF(ISNUMBER(G213), VLOOKUP(G213/$AH213,F!$A1:$B101,2,1)*G213*$H213*$I213,0)+IF(ISNUMBER(K213), VLOOKUP(K213/$AH213,F!$A1:$B101,2,1)*K213*$L213*$M213,0)+IF(ISNUMBER(O213), VLOOKUP(O213/$AH213,F!$A1:$B101,2,1)*O213*$P213*$Q213,0)+IF(ISNUMBER(S213), VLOOKUP(S213/$AH213,F!$A1:$B101,2,1)*S213*$T213*$U213,0)+IF(ISNUMBER(W213), VLOOKUP(W213/$AH213,F!$A1:$B101,2,1)*W213*$X213*$Y213,0)+IF(ISNUMBER(AA213), VLOOKUP(AA213/$AH213,F!$A1:$B101,2,1)*AA213*$AB213*$AC213,0))*IF(ISNUMBER(F213),F213,1)*IF(ISNUMBER(E213),E213,1)</f>
        <v>0</v>
      </c>
      <c r="AJ213" s="34">
        <f t="shared" si="385"/>
        <v>0</v>
      </c>
      <c r="AK213" s="134">
        <f t="array" ref="AK213">IFERROR(I213*INDEX(F!$P$21:$AB$33, MATCH(G213/$AH213, F!$O$21:$O$33,1), MATCH(E213, F!$P$20:$AB$20,1)), 0 ) +IFERROR( M213*INDEX(F!$P$21:$AB$33, MATCH(K213/$AH213, F!$O$21:$O$33,1), MATCH(E213, F!$P$20:$AB$20,1)),0) +  IFERROR( Q213*INDEX(F!$P$21:$AB$33, MATCH(O213/$AH213, F!$O$21:$O$33,1), MATCH(E213, F!$P$20:$AB$20,1)), 0) + IFERROR( U213*INDEX(F!$P$21:$AB$33, MATCH(S213/$AH213, F!$O$21:$O$33,1), MATCH(E213, F!$P$20:$AB$20,1)),0)  + IFERROR(Y213*INDEX(F!$P$21:$AB$33, MATCH(W213/$AH213, F!$O$21:$O$33,1), MATCH(E213, F!$P$20:$AB$20,1)),0)  + IFERROR( AC213*INDEX(F!$P$21:$AB$33, MATCH(AA213/$AH213, F!$O$21:$O$33,1), MATCH(E213, F!$P$20:$AB$20,1)),)</f>
        <v>0</v>
      </c>
      <c r="AL213" s="59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ht="15.75" hidden="1" customHeight="1">
      <c r="A214" s="59"/>
      <c r="B214" s="135" t="str">
        <f t="shared" ref="B214:F214" si="390">IF(B158="","",B158)</f>
        <v/>
      </c>
      <c r="C214" s="136" t="str">
        <f t="shared" si="390"/>
        <v/>
      </c>
      <c r="D214" s="137" t="str">
        <f t="shared" si="390"/>
        <v/>
      </c>
      <c r="E214" s="48" t="str">
        <f t="shared" si="390"/>
        <v/>
      </c>
      <c r="F214" s="138" t="str">
        <f t="shared" si="390"/>
        <v/>
      </c>
      <c r="G214" s="139" t="str">
        <f t="shared" si="376"/>
        <v/>
      </c>
      <c r="H214" s="140"/>
      <c r="I214" s="140"/>
      <c r="J214" s="141"/>
      <c r="K214" s="139" t="str">
        <f t="shared" si="377"/>
        <v/>
      </c>
      <c r="L214" s="140"/>
      <c r="M214" s="140"/>
      <c r="N214" s="141"/>
      <c r="O214" s="139" t="str">
        <f t="shared" si="378"/>
        <v/>
      </c>
      <c r="P214" s="140"/>
      <c r="Q214" s="140"/>
      <c r="R214" s="141"/>
      <c r="S214" s="139" t="str">
        <f t="shared" si="379"/>
        <v/>
      </c>
      <c r="T214" s="140"/>
      <c r="U214" s="140"/>
      <c r="V214" s="141"/>
      <c r="W214" s="139" t="str">
        <f t="shared" si="380"/>
        <v/>
      </c>
      <c r="X214" s="140"/>
      <c r="Y214" s="140"/>
      <c r="Z214" s="141"/>
      <c r="AA214" s="139" t="str">
        <f t="shared" si="381"/>
        <v/>
      </c>
      <c r="AB214" s="140"/>
      <c r="AC214" s="140"/>
      <c r="AD214" s="141"/>
      <c r="AE214" s="142">
        <f t="shared" si="382"/>
        <v>0</v>
      </c>
      <c r="AF214" s="143">
        <f t="shared" si="306"/>
        <v>0</v>
      </c>
      <c r="AG214" s="144">
        <f t="shared" si="383"/>
        <v>0</v>
      </c>
      <c r="AH214" s="76" t="str">
        <f t="shared" si="384"/>
        <v/>
      </c>
      <c r="AI214" s="143">
        <f> ( IF(ISNUMBER(G214), VLOOKUP(G214/$AH214,F!$A1:$B101,2,1)*G214*$H214*$I214,0)+IF(ISNUMBER(K214), VLOOKUP(K214/$AH214,F!$A1:$B101,2,1)*K214*$L214*$M214,0)+IF(ISNUMBER(O214), VLOOKUP(O214/$AH214,F!$A1:$B101,2,1)*O214*$P214*$Q214,0)+IF(ISNUMBER(S214), VLOOKUP(S214/$AH214,F!$A1:$B101,2,1)*S214*$T214*$U214,0)+IF(ISNUMBER(W214), VLOOKUP(W214/$AH214,F!$A1:$B101,2,1)*W214*$X214*$Y214,0)+IF(ISNUMBER(AA214), VLOOKUP(AA214/$AH214,F!$A1:$B101,2,1)*AA214*$AB214*$AC214,0))*IF(ISNUMBER(F214),F214,1)*IF(ISNUMBER(E214),E214,1)</f>
        <v>0</v>
      </c>
      <c r="AJ214" s="140">
        <f t="shared" si="385"/>
        <v>0</v>
      </c>
      <c r="AK214" s="145">
        <f t="array" ref="AK214">IFERROR(I214*INDEX(F!$P$21:$AB$33, MATCH(G214/$AH214, F!$O$21:$O$33,1), MATCH(E214, F!$P$20:$AB$20,1)), 0 ) +IFERROR( M214*INDEX(F!$P$21:$AB$33, MATCH(K214/$AH214, F!$O$21:$O$33,1), MATCH(E214, F!$P$20:$AB$20,1)),0) +  IFERROR( Q214*INDEX(F!$P$21:$AB$33, MATCH(O214/$AH214, F!$O$21:$O$33,1), MATCH(E214, F!$P$20:$AB$20,1)), 0) + IFERROR( U214*INDEX(F!$P$21:$AB$33, MATCH(S214/$AH214, F!$O$21:$O$33,1), MATCH(E214, F!$P$20:$AB$20,1)),0)  + IFERROR(Y214*INDEX(F!$P$21:$AB$33, MATCH(W214/$AH214, F!$O$21:$O$33,1), MATCH(E214, F!$P$20:$AB$20,1)),0)  + IFERROR( AC214*INDEX(F!$P$21:$AB$33, MATCH(AA214/$AH214, F!$O$21:$O$33,1), MATCH(E214, F!$P$20:$AB$20,1)),)</f>
        <v>0</v>
      </c>
      <c r="AL214" s="59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ht="15.75" hidden="1" customHeight="1">
      <c r="A215" s="59"/>
      <c r="B215" s="126" t="str">
        <f t="shared" ref="B215:F215" si="391">IF(B159="","",B159)</f>
        <v/>
      </c>
      <c r="C215" s="127" t="str">
        <f t="shared" si="391"/>
        <v/>
      </c>
      <c r="D215" s="128" t="str">
        <f t="shared" si="391"/>
        <v/>
      </c>
      <c r="E215" s="48" t="str">
        <f t="shared" si="391"/>
        <v/>
      </c>
      <c r="F215" s="129" t="str">
        <f t="shared" si="391"/>
        <v/>
      </c>
      <c r="G215" s="130" t="str">
        <f t="shared" si="376"/>
        <v/>
      </c>
      <c r="H215" s="34"/>
      <c r="I215" s="34"/>
      <c r="J215" s="65"/>
      <c r="K215" s="130" t="str">
        <f t="shared" si="377"/>
        <v/>
      </c>
      <c r="L215" s="34"/>
      <c r="M215" s="34"/>
      <c r="N215" s="65"/>
      <c r="O215" s="130" t="str">
        <f t="shared" si="378"/>
        <v/>
      </c>
      <c r="P215" s="34"/>
      <c r="Q215" s="34"/>
      <c r="R215" s="65"/>
      <c r="S215" s="130" t="str">
        <f t="shared" si="379"/>
        <v/>
      </c>
      <c r="T215" s="34"/>
      <c r="U215" s="34"/>
      <c r="V215" s="65"/>
      <c r="W215" s="130" t="str">
        <f t="shared" si="380"/>
        <v/>
      </c>
      <c r="X215" s="34"/>
      <c r="Y215" s="34"/>
      <c r="Z215" s="65"/>
      <c r="AA215" s="130" t="str">
        <f t="shared" si="381"/>
        <v/>
      </c>
      <c r="AB215" s="34"/>
      <c r="AC215" s="34"/>
      <c r="AD215" s="65"/>
      <c r="AE215" s="131">
        <f t="shared" si="382"/>
        <v>0</v>
      </c>
      <c r="AF215" s="132">
        <f t="shared" si="306"/>
        <v>0</v>
      </c>
      <c r="AG215" s="133">
        <f t="shared" si="383"/>
        <v>0</v>
      </c>
      <c r="AH215" s="76" t="str">
        <f t="shared" si="384"/>
        <v/>
      </c>
      <c r="AI215" s="132">
        <f> ( IF(ISNUMBER(G215), VLOOKUP(G215/$AH215,F!$A1:$B101,2,1)*G215*$H215*$I215,0)+IF(ISNUMBER(K215), VLOOKUP(K215/$AH215,F!$A1:$B101,2,1)*K215*$L215*$M215,0)+IF(ISNUMBER(O215), VLOOKUP(O215/$AH215,F!$A1:$B101,2,1)*O215*$P215*$Q215,0)+IF(ISNUMBER(S215), VLOOKUP(S215/$AH215,F!$A1:$B101,2,1)*S215*$T215*$U215,0)+IF(ISNUMBER(W215), VLOOKUP(W215/$AH215,F!$A1:$B101,2,1)*W215*$X215*$Y215,0)+IF(ISNUMBER(AA215), VLOOKUP(AA215/$AH215,F!$A1:$B101,2,1)*AA215*$AB215*$AC215,0))*IF(ISNUMBER(F215),F215,1)*IF(ISNUMBER(E215),E215,1)</f>
        <v>0</v>
      </c>
      <c r="AJ215" s="34">
        <f t="shared" si="385"/>
        <v>0</v>
      </c>
      <c r="AK215" s="134">
        <f t="array" ref="AK215">IFERROR(I215*INDEX(F!$P$21:$AB$33, MATCH(G215/$AH215, F!$O$21:$O$33,1), MATCH(E215, F!$P$20:$AB$20,1)), 0 ) +IFERROR( M215*INDEX(F!$P$21:$AB$33, MATCH(K215/$AH215, F!$O$21:$O$33,1), MATCH(E215, F!$P$20:$AB$20,1)),0) +  IFERROR( Q215*INDEX(F!$P$21:$AB$33, MATCH(O215/$AH215, F!$O$21:$O$33,1), MATCH(E215, F!$P$20:$AB$20,1)), 0) + IFERROR( U215*INDEX(F!$P$21:$AB$33, MATCH(S215/$AH215, F!$O$21:$O$33,1), MATCH(E215, F!$P$20:$AB$20,1)),0)  + IFERROR(Y215*INDEX(F!$P$21:$AB$33, MATCH(W215/$AH215, F!$O$21:$O$33,1), MATCH(E215, F!$P$20:$AB$20,1)),0)  + IFERROR( AC215*INDEX(F!$P$21:$AB$33, MATCH(AA215/$AH215, F!$O$21:$O$33,1), MATCH(E215, F!$P$20:$AB$20,1)),)</f>
        <v>0</v>
      </c>
      <c r="AL215" s="59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ht="15.0" hidden="1" customHeight="1">
      <c r="A216" s="98"/>
      <c r="B216" s="150"/>
      <c r="C216" s="151"/>
      <c r="D216" s="152"/>
      <c r="E216" s="102">
        <f>ROUND(IFERROR(SUMPRODUCT(AJ208:AJ215,E208:E215)/AJ216,0),3)</f>
        <v>0</v>
      </c>
      <c r="F216" s="153"/>
      <c r="G216" s="154"/>
      <c r="H216" s="155"/>
      <c r="I216" s="155"/>
      <c r="J216" s="156"/>
      <c r="K216" s="154"/>
      <c r="L216" s="155"/>
      <c r="M216" s="155"/>
      <c r="N216" s="156"/>
      <c r="O216" s="154"/>
      <c r="P216" s="155"/>
      <c r="Q216" s="155"/>
      <c r="R216" s="156"/>
      <c r="S216" s="154"/>
      <c r="T216" s="155"/>
      <c r="U216" s="155"/>
      <c r="V216" s="156"/>
      <c r="W216" s="154"/>
      <c r="X216" s="155"/>
      <c r="Y216" s="155"/>
      <c r="Z216" s="156"/>
      <c r="AA216" s="154"/>
      <c r="AB216" s="155"/>
      <c r="AC216" s="155"/>
      <c r="AD216" s="156"/>
      <c r="AE216" s="107">
        <f>SUM(AE208:AE215)</f>
        <v>0</v>
      </c>
      <c r="AF216" s="108">
        <f t="shared" si="306"/>
        <v>0</v>
      </c>
      <c r="AG216" s="109">
        <f>IFERROR(  SUMPRODUCT(AG208:AG215,AJ208:AJ215)/AJ216,0)</f>
        <v>0</v>
      </c>
      <c r="AH216" s="157"/>
      <c r="AI216" s="111">
        <f t="shared" ref="AI216:AJ216" si="392">SUM(AI208:AI215)</f>
        <v>0</v>
      </c>
      <c r="AJ216" s="111">
        <f t="shared" si="392"/>
        <v>0</v>
      </c>
      <c r="AK216" s="112">
        <f>IF(SUM(AK208:AK215)=0,TIME(,0,),TIME(,SUM(AK208:AK215)+F!$V$37,))</f>
        <v>0</v>
      </c>
      <c r="AL216" s="98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ht="15.75" hidden="1" customHeight="1">
      <c r="A217" s="158">
        <f>A218</f>
        <v>43808</v>
      </c>
      <c r="B217" s="159" t="str">
        <f t="shared" ref="B217:F217" si="393">IF(B161="","",B161)</f>
        <v/>
      </c>
      <c r="C217" s="160" t="str">
        <f t="shared" si="393"/>
        <v/>
      </c>
      <c r="D217" s="161" t="str">
        <f t="shared" si="393"/>
        <v/>
      </c>
      <c r="E217" s="29" t="str">
        <f t="shared" si="393"/>
        <v/>
      </c>
      <c r="F217" s="162" t="str">
        <f t="shared" si="393"/>
        <v/>
      </c>
      <c r="G217" s="163" t="str">
        <f t="shared" ref="G217:G224" si="395">IF(J217&lt;&gt;0, IFERROR(IF( $F217=2,  MROUND($AH217*J217,1),    IF( OR($F217="",$F217=1),   MROUND($AH217*J217,2.5),  MROUND($AH217*J217, 0.1))), "" ), "")</f>
        <v/>
      </c>
      <c r="H217" s="164"/>
      <c r="I217" s="164"/>
      <c r="J217" s="165"/>
      <c r="K217" s="163" t="str">
        <f t="shared" ref="K217:K224" si="396">IF(N217&lt;&gt;0, IFERROR(IF( $F217=2,  MROUND($AH217*N217,1),    IF( OR($F217="",$F217=1),   MROUND($AH217*N217,2.5),  MROUND($AH217*N217, 0.1))), "" ), "")</f>
        <v/>
      </c>
      <c r="L217" s="164"/>
      <c r="M217" s="164"/>
      <c r="N217" s="165"/>
      <c r="O217" s="163" t="str">
        <f t="shared" ref="O217:O224" si="397">IF(R217&lt;&gt;0, IFERROR(IF( $F217=2,  MROUND($AH217*R217,1),    IF( OR($F217="",$F217=1),   MROUND($AH217*R217,2.5),  MROUND($AH217*R217, 0.1))), "" ), "")</f>
        <v/>
      </c>
      <c r="P217" s="164"/>
      <c r="Q217" s="164"/>
      <c r="R217" s="165"/>
      <c r="S217" s="163" t="str">
        <f t="shared" ref="S217:S224" si="398">IF(V217&lt;&gt;0, IFERROR(IF( $F217=2,  MROUND($AH217*V217,1),    IF( OR($F217="",$F217=1),   MROUND($AH217*V217,2.5),  MROUND($AH217*V217, 0.1))), "" ), "")</f>
        <v/>
      </c>
      <c r="T217" s="164"/>
      <c r="U217" s="164"/>
      <c r="V217" s="165"/>
      <c r="W217" s="163" t="str">
        <f t="shared" ref="W217:W224" si="399">IF(Z217&lt;&gt;0, IFERROR(IF( $F217=2,  MROUND($AH217*Z217,1),    IF( OR($F217="",$F217=1),   MROUND($AH217*Z217,2.5),  MROUND($AH217*Z217, 0.1))), "" ), "")</f>
        <v/>
      </c>
      <c r="X217" s="164"/>
      <c r="Y217" s="164"/>
      <c r="Z217" s="165"/>
      <c r="AA217" s="163" t="str">
        <f t="shared" ref="AA217:AA224" si="400">IF(AD217&lt;&gt;0, IFERROR(IF( $F217=2,  MROUND($AH217*AD217,1),    IF( OR($F217="",$F217=1),   MROUND($AH217*AD217,2.5),  MROUND($AH217*AD217, 0.1))), "" ), "")</f>
        <v/>
      </c>
      <c r="AB217" s="164"/>
      <c r="AC217" s="164"/>
      <c r="AD217" s="165"/>
      <c r="AE217" s="166">
        <f t="shared" ref="AE217:AE224" si="401">(IF(ISNUMBER(G217),G217,0)*H217*I217+IF(ISNUMBER(K217),K217,1)*L217*M217+IF(ISNUMBER(O217),O217,1)*P217*Q217+IF(ISNUMBER(S217),S217,1)*T217*U217+IF(ISNUMBER(W217),W217,1)*X217*Y217+IF(ISNUMBER(AA217),AA217,1)*AB217*AC217)*IF(ISNUMBER(F217),F217,1)</f>
        <v>0</v>
      </c>
      <c r="AF217" s="167">
        <f t="shared" si="306"/>
        <v>0</v>
      </c>
      <c r="AG217" s="168">
        <f t="shared" ref="AG217:AG224" si="402">IFERROR((AF217/(AH217*IF(ISNUMBER(F217),F217,1))),0)</f>
        <v>0</v>
      </c>
      <c r="AH217" s="169" t="str">
        <f t="shared" ref="AH217:AH224" si="403">IF(ISNUMBER(AH161), AH161+(AH161*$AH$170),"")</f>
        <v/>
      </c>
      <c r="AI217" s="167">
        <f> ( IF(ISNUMBER(G217), VLOOKUP(G217/$AH217,F!$A1:$B101,2,1)*G217*$H217*$I217,0)+IF(ISNUMBER(K217), VLOOKUP(K217/$AH217,F!$A1:$B101,2,1)*K217*$L217*$M217,0)+IF(ISNUMBER(O217), VLOOKUP(O217/$AH217,F!$A1:$B101,2,1)*O217*$P217*$Q217,0)+IF(ISNUMBER(S217), VLOOKUP(S217/$AH217,F!$A1:$B101,2,1)*S217*$T217*$U217,0)+IF(ISNUMBER(W217), VLOOKUP(W217/$AH217,F!$A1:$B101,2,1)*W217*$X217*$Y217,0)+IF(ISNUMBER(AA217), VLOOKUP(AA217/$AH217,F!$A1:$B101,2,1)*AA217*$AB217*$AC217,0))*IF(ISNUMBER(F217),F217,1)*IF(ISNUMBER(E217),E217,1)</f>
        <v>0</v>
      </c>
      <c r="AJ217" s="164">
        <f t="shared" ref="AJ217:AJ224" si="404">H217*I217+L217*M217+P217*Q217+T217*U217+X217*Y217+AB217*AC217</f>
        <v>0</v>
      </c>
      <c r="AK217" s="170">
        <f t="array" ref="AK217">IFERROR(I217*INDEX(F!$P$21:$AB$33, MATCH(G217/$AH217, F!$O$21:$O$33,1), MATCH(E217, F!$P$20:$AB$20,1)), 0 ) +IFERROR( M217*INDEX(F!$P$21:$AB$33, MATCH(K217/$AH217, F!$O$21:$O$33,1), MATCH(E217, F!$P$20:$AB$20,1)),0) +  IFERROR( Q217*INDEX(F!$P$21:$AB$33, MATCH(O217/$AH217, F!$O$21:$O$33,1), MATCH(E217, F!$P$20:$AB$20,1)), 0) + IFERROR( U217*INDEX(F!$P$21:$AB$33, MATCH(S217/$AH217, F!$O$21:$O$33,1), MATCH(E217, F!$P$20:$AB$20,1)),0)  + IFERROR(Y217*INDEX(F!$P$21:$AB$33, MATCH(W217/$AH217, F!$O$21:$O$33,1), MATCH(E217, F!$P$20:$AB$20,1)),0)  + IFERROR( AC217*INDEX(F!$P$21:$AB$33, MATCH(AA217/$AH217, F!$O$21:$O$33,1), MATCH(E217, F!$P$20:$AB$20,1)),)</f>
        <v>0</v>
      </c>
      <c r="AL217" s="42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ht="15.75" hidden="1" customHeight="1">
      <c r="A218" s="44">
        <f>A162+A114</f>
        <v>43808</v>
      </c>
      <c r="B218" s="135" t="str">
        <f t="shared" ref="B218:F218" si="394">IF(B162="","",B162)</f>
        <v/>
      </c>
      <c r="C218" s="136" t="str">
        <f t="shared" si="394"/>
        <v/>
      </c>
      <c r="D218" s="137" t="str">
        <f t="shared" si="394"/>
        <v/>
      </c>
      <c r="E218" s="48" t="str">
        <f t="shared" si="394"/>
        <v/>
      </c>
      <c r="F218" s="138" t="str">
        <f t="shared" si="394"/>
        <v/>
      </c>
      <c r="G218" s="139" t="str">
        <f t="shared" si="395"/>
        <v/>
      </c>
      <c r="H218" s="140"/>
      <c r="I218" s="140"/>
      <c r="J218" s="141"/>
      <c r="K218" s="139" t="str">
        <f t="shared" si="396"/>
        <v/>
      </c>
      <c r="L218" s="140"/>
      <c r="M218" s="140"/>
      <c r="N218" s="141"/>
      <c r="O218" s="139" t="str">
        <f t="shared" si="397"/>
        <v/>
      </c>
      <c r="P218" s="140"/>
      <c r="Q218" s="140"/>
      <c r="R218" s="141"/>
      <c r="S218" s="139" t="str">
        <f t="shared" si="398"/>
        <v/>
      </c>
      <c r="T218" s="140"/>
      <c r="U218" s="140"/>
      <c r="V218" s="141"/>
      <c r="W218" s="139" t="str">
        <f t="shared" si="399"/>
        <v/>
      </c>
      <c r="X218" s="140"/>
      <c r="Y218" s="140"/>
      <c r="Z218" s="141"/>
      <c r="AA218" s="139" t="str">
        <f t="shared" si="400"/>
        <v/>
      </c>
      <c r="AB218" s="140"/>
      <c r="AC218" s="140"/>
      <c r="AD218" s="141"/>
      <c r="AE218" s="142">
        <f t="shared" si="401"/>
        <v>0</v>
      </c>
      <c r="AF218" s="143">
        <f t="shared" si="306"/>
        <v>0</v>
      </c>
      <c r="AG218" s="144">
        <f t="shared" si="402"/>
        <v>0</v>
      </c>
      <c r="AH218" s="76" t="str">
        <f t="shared" si="403"/>
        <v/>
      </c>
      <c r="AI218" s="143">
        <f> ( IF(ISNUMBER(G218), VLOOKUP(G218/$AH218,F!$A1:$B101,2,1)*G218*$H218*$I218,0)+IF(ISNUMBER(K218), VLOOKUP(K218/$AH218,F!$A1:$B101,2,1)*K218*$L218*$M218,0)+IF(ISNUMBER(O218), VLOOKUP(O218/$AH218,F!$A1:$B101,2,1)*O218*$P218*$Q218,0)+IF(ISNUMBER(S218), VLOOKUP(S218/$AH218,F!$A1:$B101,2,1)*S218*$T218*$U218,0)+IF(ISNUMBER(W218), VLOOKUP(W218/$AH218,F!$A1:$B101,2,1)*W218*$X218*$Y218,0)+IF(ISNUMBER(AA218), VLOOKUP(AA218/$AH218,F!$A1:$B101,2,1)*AA218*$AB218*$AC218,0))*IF(ISNUMBER(F218),F218,1)*IF(ISNUMBER(E218),E218,1)</f>
        <v>0</v>
      </c>
      <c r="AJ218" s="140">
        <f t="shared" si="404"/>
        <v>0</v>
      </c>
      <c r="AK218" s="145">
        <f t="array" ref="AK218">IFERROR(I218*INDEX(F!$P$21:$AB$33, MATCH(G218/$AH218, F!$O$21:$O$33,1), MATCH(E218, F!$P$20:$AB$20,1)), 0 ) +IFERROR( M218*INDEX(F!$P$21:$AB$33, MATCH(K218/$AH218, F!$O$21:$O$33,1), MATCH(E218, F!$P$20:$AB$20,1)),0) +  IFERROR( Q218*INDEX(F!$P$21:$AB$33, MATCH(O218/$AH218, F!$O$21:$O$33,1), MATCH(E218, F!$P$20:$AB$20,1)), 0) + IFERROR( U218*INDEX(F!$P$21:$AB$33, MATCH(S218/$AH218, F!$O$21:$O$33,1), MATCH(E218, F!$P$20:$AB$20,1)),0)  + IFERROR(Y218*INDEX(F!$P$21:$AB$33, MATCH(W218/$AH218, F!$O$21:$O$33,1), MATCH(E218, F!$P$20:$AB$20,1)),0)  + IFERROR( AC218*INDEX(F!$P$21:$AB$33, MATCH(AA218/$AH218, F!$O$21:$O$33,1), MATCH(E218, F!$P$20:$AB$20,1)),)</f>
        <v>0</v>
      </c>
      <c r="AL218" s="59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ht="15.75" hidden="1" customHeight="1">
      <c r="A219" s="59"/>
      <c r="B219" s="173" t="str">
        <f t="shared" ref="B219:F219" si="405">IF(B163="","",B163)</f>
        <v/>
      </c>
      <c r="C219" s="174" t="str">
        <f t="shared" si="405"/>
        <v/>
      </c>
      <c r="D219" s="175" t="str">
        <f t="shared" si="405"/>
        <v/>
      </c>
      <c r="E219" s="48" t="str">
        <f t="shared" si="405"/>
        <v/>
      </c>
      <c r="F219" s="176" t="str">
        <f t="shared" si="405"/>
        <v/>
      </c>
      <c r="G219" s="177" t="str">
        <f t="shared" si="395"/>
        <v/>
      </c>
      <c r="H219" s="178"/>
      <c r="I219" s="178"/>
      <c r="J219" s="179"/>
      <c r="K219" s="177" t="str">
        <f t="shared" si="396"/>
        <v/>
      </c>
      <c r="L219" s="178"/>
      <c r="M219" s="178"/>
      <c r="N219" s="179"/>
      <c r="O219" s="177" t="str">
        <f t="shared" si="397"/>
        <v/>
      </c>
      <c r="P219" s="178"/>
      <c r="Q219" s="178"/>
      <c r="R219" s="179"/>
      <c r="S219" s="177" t="str">
        <f t="shared" si="398"/>
        <v/>
      </c>
      <c r="T219" s="178"/>
      <c r="U219" s="178"/>
      <c r="V219" s="179"/>
      <c r="W219" s="177" t="str">
        <f t="shared" si="399"/>
        <v/>
      </c>
      <c r="X219" s="178"/>
      <c r="Y219" s="178"/>
      <c r="Z219" s="179"/>
      <c r="AA219" s="177" t="str">
        <f t="shared" si="400"/>
        <v/>
      </c>
      <c r="AB219" s="178"/>
      <c r="AC219" s="178"/>
      <c r="AD219" s="179"/>
      <c r="AE219" s="180">
        <f t="shared" si="401"/>
        <v>0</v>
      </c>
      <c r="AF219" s="181">
        <f t="shared" si="306"/>
        <v>0</v>
      </c>
      <c r="AG219" s="182">
        <f t="shared" si="402"/>
        <v>0</v>
      </c>
      <c r="AH219" s="76" t="str">
        <f t="shared" si="403"/>
        <v/>
      </c>
      <c r="AI219" s="181">
        <f> ( IF(ISNUMBER(G219), VLOOKUP(G219/$AH219,F!$A1:$B101,2,1)*G219*$H219*$I219,0)+IF(ISNUMBER(K219), VLOOKUP(K219/$AH219,F!$A1:$B101,2,1)*K219*$L219*$M219,0)+IF(ISNUMBER(O219), VLOOKUP(O219/$AH219,F!$A1:$B101,2,1)*O219*$P219*$Q219,0)+IF(ISNUMBER(S219), VLOOKUP(S219/$AH219,F!$A1:$B101,2,1)*S219*$T219*$U219,0)+IF(ISNUMBER(W219), VLOOKUP(W219/$AH219,F!$A1:$B101,2,1)*W219*$X219*$Y219,0)+IF(ISNUMBER(AA219), VLOOKUP(AA219/$AH219,F!$A1:$B101,2,1)*AA219*$AB219*$AC219,0))*IF(ISNUMBER(F219),F219,1)*IF(ISNUMBER(E219),E219,1)</f>
        <v>0</v>
      </c>
      <c r="AJ219" s="178">
        <f t="shared" si="404"/>
        <v>0</v>
      </c>
      <c r="AK219" s="183">
        <f t="array" ref="AK219">IFERROR(I219*INDEX(F!$P$21:$AB$33, MATCH(G219/$AH219, F!$O$21:$O$33,1), MATCH(E219, F!$P$20:$AB$20,1)), 0 ) +IFERROR( M219*INDEX(F!$P$21:$AB$33, MATCH(K219/$AH219, F!$O$21:$O$33,1), MATCH(E219, F!$P$20:$AB$20,1)),0) +  IFERROR( Q219*INDEX(F!$P$21:$AB$33, MATCH(O219/$AH219, F!$O$21:$O$33,1), MATCH(E219, F!$P$20:$AB$20,1)), 0) + IFERROR( U219*INDEX(F!$P$21:$AB$33, MATCH(S219/$AH219, F!$O$21:$O$33,1), MATCH(E219, F!$P$20:$AB$20,1)),0)  + IFERROR(Y219*INDEX(F!$P$21:$AB$33, MATCH(W219/$AH219, F!$O$21:$O$33,1), MATCH(E219, F!$P$20:$AB$20,1)),0)  + IFERROR( AC219*INDEX(F!$P$21:$AB$33, MATCH(AA219/$AH219, F!$O$21:$O$33,1), MATCH(E219, F!$P$20:$AB$20,1)),)</f>
        <v>0</v>
      </c>
      <c r="AL219" s="59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ht="15.75" hidden="1" customHeight="1">
      <c r="A220" s="59"/>
      <c r="B220" s="135" t="str">
        <f t="shared" ref="B220:F220" si="406">IF(B164="","",B164)</f>
        <v/>
      </c>
      <c r="C220" s="136" t="str">
        <f t="shared" si="406"/>
        <v/>
      </c>
      <c r="D220" s="137" t="str">
        <f t="shared" si="406"/>
        <v/>
      </c>
      <c r="E220" s="48" t="str">
        <f t="shared" si="406"/>
        <v/>
      </c>
      <c r="F220" s="138" t="str">
        <f t="shared" si="406"/>
        <v/>
      </c>
      <c r="G220" s="139" t="str">
        <f t="shared" si="395"/>
        <v/>
      </c>
      <c r="H220" s="140"/>
      <c r="I220" s="140"/>
      <c r="J220" s="141"/>
      <c r="K220" s="139" t="str">
        <f t="shared" si="396"/>
        <v/>
      </c>
      <c r="L220" s="140"/>
      <c r="M220" s="140"/>
      <c r="N220" s="141"/>
      <c r="O220" s="139" t="str">
        <f t="shared" si="397"/>
        <v/>
      </c>
      <c r="P220" s="140"/>
      <c r="Q220" s="140"/>
      <c r="R220" s="141"/>
      <c r="S220" s="139" t="str">
        <f t="shared" si="398"/>
        <v/>
      </c>
      <c r="T220" s="140"/>
      <c r="U220" s="140"/>
      <c r="V220" s="141"/>
      <c r="W220" s="139" t="str">
        <f t="shared" si="399"/>
        <v/>
      </c>
      <c r="X220" s="140"/>
      <c r="Y220" s="140"/>
      <c r="Z220" s="141"/>
      <c r="AA220" s="139" t="str">
        <f t="shared" si="400"/>
        <v/>
      </c>
      <c r="AB220" s="140"/>
      <c r="AC220" s="140"/>
      <c r="AD220" s="141"/>
      <c r="AE220" s="142">
        <f t="shared" si="401"/>
        <v>0</v>
      </c>
      <c r="AF220" s="143">
        <f t="shared" si="306"/>
        <v>0</v>
      </c>
      <c r="AG220" s="144">
        <f t="shared" si="402"/>
        <v>0</v>
      </c>
      <c r="AH220" s="76" t="str">
        <f t="shared" si="403"/>
        <v/>
      </c>
      <c r="AI220" s="143">
        <f> ( IF(ISNUMBER(G220), VLOOKUP(G220/$AH220,F!$A1:$B101,2,1)*G220*$H220*$I220,0)+IF(ISNUMBER(K220), VLOOKUP(K220/$AH220,F!$A1:$B101,2,1)*K220*$L220*$M220,0)+IF(ISNUMBER(O220), VLOOKUP(O220/$AH220,F!$A1:$B101,2,1)*O220*$P220*$Q220,0)+IF(ISNUMBER(S220), VLOOKUP(S220/$AH220,F!$A1:$B101,2,1)*S220*$T220*$U220,0)+IF(ISNUMBER(W220), VLOOKUP(W220/$AH220,F!$A1:$B101,2,1)*W220*$X220*$Y220,0)+IF(ISNUMBER(AA220), VLOOKUP(AA220/$AH220,F!$A1:$B101,2,1)*AA220*$AB220*$AC220,0))*IF(ISNUMBER(F220),F220,1)*IF(ISNUMBER(E220),E220,1)</f>
        <v>0</v>
      </c>
      <c r="AJ220" s="140">
        <f t="shared" si="404"/>
        <v>0</v>
      </c>
      <c r="AK220" s="145">
        <f t="array" ref="AK220">IFERROR(I220*INDEX(F!$P$21:$AB$33, MATCH(G220/$AH220, F!$O$21:$O$33,1), MATCH(E220, F!$P$20:$AB$20,1)), 0 ) +IFERROR( M220*INDEX(F!$P$21:$AB$33, MATCH(K220/$AH220, F!$O$21:$O$33,1), MATCH(E220, F!$P$20:$AB$20,1)),0) +  IFERROR( Q220*INDEX(F!$P$21:$AB$33, MATCH(O220/$AH220, F!$O$21:$O$33,1), MATCH(E220, F!$P$20:$AB$20,1)), 0) + IFERROR( U220*INDEX(F!$P$21:$AB$33, MATCH(S220/$AH220, F!$O$21:$O$33,1), MATCH(E220, F!$P$20:$AB$20,1)),0)  + IFERROR(Y220*INDEX(F!$P$21:$AB$33, MATCH(W220/$AH220, F!$O$21:$O$33,1), MATCH(E220, F!$P$20:$AB$20,1)),0)  + IFERROR( AC220*INDEX(F!$P$21:$AB$33, MATCH(AA220/$AH220, F!$O$21:$O$33,1), MATCH(E220, F!$P$20:$AB$20,1)),)</f>
        <v>0</v>
      </c>
      <c r="AL220" s="59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ht="15.75" hidden="1" customHeight="1">
      <c r="A221" s="59"/>
      <c r="B221" s="173" t="str">
        <f t="shared" ref="B221:F221" si="407">IF(B165="","",B165)</f>
        <v/>
      </c>
      <c r="C221" s="174" t="str">
        <f t="shared" si="407"/>
        <v/>
      </c>
      <c r="D221" s="175" t="str">
        <f t="shared" si="407"/>
        <v/>
      </c>
      <c r="E221" s="48" t="str">
        <f t="shared" si="407"/>
        <v/>
      </c>
      <c r="F221" s="176" t="str">
        <f t="shared" si="407"/>
        <v/>
      </c>
      <c r="G221" s="177" t="str">
        <f t="shared" si="395"/>
        <v/>
      </c>
      <c r="H221" s="178"/>
      <c r="I221" s="178"/>
      <c r="J221" s="179"/>
      <c r="K221" s="177" t="str">
        <f t="shared" si="396"/>
        <v/>
      </c>
      <c r="L221" s="178"/>
      <c r="M221" s="178"/>
      <c r="N221" s="179"/>
      <c r="O221" s="177" t="str">
        <f t="shared" si="397"/>
        <v/>
      </c>
      <c r="P221" s="178"/>
      <c r="Q221" s="178"/>
      <c r="R221" s="179"/>
      <c r="S221" s="177" t="str">
        <f t="shared" si="398"/>
        <v/>
      </c>
      <c r="T221" s="178"/>
      <c r="U221" s="178"/>
      <c r="V221" s="179"/>
      <c r="W221" s="177" t="str">
        <f t="shared" si="399"/>
        <v/>
      </c>
      <c r="X221" s="178"/>
      <c r="Y221" s="178"/>
      <c r="Z221" s="179"/>
      <c r="AA221" s="177" t="str">
        <f t="shared" si="400"/>
        <v/>
      </c>
      <c r="AB221" s="178"/>
      <c r="AC221" s="178"/>
      <c r="AD221" s="179"/>
      <c r="AE221" s="180">
        <f t="shared" si="401"/>
        <v>0</v>
      </c>
      <c r="AF221" s="181">
        <f t="shared" si="306"/>
        <v>0</v>
      </c>
      <c r="AG221" s="182">
        <f t="shared" si="402"/>
        <v>0</v>
      </c>
      <c r="AH221" s="76" t="str">
        <f t="shared" si="403"/>
        <v/>
      </c>
      <c r="AI221" s="181">
        <f> ( IF(ISNUMBER(G221), VLOOKUP(G221/$AH221,F!$A1:$B101,2,1)*G221*$H221*$I221,0)+IF(ISNUMBER(K221), VLOOKUP(K221/$AH221,F!$A1:$B101,2,1)*K221*$L221*$M221,0)+IF(ISNUMBER(O221), VLOOKUP(O221/$AH221,F!$A1:$B101,2,1)*O221*$P221*$Q221,0)+IF(ISNUMBER(S221), VLOOKUP(S221/$AH221,F!$A1:$B101,2,1)*S221*$T221*$U221,0)+IF(ISNUMBER(W221), VLOOKUP(W221/$AH221,F!$A1:$B101,2,1)*W221*$X221*$Y221,0)+IF(ISNUMBER(AA221), VLOOKUP(AA221/$AH221,F!$A1:$B101,2,1)*AA221*$AB221*$AC221,0))*IF(ISNUMBER(F221),F221,1)*IF(ISNUMBER(E221),E221,1)</f>
        <v>0</v>
      </c>
      <c r="AJ221" s="178">
        <f t="shared" si="404"/>
        <v>0</v>
      </c>
      <c r="AK221" s="183">
        <f t="array" ref="AK221">IFERROR(I221*INDEX(F!$P$21:$AB$33, MATCH(G221/$AH221, F!$O$21:$O$33,1), MATCH(E221, F!$P$20:$AB$20,1)), 0 ) +IFERROR( M221*INDEX(F!$P$21:$AB$33, MATCH(K221/$AH221, F!$O$21:$O$33,1), MATCH(E221, F!$P$20:$AB$20,1)),0) +  IFERROR( Q221*INDEX(F!$P$21:$AB$33, MATCH(O221/$AH221, F!$O$21:$O$33,1), MATCH(E221, F!$P$20:$AB$20,1)), 0) + IFERROR( U221*INDEX(F!$P$21:$AB$33, MATCH(S221/$AH221, F!$O$21:$O$33,1), MATCH(E221, F!$P$20:$AB$20,1)),0)  + IFERROR(Y221*INDEX(F!$P$21:$AB$33, MATCH(W221/$AH221, F!$O$21:$O$33,1), MATCH(E221, F!$P$20:$AB$20,1)),0)  + IFERROR( AC221*INDEX(F!$P$21:$AB$33, MATCH(AA221/$AH221, F!$O$21:$O$33,1), MATCH(E221, F!$P$20:$AB$20,1)),)</f>
        <v>0</v>
      </c>
      <c r="AL221" s="59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ht="15.75" hidden="1" customHeight="1">
      <c r="A222" s="59"/>
      <c r="B222" s="135" t="str">
        <f t="shared" ref="B222:F222" si="408">IF(B166="","",B166)</f>
        <v/>
      </c>
      <c r="C222" s="136" t="str">
        <f t="shared" si="408"/>
        <v/>
      </c>
      <c r="D222" s="137" t="str">
        <f t="shared" si="408"/>
        <v/>
      </c>
      <c r="E222" s="48" t="str">
        <f t="shared" si="408"/>
        <v/>
      </c>
      <c r="F222" s="138" t="str">
        <f t="shared" si="408"/>
        <v/>
      </c>
      <c r="G222" s="139" t="str">
        <f t="shared" si="395"/>
        <v/>
      </c>
      <c r="H222" s="140"/>
      <c r="I222" s="140"/>
      <c r="J222" s="141"/>
      <c r="K222" s="139" t="str">
        <f t="shared" si="396"/>
        <v/>
      </c>
      <c r="L222" s="140"/>
      <c r="M222" s="140"/>
      <c r="N222" s="141"/>
      <c r="O222" s="139" t="str">
        <f t="shared" si="397"/>
        <v/>
      </c>
      <c r="P222" s="140"/>
      <c r="Q222" s="140"/>
      <c r="R222" s="141"/>
      <c r="S222" s="139" t="str">
        <f t="shared" si="398"/>
        <v/>
      </c>
      <c r="T222" s="140"/>
      <c r="U222" s="140"/>
      <c r="V222" s="141"/>
      <c r="W222" s="139" t="str">
        <f t="shared" si="399"/>
        <v/>
      </c>
      <c r="X222" s="140"/>
      <c r="Y222" s="140"/>
      <c r="Z222" s="141"/>
      <c r="AA222" s="139" t="str">
        <f t="shared" si="400"/>
        <v/>
      </c>
      <c r="AB222" s="140"/>
      <c r="AC222" s="140"/>
      <c r="AD222" s="141"/>
      <c r="AE222" s="142">
        <f t="shared" si="401"/>
        <v>0</v>
      </c>
      <c r="AF222" s="143">
        <f t="shared" si="306"/>
        <v>0</v>
      </c>
      <c r="AG222" s="144">
        <f t="shared" si="402"/>
        <v>0</v>
      </c>
      <c r="AH222" s="76" t="str">
        <f t="shared" si="403"/>
        <v/>
      </c>
      <c r="AI222" s="143">
        <f> ( IF(ISNUMBER(G222), VLOOKUP(G222/$AH222,F!$A1:$B101,2,1)*G222*$H222*$I222,0)+IF(ISNUMBER(K222), VLOOKUP(K222/$AH222,F!$A1:$B101,2,1)*K222*$L222*$M222,0)+IF(ISNUMBER(O222), VLOOKUP(O222/$AH222,F!$A1:$B101,2,1)*O222*$P222*$Q222,0)+IF(ISNUMBER(S222), VLOOKUP(S222/$AH222,F!$A1:$B101,2,1)*S222*$T222*$U222,0)+IF(ISNUMBER(W222), VLOOKUP(W222/$AH222,F!$A1:$B101,2,1)*W222*$X222*$Y222,0)+IF(ISNUMBER(AA222), VLOOKUP(AA222/$AH222,F!$A1:$B101,2,1)*AA222*$AB222*$AC222,0))*IF(ISNUMBER(F222),F222,1)*IF(ISNUMBER(E222),E222,1)</f>
        <v>0</v>
      </c>
      <c r="AJ222" s="140">
        <f t="shared" si="404"/>
        <v>0</v>
      </c>
      <c r="AK222" s="145">
        <f t="array" ref="AK222">IFERROR(I222*INDEX(F!$P$21:$AB$33, MATCH(G222/$AH222, F!$O$21:$O$33,1), MATCH(E222, F!$P$20:$AB$20,1)), 0 ) +IFERROR( M222*INDEX(F!$P$21:$AB$33, MATCH(K222/$AH222, F!$O$21:$O$33,1), MATCH(E222, F!$P$20:$AB$20,1)),0) +  IFERROR( Q222*INDEX(F!$P$21:$AB$33, MATCH(O222/$AH222, F!$O$21:$O$33,1), MATCH(E222, F!$P$20:$AB$20,1)), 0) + IFERROR( U222*INDEX(F!$P$21:$AB$33, MATCH(S222/$AH222, F!$O$21:$O$33,1), MATCH(E222, F!$P$20:$AB$20,1)),0)  + IFERROR(Y222*INDEX(F!$P$21:$AB$33, MATCH(W222/$AH222, F!$O$21:$O$33,1), MATCH(E222, F!$P$20:$AB$20,1)),0)  + IFERROR( AC222*INDEX(F!$P$21:$AB$33, MATCH(AA222/$AH222, F!$O$21:$O$33,1), MATCH(E222, F!$P$20:$AB$20,1)),)</f>
        <v>0</v>
      </c>
      <c r="AL222" s="59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ht="15.0" hidden="1" customHeight="1">
      <c r="A223" s="59"/>
      <c r="B223" s="173" t="str">
        <f t="shared" ref="B223:F223" si="409">IF(B167="","",B167)</f>
        <v/>
      </c>
      <c r="C223" s="174" t="str">
        <f t="shared" si="409"/>
        <v/>
      </c>
      <c r="D223" s="175" t="str">
        <f t="shared" si="409"/>
        <v/>
      </c>
      <c r="E223" s="48" t="str">
        <f t="shared" si="409"/>
        <v/>
      </c>
      <c r="F223" s="176" t="str">
        <f t="shared" si="409"/>
        <v/>
      </c>
      <c r="G223" s="177" t="str">
        <f t="shared" si="395"/>
        <v/>
      </c>
      <c r="H223" s="178"/>
      <c r="I223" s="178"/>
      <c r="J223" s="179"/>
      <c r="K223" s="177" t="str">
        <f t="shared" si="396"/>
        <v/>
      </c>
      <c r="L223" s="178"/>
      <c r="M223" s="178"/>
      <c r="N223" s="179"/>
      <c r="O223" s="177" t="str">
        <f t="shared" si="397"/>
        <v/>
      </c>
      <c r="P223" s="178"/>
      <c r="Q223" s="178"/>
      <c r="R223" s="179"/>
      <c r="S223" s="177" t="str">
        <f t="shared" si="398"/>
        <v/>
      </c>
      <c r="T223" s="178"/>
      <c r="U223" s="178"/>
      <c r="V223" s="179"/>
      <c r="W223" s="177" t="str">
        <f t="shared" si="399"/>
        <v/>
      </c>
      <c r="X223" s="178"/>
      <c r="Y223" s="178"/>
      <c r="Z223" s="179"/>
      <c r="AA223" s="177" t="str">
        <f t="shared" si="400"/>
        <v/>
      </c>
      <c r="AB223" s="178"/>
      <c r="AC223" s="178"/>
      <c r="AD223" s="179"/>
      <c r="AE223" s="180">
        <f t="shared" si="401"/>
        <v>0</v>
      </c>
      <c r="AF223" s="181">
        <f t="shared" si="306"/>
        <v>0</v>
      </c>
      <c r="AG223" s="182">
        <f t="shared" si="402"/>
        <v>0</v>
      </c>
      <c r="AH223" s="76" t="str">
        <f t="shared" si="403"/>
        <v/>
      </c>
      <c r="AI223" s="181">
        <f> ( IF(ISNUMBER(G223), VLOOKUP(G223/$AH223,F!$A1:$B101,2,1)*G223*$H223*$I223,0)+IF(ISNUMBER(K223), VLOOKUP(K223/$AH223,F!$A1:$B101,2,1)*K223*$L223*$M223,0)+IF(ISNUMBER(O223), VLOOKUP(O223/$AH223,F!$A1:$B101,2,1)*O223*$P223*$Q223,0)+IF(ISNUMBER(S223), VLOOKUP(S223/$AH223,F!$A1:$B101,2,1)*S223*$T223*$U223,0)+IF(ISNUMBER(W223), VLOOKUP(W223/$AH223,F!$A1:$B101,2,1)*W223*$X223*$Y223,0)+IF(ISNUMBER(AA223), VLOOKUP(AA223/$AH223,F!$A1:$B101,2,1)*AA223*$AB223*$AC223,0))*IF(ISNUMBER(F223),F223,1)*IF(ISNUMBER(E223),E223,1)</f>
        <v>0</v>
      </c>
      <c r="AJ223" s="178">
        <f t="shared" si="404"/>
        <v>0</v>
      </c>
      <c r="AK223" s="183">
        <f t="array" ref="AK223">IFERROR(I223*INDEX(F!$P$21:$AB$33, MATCH(G223/$AH223, F!$O$21:$O$33,1), MATCH(E223, F!$P$20:$AB$20,1)), 0 ) +IFERROR( M223*INDEX(F!$P$21:$AB$33, MATCH(K223/$AH223, F!$O$21:$O$33,1), MATCH(E223, F!$P$20:$AB$20,1)),0) +  IFERROR( Q223*INDEX(F!$P$21:$AB$33, MATCH(O223/$AH223, F!$O$21:$O$33,1), MATCH(E223, F!$P$20:$AB$20,1)), 0) + IFERROR( U223*INDEX(F!$P$21:$AB$33, MATCH(S223/$AH223, F!$O$21:$O$33,1), MATCH(E223, F!$P$20:$AB$20,1)),0)  + IFERROR(Y223*INDEX(F!$P$21:$AB$33, MATCH(W223/$AH223, F!$O$21:$O$33,1), MATCH(E223, F!$P$20:$AB$20,1)),0)  + IFERROR( AC223*INDEX(F!$P$21:$AB$33, MATCH(AA223/$AH223, F!$O$21:$O$33,1), MATCH(E223, F!$P$20:$AB$20,1)),)</f>
        <v>0</v>
      </c>
      <c r="AL223" s="59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ht="15.75" hidden="1" customHeight="1">
      <c r="A224" s="59"/>
      <c r="B224" s="135" t="str">
        <f t="shared" ref="B224:F224" si="410">IF(B168="","",B168)</f>
        <v/>
      </c>
      <c r="C224" s="136" t="str">
        <f t="shared" si="410"/>
        <v/>
      </c>
      <c r="D224" s="137" t="str">
        <f t="shared" si="410"/>
        <v/>
      </c>
      <c r="E224" s="48" t="str">
        <f t="shared" si="410"/>
        <v/>
      </c>
      <c r="F224" s="138" t="str">
        <f t="shared" si="410"/>
        <v/>
      </c>
      <c r="G224" s="139" t="str">
        <f t="shared" si="395"/>
        <v/>
      </c>
      <c r="H224" s="140"/>
      <c r="I224" s="140"/>
      <c r="J224" s="141"/>
      <c r="K224" s="139" t="str">
        <f t="shared" si="396"/>
        <v/>
      </c>
      <c r="L224" s="140"/>
      <c r="M224" s="140"/>
      <c r="N224" s="141"/>
      <c r="O224" s="139" t="str">
        <f t="shared" si="397"/>
        <v/>
      </c>
      <c r="P224" s="140"/>
      <c r="Q224" s="140"/>
      <c r="R224" s="141"/>
      <c r="S224" s="139" t="str">
        <f t="shared" si="398"/>
        <v/>
      </c>
      <c r="T224" s="140"/>
      <c r="U224" s="140"/>
      <c r="V224" s="141"/>
      <c r="W224" s="139" t="str">
        <f t="shared" si="399"/>
        <v/>
      </c>
      <c r="X224" s="140"/>
      <c r="Y224" s="140"/>
      <c r="Z224" s="141"/>
      <c r="AA224" s="139" t="str">
        <f t="shared" si="400"/>
        <v/>
      </c>
      <c r="AB224" s="140"/>
      <c r="AC224" s="140"/>
      <c r="AD224" s="141"/>
      <c r="AE224" s="142">
        <f t="shared" si="401"/>
        <v>0</v>
      </c>
      <c r="AF224" s="143">
        <f t="shared" si="306"/>
        <v>0</v>
      </c>
      <c r="AG224" s="144">
        <f t="shared" si="402"/>
        <v>0</v>
      </c>
      <c r="AH224" s="76" t="str">
        <f t="shared" si="403"/>
        <v/>
      </c>
      <c r="AI224" s="143">
        <f> ( IF(ISNUMBER(G224), VLOOKUP(G224/$AH224,F!$A1:$B101,2,1)*G224*$H224*$I224,0)+IF(ISNUMBER(K224), VLOOKUP(K224/$AH224,F!$A1:$B101,2,1)*K224*$L224*$M224,0)+IF(ISNUMBER(O224), VLOOKUP(O224/$AH224,F!$A1:$B101,2,1)*O224*$P224*$Q224,0)+IF(ISNUMBER(S224), VLOOKUP(S224/$AH224,F!$A1:$B101,2,1)*S224*$T224*$U224,0)+IF(ISNUMBER(W224), VLOOKUP(W224/$AH224,F!$A1:$B101,2,1)*W224*$X224*$Y224,0)+IF(ISNUMBER(AA224), VLOOKUP(AA224/$AH224,F!$A1:$B101,2,1)*AA224*$AB224*$AC224,0))*IF(ISNUMBER(F224),F224,1)*IF(ISNUMBER(E224),E224,1)</f>
        <v>0</v>
      </c>
      <c r="AJ224" s="140">
        <f t="shared" si="404"/>
        <v>0</v>
      </c>
      <c r="AK224" s="145">
        <f t="array" ref="AK224">IFERROR(I224*INDEX(F!$P$21:$AB$33, MATCH(G224/$AH224, F!$O$21:$O$33,1), MATCH(E224, F!$P$20:$AB$20,1)), 0 ) +IFERROR( M224*INDEX(F!$P$21:$AB$33, MATCH(K224/$AH224, F!$O$21:$O$33,1), MATCH(E224, F!$P$20:$AB$20,1)),0) +  IFERROR( Q224*INDEX(F!$P$21:$AB$33, MATCH(O224/$AH224, F!$O$21:$O$33,1), MATCH(E224, F!$P$20:$AB$20,1)), 0) + IFERROR( U224*INDEX(F!$P$21:$AB$33, MATCH(S224/$AH224, F!$O$21:$O$33,1), MATCH(E224, F!$P$20:$AB$20,1)),0)  + IFERROR(Y224*INDEX(F!$P$21:$AB$33, MATCH(W224/$AH224, F!$O$21:$O$33,1), MATCH(E224, F!$P$20:$AB$20,1)),0)  + IFERROR( AC224*INDEX(F!$P$21:$AB$33, MATCH(AA224/$AH224, F!$O$21:$O$33,1), MATCH(E224, F!$P$20:$AB$20,1)),)</f>
        <v>0</v>
      </c>
      <c r="AL224" s="59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ht="15.75" hidden="1" customHeight="1">
      <c r="A225" s="98"/>
      <c r="B225" s="188"/>
      <c r="C225" s="189"/>
      <c r="D225" s="190"/>
      <c r="E225" s="102">
        <f>ROUND(IFERROR(SUMPRODUCT(AJ217:AJ224,E217:E224)/AJ225,0),3)</f>
        <v>0</v>
      </c>
      <c r="F225" s="191"/>
      <c r="G225" s="201"/>
      <c r="H225" s="193"/>
      <c r="I225" s="193"/>
      <c r="J225" s="194"/>
      <c r="K225" s="201"/>
      <c r="L225" s="193"/>
      <c r="M225" s="193"/>
      <c r="N225" s="194"/>
      <c r="O225" s="201"/>
      <c r="P225" s="193"/>
      <c r="Q225" s="193"/>
      <c r="R225" s="194"/>
      <c r="S225" s="201"/>
      <c r="T225" s="193"/>
      <c r="U225" s="193"/>
      <c r="V225" s="194"/>
      <c r="W225" s="201"/>
      <c r="X225" s="193"/>
      <c r="Y225" s="193"/>
      <c r="Z225" s="194"/>
      <c r="AA225" s="201"/>
      <c r="AB225" s="193"/>
      <c r="AC225" s="193"/>
      <c r="AD225" s="194"/>
      <c r="AE225" s="107">
        <f>SUM(AE217:AE224)</f>
        <v>0</v>
      </c>
      <c r="AF225" s="108">
        <f t="shared" si="306"/>
        <v>0</v>
      </c>
      <c r="AG225" s="109">
        <f>IFERROR(  SUMPRODUCT(AG217:AG224,AJ217:AJ224)/AJ225,0)</f>
        <v>0</v>
      </c>
      <c r="AH225" s="157"/>
      <c r="AI225" s="111">
        <f t="shared" ref="AI225:AJ225" si="411">SUM(AI217:AI224)</f>
        <v>0</v>
      </c>
      <c r="AJ225" s="111">
        <f t="shared" si="411"/>
        <v>0</v>
      </c>
      <c r="AK225" s="112">
        <f>IF(SUM(AK217:AK224)=0,TIME(,0,),TIME(,SUM(AK217:AK224)+F!$V$37,))</f>
        <v>0</v>
      </c>
      <c r="AL225" s="98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ht="15.75" hidden="1" customHeight="1">
      <c r="A226" s="5">
        <f>A170</f>
        <v>7</v>
      </c>
      <c r="B226" s="6"/>
      <c r="C226" s="6"/>
      <c r="D226" s="6"/>
      <c r="E226" s="7">
        <f>IF(AJ226=0,0,(E236*AJ236 + E245*AJ245 + E254*AJ254 + E263*AJ263 + E272*AJ272 + E281*AJ281   ) /AJ226 )</f>
        <v>0</v>
      </c>
      <c r="F226" s="8" t="s">
        <v>0</v>
      </c>
      <c r="G226" s="9"/>
      <c r="H226" s="9"/>
      <c r="I226" s="9"/>
      <c r="J226" s="9"/>
      <c r="K226" s="9"/>
      <c r="L226" s="9"/>
      <c r="M226" s="10"/>
      <c r="N226" s="228">
        <f>N170+1</f>
        <v>5</v>
      </c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3"/>
      <c r="AE226" s="5">
        <f>AE236+AE245+AE254+AE263+AE272+AE281</f>
        <v>0</v>
      </c>
      <c r="AF226" s="229">
        <f t="shared" si="306"/>
        <v>0</v>
      </c>
      <c r="AG226" s="230">
        <f>IF(AJ226=0,0,(AG236*AJ236 + AG245*AJ245 + AG254*AJ254 + AG263*AJ263 + AG272*AJ272 + AG281*AJ281   ) /AJ226 )</f>
        <v>0</v>
      </c>
      <c r="AH226" s="210">
        <f>AH170</f>
        <v>0.02</v>
      </c>
      <c r="AI226" s="5">
        <f t="shared" ref="AI226:AK226" si="412">AI236+AI245+AI254+AI263+AI272+AI281</f>
        <v>0</v>
      </c>
      <c r="AJ226" s="5">
        <f t="shared" si="412"/>
        <v>0</v>
      </c>
      <c r="AK226" s="231">
        <f t="shared" si="412"/>
        <v>0</v>
      </c>
      <c r="AL226" s="218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ht="15.75" hidden="1" customHeight="1">
      <c r="A227" s="19" t="s">
        <v>1</v>
      </c>
      <c r="B227" s="20" t="s">
        <v>2</v>
      </c>
      <c r="C227" s="20" t="s">
        <v>3</v>
      </c>
      <c r="D227" s="20" t="s">
        <v>4</v>
      </c>
      <c r="E227" s="20" t="s">
        <v>5</v>
      </c>
      <c r="F227" s="20" t="s">
        <v>6</v>
      </c>
      <c r="G227" s="20" t="s">
        <v>7</v>
      </c>
      <c r="H227" s="20" t="s">
        <v>8</v>
      </c>
      <c r="I227" s="20" t="s">
        <v>9</v>
      </c>
      <c r="J227" s="20" t="s">
        <v>10</v>
      </c>
      <c r="K227" s="20" t="s">
        <v>7</v>
      </c>
      <c r="L227" s="20" t="s">
        <v>8</v>
      </c>
      <c r="M227" s="20" t="s">
        <v>9</v>
      </c>
      <c r="N227" s="20" t="s">
        <v>10</v>
      </c>
      <c r="O227" s="20" t="s">
        <v>7</v>
      </c>
      <c r="P227" s="20" t="s">
        <v>8</v>
      </c>
      <c r="Q227" s="20" t="s">
        <v>9</v>
      </c>
      <c r="R227" s="20" t="s">
        <v>10</v>
      </c>
      <c r="S227" s="20" t="s">
        <v>7</v>
      </c>
      <c r="T227" s="20" t="s">
        <v>8</v>
      </c>
      <c r="U227" s="20" t="s">
        <v>9</v>
      </c>
      <c r="V227" s="20" t="s">
        <v>10</v>
      </c>
      <c r="W227" s="20" t="s">
        <v>7</v>
      </c>
      <c r="X227" s="20" t="s">
        <v>8</v>
      </c>
      <c r="Y227" s="20" t="s">
        <v>9</v>
      </c>
      <c r="Z227" s="20" t="s">
        <v>10</v>
      </c>
      <c r="AA227" s="20" t="s">
        <v>7</v>
      </c>
      <c r="AB227" s="20" t="s">
        <v>8</v>
      </c>
      <c r="AC227" s="20" t="s">
        <v>9</v>
      </c>
      <c r="AD227" s="21" t="s">
        <v>10</v>
      </c>
      <c r="AE227" s="20" t="s">
        <v>11</v>
      </c>
      <c r="AF227" s="20" t="s">
        <v>12</v>
      </c>
      <c r="AG227" s="20" t="s">
        <v>13</v>
      </c>
      <c r="AH227" s="213" t="s">
        <v>14</v>
      </c>
      <c r="AI227" s="23" t="s">
        <v>15</v>
      </c>
      <c r="AJ227" s="20" t="s">
        <v>16</v>
      </c>
      <c r="AK227" s="21" t="s">
        <v>17</v>
      </c>
      <c r="AL227" s="214" t="s">
        <v>18</v>
      </c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ht="15.75" hidden="1" customHeight="1">
      <c r="A228" s="25">
        <f>A229</f>
        <v>43808</v>
      </c>
      <c r="B228" s="26" t="str">
        <f t="shared" ref="B228:F228" si="413">IF(B172="","",B172)</f>
        <v>Средняя</v>
      </c>
      <c r="C228" s="27" t="str">
        <f t="shared" si="413"/>
        <v>ПР</v>
      </c>
      <c r="D228" s="28" t="str">
        <f t="shared" si="413"/>
        <v>Присед</v>
      </c>
      <c r="E228" s="29">
        <f t="shared" si="413"/>
        <v>1.2</v>
      </c>
      <c r="F228" s="30" t="str">
        <f t="shared" si="413"/>
        <v/>
      </c>
      <c r="G228" s="31" t="str">
        <f t="shared" ref="G228:G235" si="415">IF(J228&lt;&gt;0, IFERROR(IF( $F228=2,  MROUND($AH228*J228,1),    IF( OR($F228="",$F228=1),   MROUND($AH228*J228,2.5),  MROUND($AH228*J228, 0.1))), "" ), "")</f>
        <v/>
      </c>
      <c r="H228" s="32"/>
      <c r="I228" s="32"/>
      <c r="J228" s="33"/>
      <c r="K228" s="31" t="str">
        <f t="shared" ref="K228:K235" si="416">IF(N228&lt;&gt;0, IFERROR(IF( $F228=2,  MROUND($AH228*N228,1),    IF( OR($F228="",$F228=1),   MROUND($AH228*N228,2.5),  MROUND($AH228*N228, 0.1))), "" ), "")</f>
        <v/>
      </c>
      <c r="L228" s="32"/>
      <c r="M228" s="32"/>
      <c r="N228" s="33"/>
      <c r="O228" s="31" t="str">
        <f t="shared" ref="O228:O235" si="417">IF(R228&lt;&gt;0, IFERROR(IF( $F228=2,  MROUND($AH228*R228,1),    IF( OR($F228="",$F228=1),   MROUND($AH228*R228,2.5),  MROUND($AH228*R228, 0.1))), "" ), "")</f>
        <v/>
      </c>
      <c r="P228" s="32"/>
      <c r="Q228" s="32"/>
      <c r="R228" s="33"/>
      <c r="S228" s="31" t="str">
        <f t="shared" ref="S228:S235" si="418">IF(V228&lt;&gt;0, IFERROR(IF( $F228=2,  MROUND($AH228*V228,1),    IF( OR($F228="",$F228=1),   MROUND($AH228*V228,2.5),  MROUND($AH228*V228, 0.1))), "" ), "")</f>
        <v/>
      </c>
      <c r="T228" s="32"/>
      <c r="U228" s="32"/>
      <c r="V228" s="33"/>
      <c r="W228" s="31" t="str">
        <f t="shared" ref="W228:W235" si="419">IF(Z228&lt;&gt;0, IFERROR(IF( $F228=2,  MROUND($AH228*Z228,1),    IF( OR($F228="",$F228=1),   MROUND($AH228*Z228,2.5),  MROUND($AH228*Z228, 0.1))), "" ), "")</f>
        <v/>
      </c>
      <c r="X228" s="32"/>
      <c r="Y228" s="32"/>
      <c r="Z228" s="33"/>
      <c r="AA228" s="31" t="str">
        <f t="shared" ref="AA228:AA235" si="420">IF(AD228&lt;&gt;0, IFERROR(IF( $F228=2,  MROUND($AH228*AD228,1),    IF( OR($F228="",$F228=1),   MROUND($AH228*AD228,2.5),  MROUND($AH228*AD228, 0.1))), "" ), "")</f>
        <v/>
      </c>
      <c r="AB228" s="32"/>
      <c r="AC228" s="32"/>
      <c r="AD228" s="33"/>
      <c r="AE228" s="35">
        <f t="shared" ref="AE228:AE235" si="421">(IF(ISNUMBER(G228),G228,0)*H228*I228+IF(ISNUMBER(K228),K228,1)*L228*M228+IF(ISNUMBER(O228),O228,1)*P228*Q228+IF(ISNUMBER(S228),S228,1)*T228*U228+IF(ISNUMBER(W228),W228,1)*X228*Y228+IF(ISNUMBER(AA228),AA228,1)*AB228*AC228)*IF(ISNUMBER(F228),F228,1)</f>
        <v>0</v>
      </c>
      <c r="AF228" s="36">
        <f t="shared" ref="AF228:AF282" si="422">IFERROR(AE228/AJ228,0)</f>
        <v>0</v>
      </c>
      <c r="AG228" s="195">
        <f t="shared" ref="AG228:AG235" si="423">IFERROR((AF228/(AH228*IF(ISNUMBER(F228),F228,1))),0)</f>
        <v>0</v>
      </c>
      <c r="AH228" s="169">
        <f t="shared" ref="AH228:AH235" si="424">IF(ISNUMBER(AH172), AH172+(AH172*$AH$226),"")</f>
        <v>146.1283416</v>
      </c>
      <c r="AI228" s="70">
        <f> ( IF(ISNUMBER(G228), VLOOKUP(G228/$AH228,F!$A1:$B101,2,1)*G228*$H228*$I228,0)+IF(ISNUMBER(K228), VLOOKUP(K228/$AH228,F!$A1:$B101,2,1)*K228*$L228*$M228,0)+IF(ISNUMBER(O228), VLOOKUP(O228/$AH228,F!$A1:$B101,2,1)*O228*$P228*$Q228,0)+IF(ISNUMBER(S228), VLOOKUP(S228/$AH228,F!$A1:$B101,2,1)*S228*$T228*$U228,0)+IF(ISNUMBER(W228), VLOOKUP(W228/$AH228,F!$A1:$B101,2,1)*W228*$X228*$Y228,0)+IF(ISNUMBER(AA228), VLOOKUP(AA228/$AH228,F!$A1:$B101,2,1)*AA228*$AB228*$AC228,0))*IF(ISNUMBER(F228),F228,1)*IF(ISNUMBER(E228),E228,1)</f>
        <v>0</v>
      </c>
      <c r="AJ228" s="40">
        <f t="shared" ref="AJ228:AJ235" si="425">H228*I228+L228*M228+P228*Q228+T228*U228+X228*Y228+AB228*AC228</f>
        <v>0</v>
      </c>
      <c r="AK228" s="41">
        <f t="array" ref="AK228">IFERROR(I228*INDEX(F!$P$21:$AB$33, MATCH(G228/$AH228, F!$O$21:$O$33,1), MATCH(E228, F!$P$20:$AB$20,1)), 0 ) +IFERROR( M228*INDEX(F!$P$21:$AB$33, MATCH(K228/$AH228, F!$O$21:$O$33,1), MATCH(E228, F!$P$20:$AB$20,1)),0) +  IFERROR( Q228*INDEX(F!$P$21:$AB$33, MATCH(O228/$AH228, F!$O$21:$O$33,1), MATCH(E228, F!$P$20:$AB$20,1)), 0) + IFERROR( U228*INDEX(F!$P$21:$AB$33, MATCH(S228/$AH228, F!$O$21:$O$33,1), MATCH(E228, F!$P$20:$AB$20,1)),0)  + IFERROR(Y228*INDEX(F!$P$21:$AB$33, MATCH(W228/$AH228, F!$O$21:$O$33,1), MATCH(E228, F!$P$20:$AB$20,1)),0)  + IFERROR( AC228*INDEX(F!$P$21:$AB$33, MATCH(AA228/$AH228, F!$O$21:$O$33,1), MATCH(E228, F!$P$20:$AB$20,1)),)</f>
        <v>0</v>
      </c>
      <c r="AL228" s="42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ht="15.75" hidden="1" customHeight="1">
      <c r="A229" s="44">
        <f>A173+A170</f>
        <v>43808</v>
      </c>
      <c r="B229" s="45" t="str">
        <f t="shared" ref="B229:F229" si="414">IF(B173="","",B173)</f>
        <v>Средняя</v>
      </c>
      <c r="C229" s="46" t="str">
        <f t="shared" si="414"/>
        <v>ЖМ</v>
      </c>
      <c r="D229" s="47" t="str">
        <f t="shared" si="414"/>
        <v>Жим лежа</v>
      </c>
      <c r="E229" s="48">
        <f t="shared" si="414"/>
        <v>1</v>
      </c>
      <c r="F229" s="49" t="str">
        <f t="shared" si="414"/>
        <v/>
      </c>
      <c r="G229" s="50" t="str">
        <f t="shared" si="415"/>
        <v/>
      </c>
      <c r="H229" s="51"/>
      <c r="I229" s="51"/>
      <c r="J229" s="52"/>
      <c r="K229" s="50" t="str">
        <f t="shared" si="416"/>
        <v/>
      </c>
      <c r="L229" s="51"/>
      <c r="M229" s="51"/>
      <c r="N229" s="52"/>
      <c r="O229" s="50" t="str">
        <f t="shared" si="417"/>
        <v/>
      </c>
      <c r="P229" s="51"/>
      <c r="Q229" s="51"/>
      <c r="R229" s="52"/>
      <c r="S229" s="50" t="str">
        <f t="shared" si="418"/>
        <v/>
      </c>
      <c r="T229" s="51"/>
      <c r="U229" s="51"/>
      <c r="V229" s="52"/>
      <c r="W229" s="50" t="str">
        <f t="shared" si="419"/>
        <v/>
      </c>
      <c r="X229" s="51"/>
      <c r="Y229" s="51"/>
      <c r="Z229" s="52"/>
      <c r="AA229" s="50" t="str">
        <f t="shared" si="420"/>
        <v/>
      </c>
      <c r="AB229" s="51"/>
      <c r="AC229" s="51"/>
      <c r="AD229" s="52"/>
      <c r="AE229" s="53">
        <f t="shared" si="421"/>
        <v>0</v>
      </c>
      <c r="AF229" s="54">
        <f t="shared" si="422"/>
        <v>0</v>
      </c>
      <c r="AG229" s="75">
        <f t="shared" si="423"/>
        <v>0</v>
      </c>
      <c r="AH229" s="76">
        <f t="shared" si="424"/>
        <v>102.8310552</v>
      </c>
      <c r="AI229" s="77">
        <f> ( IF(ISNUMBER(G229), VLOOKUP(G229/$AH229,F!$A1:$B101,2,1)*G229*$H229*$I229,0)+IF(ISNUMBER(K229), VLOOKUP(K229/$AH229,F!$A1:$B101,2,1)*K229*$L229*$M229,0)+IF(ISNUMBER(O229), VLOOKUP(O229/$AH229,F!$A1:$B101,2,1)*O229*$P229*$Q229,0)+IF(ISNUMBER(S229), VLOOKUP(S229/$AH229,F!$A1:$B101,2,1)*S229*$T229*$U229,0)+IF(ISNUMBER(W229), VLOOKUP(W229/$AH229,F!$A1:$B101,2,1)*W229*$X229*$Y229,0)+IF(ISNUMBER(AA229), VLOOKUP(AA229/$AH229,F!$A1:$B101,2,1)*AA229*$AB229*$AC229,0))*IF(ISNUMBER(F229),F229,1)*IF(ISNUMBER(E229),E229,1)</f>
        <v>0</v>
      </c>
      <c r="AJ229" s="57">
        <f t="shared" si="425"/>
        <v>0</v>
      </c>
      <c r="AK229" s="58">
        <f t="array" ref="AK229">IFERROR(I229*INDEX(F!$P$21:$AB$33, MATCH(G229/$AH229, F!$O$21:$O$33,1), MATCH(E229, F!$P$20:$AB$20,1)), 0 ) +IFERROR( M229*INDEX(F!$P$21:$AB$33, MATCH(K229/$AH229, F!$O$21:$O$33,1), MATCH(E229, F!$P$20:$AB$20,1)),0) +  IFERROR( Q229*INDEX(F!$P$21:$AB$33, MATCH(O229/$AH229, F!$O$21:$O$33,1), MATCH(E229, F!$P$20:$AB$20,1)), 0) + IFERROR( U229*INDEX(F!$P$21:$AB$33, MATCH(S229/$AH229, F!$O$21:$O$33,1), MATCH(E229, F!$P$20:$AB$20,1)),0)  + IFERROR(Y229*INDEX(F!$P$21:$AB$33, MATCH(W229/$AH229, F!$O$21:$O$33,1), MATCH(E229, F!$P$20:$AB$20,1)),0)  + IFERROR( AC229*INDEX(F!$P$21:$AB$33, MATCH(AA229/$AH229, F!$O$21:$O$33,1), MATCH(E229, F!$P$20:$AB$20,1)),)</f>
        <v>0</v>
      </c>
      <c r="AL229" s="59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ht="15.0" hidden="1" customHeight="1">
      <c r="A230" s="59"/>
      <c r="B230" s="60" t="str">
        <f t="shared" ref="B230:F230" si="426">IF(B174="","",B174)</f>
        <v>Тяжелая</v>
      </c>
      <c r="C230" s="61" t="str">
        <f t="shared" si="426"/>
        <v>ПР</v>
      </c>
      <c r="D230" s="62" t="str">
        <f t="shared" si="426"/>
        <v>Присед</v>
      </c>
      <c r="E230" s="48">
        <f t="shared" si="426"/>
        <v>1.2</v>
      </c>
      <c r="F230" s="63" t="str">
        <f t="shared" si="426"/>
        <v/>
      </c>
      <c r="G230" s="64" t="str">
        <f t="shared" si="415"/>
        <v/>
      </c>
      <c r="H230" s="34"/>
      <c r="I230" s="34"/>
      <c r="J230" s="65"/>
      <c r="K230" s="64" t="str">
        <f t="shared" si="416"/>
        <v/>
      </c>
      <c r="L230" s="34"/>
      <c r="M230" s="34"/>
      <c r="N230" s="65"/>
      <c r="O230" s="64" t="str">
        <f t="shared" si="417"/>
        <v/>
      </c>
      <c r="P230" s="34"/>
      <c r="Q230" s="34"/>
      <c r="R230" s="65"/>
      <c r="S230" s="64" t="str">
        <f t="shared" si="418"/>
        <v/>
      </c>
      <c r="T230" s="34"/>
      <c r="U230" s="34"/>
      <c r="V230" s="65"/>
      <c r="W230" s="64" t="str">
        <f t="shared" si="419"/>
        <v/>
      </c>
      <c r="X230" s="34"/>
      <c r="Y230" s="34"/>
      <c r="Z230" s="65"/>
      <c r="AA230" s="64" t="str">
        <f t="shared" si="420"/>
        <v/>
      </c>
      <c r="AB230" s="34"/>
      <c r="AC230" s="34"/>
      <c r="AD230" s="65"/>
      <c r="AE230" s="66">
        <f t="shared" si="421"/>
        <v>0</v>
      </c>
      <c r="AF230" s="67">
        <f t="shared" si="422"/>
        <v>0</v>
      </c>
      <c r="AG230" s="68">
        <f t="shared" si="423"/>
        <v>0</v>
      </c>
      <c r="AH230" s="76">
        <f t="shared" si="424"/>
        <v>146.1283416</v>
      </c>
      <c r="AI230" s="70">
        <f> ( IF(ISNUMBER(G230), VLOOKUP(G230/$AH230,F!$A1:$B101,2,1)*G230*$H230*$I230,0)+IF(ISNUMBER(K230), VLOOKUP(K230/$AH230,F!$A1:$B101,2,1)*K230*$L230*$M230,0)+IF(ISNUMBER(O230), VLOOKUP(O230/$AH230,F!$A1:$B101,2,1)*O230*$P230*$Q230,0)+IF(ISNUMBER(S230), VLOOKUP(S230/$AH230,F!$A1:$B101,2,1)*S230*$T230*$U230,0)+IF(ISNUMBER(W230), VLOOKUP(W230/$AH230,F!$A1:$B101,2,1)*W230*$X230*$Y230,0)+IF(ISNUMBER(AA230), VLOOKUP(AA230/$AH230,F!$A1:$B101,2,1)*AA230*$AB230*$AC230,0))*IF(ISNUMBER(F230),F230,1)*IF(ISNUMBER(E230),E230,1)</f>
        <v>0</v>
      </c>
      <c r="AJ230" s="71">
        <f t="shared" si="425"/>
        <v>0</v>
      </c>
      <c r="AK230" s="72">
        <f t="array" ref="AK230">IFERROR(I230*INDEX(F!$P$21:$AB$33, MATCH(G230/$AH230, F!$O$21:$O$33,1), MATCH(E230, F!$P$20:$AB$20,1)), 0 ) +IFERROR( M230*INDEX(F!$P$21:$AB$33, MATCH(K230/$AH230, F!$O$21:$O$33,1), MATCH(E230, F!$P$20:$AB$20,1)),0) +  IFERROR( Q230*INDEX(F!$P$21:$AB$33, MATCH(O230/$AH230, F!$O$21:$O$33,1), MATCH(E230, F!$P$20:$AB$20,1)), 0) + IFERROR( U230*INDEX(F!$P$21:$AB$33, MATCH(S230/$AH230, F!$O$21:$O$33,1), MATCH(E230, F!$P$20:$AB$20,1)),0)  + IFERROR(Y230*INDEX(F!$P$21:$AB$33, MATCH(W230/$AH230, F!$O$21:$O$33,1), MATCH(E230, F!$P$20:$AB$20,1)),0)  + IFERROR( AC230*INDEX(F!$P$21:$AB$33, MATCH(AA230/$AH230, F!$O$21:$O$33,1), MATCH(E230, F!$P$20:$AB$20,1)),)</f>
        <v>0</v>
      </c>
      <c r="AL230" s="5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ht="15.75" hidden="1" customHeight="1">
      <c r="A231" s="59"/>
      <c r="B231" s="215" t="str">
        <f t="shared" ref="B231:F231" si="427">IF(B175="","",B175)</f>
        <v>Средняя</v>
      </c>
      <c r="C231" s="73" t="str">
        <f t="shared" si="427"/>
        <v>ЖМ</v>
      </c>
      <c r="D231" s="47" t="str">
        <f t="shared" si="427"/>
        <v>Жим гантелей</v>
      </c>
      <c r="E231" s="48">
        <f t="shared" si="427"/>
        <v>1</v>
      </c>
      <c r="F231" s="74">
        <f t="shared" si="427"/>
        <v>2</v>
      </c>
      <c r="G231" s="50" t="str">
        <f t="shared" si="415"/>
        <v/>
      </c>
      <c r="H231" s="51"/>
      <c r="I231" s="51"/>
      <c r="J231" s="52"/>
      <c r="K231" s="50" t="str">
        <f t="shared" si="416"/>
        <v/>
      </c>
      <c r="L231" s="51"/>
      <c r="M231" s="51"/>
      <c r="N231" s="52"/>
      <c r="O231" s="50" t="str">
        <f t="shared" si="417"/>
        <v/>
      </c>
      <c r="P231" s="51"/>
      <c r="Q231" s="51"/>
      <c r="R231" s="52"/>
      <c r="S231" s="50" t="str">
        <f t="shared" si="418"/>
        <v/>
      </c>
      <c r="T231" s="51"/>
      <c r="U231" s="51"/>
      <c r="V231" s="52"/>
      <c r="W231" s="50" t="str">
        <f t="shared" si="419"/>
        <v/>
      </c>
      <c r="X231" s="51"/>
      <c r="Y231" s="51"/>
      <c r="Z231" s="52"/>
      <c r="AA231" s="50" t="str">
        <f t="shared" si="420"/>
        <v/>
      </c>
      <c r="AB231" s="51"/>
      <c r="AC231" s="51"/>
      <c r="AD231" s="52"/>
      <c r="AE231" s="53">
        <f t="shared" si="421"/>
        <v>0</v>
      </c>
      <c r="AF231" s="54">
        <f t="shared" si="422"/>
        <v>0</v>
      </c>
      <c r="AG231" s="75">
        <f t="shared" si="423"/>
        <v>0</v>
      </c>
      <c r="AH231" s="76">
        <f t="shared" si="424"/>
        <v>32.90593766</v>
      </c>
      <c r="AI231" s="77">
        <f> ( IF(ISNUMBER(G231), VLOOKUP(G231/$AH231,F!$A1:$B101,2,1)*G231*$H231*$I231,0)+IF(ISNUMBER(K231), VLOOKUP(K231/$AH231,F!$A1:$B101,2,1)*K231*$L231*$M231,0)+IF(ISNUMBER(O231), VLOOKUP(O231/$AH231,F!$A1:$B101,2,1)*O231*$P231*$Q231,0)+IF(ISNUMBER(S231), VLOOKUP(S231/$AH231,F!$A1:$B101,2,1)*S231*$T231*$U231,0)+IF(ISNUMBER(W231), VLOOKUP(W231/$AH231,F!$A1:$B101,2,1)*W231*$X231*$Y231,0)+IF(ISNUMBER(AA231), VLOOKUP(AA231/$AH231,F!$A1:$B101,2,1)*AA231*$AB231*$AC231,0))*IF(ISNUMBER(F231),F231,1)*IF(ISNUMBER(E231),E231,1)</f>
        <v>0</v>
      </c>
      <c r="AJ231" s="57">
        <f t="shared" si="425"/>
        <v>0</v>
      </c>
      <c r="AK231" s="58">
        <f t="array" ref="AK231">IFERROR(I231*INDEX(F!$P$21:$AB$33, MATCH(G231/$AH231, F!$O$21:$O$33,1), MATCH(E231, F!$P$20:$AB$20,1)), 0 ) +IFERROR( M231*INDEX(F!$P$21:$AB$33, MATCH(K231/$AH231, F!$O$21:$O$33,1), MATCH(E231, F!$P$20:$AB$20,1)),0) +  IFERROR( Q231*INDEX(F!$P$21:$AB$33, MATCH(O231/$AH231, F!$O$21:$O$33,1), MATCH(E231, F!$P$20:$AB$20,1)), 0) + IFERROR( U231*INDEX(F!$P$21:$AB$33, MATCH(S231/$AH231, F!$O$21:$O$33,1), MATCH(E231, F!$P$20:$AB$20,1)),0)  + IFERROR(Y231*INDEX(F!$P$21:$AB$33, MATCH(W231/$AH231, F!$O$21:$O$33,1), MATCH(E231, F!$P$20:$AB$20,1)),0)  + IFERROR( AC231*INDEX(F!$P$21:$AB$33, MATCH(AA231/$AH231, F!$O$21:$O$33,1), MATCH(E231, F!$P$20:$AB$20,1)),)</f>
        <v>0</v>
      </c>
      <c r="AL231" s="59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ht="15.75" hidden="1" customHeight="1">
      <c r="A232" s="59"/>
      <c r="B232" s="216" t="str">
        <f t="shared" ref="B232:F232" si="428">IF(B176="","",B176)</f>
        <v>Средняя</v>
      </c>
      <c r="C232" s="78" t="str">
        <f t="shared" si="428"/>
        <v>ОФП</v>
      </c>
      <c r="D232" s="62" t="str">
        <f t="shared" si="428"/>
        <v>Французский жим</v>
      </c>
      <c r="E232" s="48">
        <f t="shared" si="428"/>
        <v>0.4</v>
      </c>
      <c r="F232" s="79" t="str">
        <f t="shared" si="428"/>
        <v/>
      </c>
      <c r="G232" s="64" t="str">
        <f t="shared" si="415"/>
        <v/>
      </c>
      <c r="H232" s="34"/>
      <c r="I232" s="34"/>
      <c r="J232" s="65"/>
      <c r="K232" s="64" t="str">
        <f t="shared" si="416"/>
        <v/>
      </c>
      <c r="L232" s="34"/>
      <c r="M232" s="34"/>
      <c r="N232" s="65"/>
      <c r="O232" s="64" t="str">
        <f t="shared" si="417"/>
        <v/>
      </c>
      <c r="P232" s="34"/>
      <c r="Q232" s="34"/>
      <c r="R232" s="65"/>
      <c r="S232" s="64" t="str">
        <f t="shared" si="418"/>
        <v/>
      </c>
      <c r="T232" s="34"/>
      <c r="U232" s="34"/>
      <c r="V232" s="65"/>
      <c r="W232" s="64" t="str">
        <f t="shared" si="419"/>
        <v/>
      </c>
      <c r="X232" s="34"/>
      <c r="Y232" s="34"/>
      <c r="Z232" s="65"/>
      <c r="AA232" s="64" t="str">
        <f t="shared" si="420"/>
        <v/>
      </c>
      <c r="AB232" s="34"/>
      <c r="AC232" s="34"/>
      <c r="AD232" s="65"/>
      <c r="AE232" s="66">
        <f t="shared" si="421"/>
        <v>0</v>
      </c>
      <c r="AF232" s="67">
        <f t="shared" si="422"/>
        <v>0</v>
      </c>
      <c r="AG232" s="68">
        <f t="shared" si="423"/>
        <v>0</v>
      </c>
      <c r="AH232" s="76">
        <f t="shared" si="424"/>
        <v>47.30228539</v>
      </c>
      <c r="AI232" s="70">
        <f> ( IF(ISNUMBER(G232), VLOOKUP(G232/$AH232,F!$A1:$B101,2,1)*G232*$H232*$I232,0)+IF(ISNUMBER(K232), VLOOKUP(K232/$AH232,F!$A1:$B101,2,1)*K232*$L232*$M232,0)+IF(ISNUMBER(O232), VLOOKUP(O232/$AH232,F!$A1:$B101,2,1)*O232*$P232*$Q232,0)+IF(ISNUMBER(S232), VLOOKUP(S232/$AH232,F!$A1:$B101,2,1)*S232*$T232*$U232,0)+IF(ISNUMBER(W232), VLOOKUP(W232/$AH232,F!$A1:$B101,2,1)*W232*$X232*$Y232,0)+IF(ISNUMBER(AA232), VLOOKUP(AA232/$AH232,F!$A1:$B101,2,1)*AA232*$AB232*$AC232,0))*IF(ISNUMBER(F232),F232,1)*IF(ISNUMBER(E232),E232,1)</f>
        <v>0</v>
      </c>
      <c r="AJ232" s="71">
        <f t="shared" si="425"/>
        <v>0</v>
      </c>
      <c r="AK232" s="72">
        <f t="array" ref="AK232">IFERROR(I232*INDEX(F!$P$21:$AB$33, MATCH(G232/$AH232, F!$O$21:$O$33,1), MATCH(E232, F!$P$20:$AB$20,1)), 0 ) +IFERROR( M232*INDEX(F!$P$21:$AB$33, MATCH(K232/$AH232, F!$O$21:$O$33,1), MATCH(E232, F!$P$20:$AB$20,1)),0) +  IFERROR( Q232*INDEX(F!$P$21:$AB$33, MATCH(O232/$AH232, F!$O$21:$O$33,1), MATCH(E232, F!$P$20:$AB$20,1)), 0) + IFERROR( U232*INDEX(F!$P$21:$AB$33, MATCH(S232/$AH232, F!$O$21:$O$33,1), MATCH(E232, F!$P$20:$AB$20,1)),0)  + IFERROR(Y232*INDEX(F!$P$21:$AB$33, MATCH(W232/$AH232, F!$O$21:$O$33,1), MATCH(E232, F!$P$20:$AB$20,1)),0)  + IFERROR( AC232*INDEX(F!$P$21:$AB$33, MATCH(AA232/$AH232, F!$O$21:$O$33,1), MATCH(E232, F!$P$20:$AB$20,1)),)</f>
        <v>0</v>
      </c>
      <c r="AL232" s="59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ht="15.75" hidden="1" customHeight="1">
      <c r="A233" s="59"/>
      <c r="B233" s="45" t="str">
        <f t="shared" ref="B233:F233" si="429">IF(B177="","",B177)</f>
        <v/>
      </c>
      <c r="C233" s="46" t="str">
        <f t="shared" si="429"/>
        <v/>
      </c>
      <c r="D233" s="197" t="str">
        <f t="shared" si="429"/>
        <v/>
      </c>
      <c r="E233" s="48" t="str">
        <f t="shared" si="429"/>
        <v/>
      </c>
      <c r="F233" s="83" t="str">
        <f t="shared" si="429"/>
        <v/>
      </c>
      <c r="G233" s="50" t="str">
        <f t="shared" si="415"/>
        <v/>
      </c>
      <c r="H233" s="51"/>
      <c r="I233" s="51"/>
      <c r="J233" s="52"/>
      <c r="K233" s="50" t="str">
        <f t="shared" si="416"/>
        <v/>
      </c>
      <c r="L233" s="51"/>
      <c r="M233" s="51"/>
      <c r="N233" s="52"/>
      <c r="O233" s="50" t="str">
        <f t="shared" si="417"/>
        <v/>
      </c>
      <c r="P233" s="51"/>
      <c r="Q233" s="51"/>
      <c r="R233" s="52"/>
      <c r="S233" s="50" t="str">
        <f t="shared" si="418"/>
        <v/>
      </c>
      <c r="T233" s="51"/>
      <c r="U233" s="51"/>
      <c r="V233" s="52"/>
      <c r="W233" s="50" t="str">
        <f t="shared" si="419"/>
        <v/>
      </c>
      <c r="X233" s="51"/>
      <c r="Y233" s="51"/>
      <c r="Z233" s="52"/>
      <c r="AA233" s="50" t="str">
        <f t="shared" si="420"/>
        <v/>
      </c>
      <c r="AB233" s="51"/>
      <c r="AC233" s="51"/>
      <c r="AD233" s="52"/>
      <c r="AE233" s="53">
        <f t="shared" si="421"/>
        <v>0</v>
      </c>
      <c r="AF233" s="54">
        <f t="shared" si="422"/>
        <v>0</v>
      </c>
      <c r="AG233" s="75">
        <f t="shared" si="423"/>
        <v>0</v>
      </c>
      <c r="AH233" s="76" t="str">
        <f t="shared" si="424"/>
        <v/>
      </c>
      <c r="AI233" s="77">
        <f> ( IF(ISNUMBER(G233), VLOOKUP(G233/$AH233,F!$A1:$B101,2,1)*G233*$H233*$I233,0)+IF(ISNUMBER(K233), VLOOKUP(K233/$AH233,F!$A1:$B101,2,1)*K233*$L233*$M233,0)+IF(ISNUMBER(O233), VLOOKUP(O233/$AH233,F!$A1:$B101,2,1)*O233*$P233*$Q233,0)+IF(ISNUMBER(S233), VLOOKUP(S233/$AH233,F!$A1:$B101,2,1)*S233*$T233*$U233,0)+IF(ISNUMBER(W233), VLOOKUP(W233/$AH233,F!$A1:$B101,2,1)*W233*$X233*$Y233,0)+IF(ISNUMBER(AA233), VLOOKUP(AA233/$AH233,F!$A1:$B101,2,1)*AA233*$AB233*$AC233,0))*IF(ISNUMBER(F233),F233,1)*IF(ISNUMBER(E233),E233,1)</f>
        <v>0</v>
      </c>
      <c r="AJ233" s="86">
        <f t="shared" si="425"/>
        <v>0</v>
      </c>
      <c r="AK233" s="58">
        <f t="array" ref="AK233">IFERROR(I233*INDEX(F!$P$21:$AB$33, MATCH(G233/$AH233, F!$O$21:$O$33,1), MATCH(E233, F!$P$20:$AB$20,1)), 0 ) +IFERROR( M233*INDEX(F!$P$21:$AB$33, MATCH(K233/$AH233, F!$O$21:$O$33,1), MATCH(E233, F!$P$20:$AB$20,1)),0) +  IFERROR( Q233*INDEX(F!$P$21:$AB$33, MATCH(O233/$AH233, F!$O$21:$O$33,1), MATCH(E233, F!$P$20:$AB$20,1)), 0) + IFERROR( U233*INDEX(F!$P$21:$AB$33, MATCH(S233/$AH233, F!$O$21:$O$33,1), MATCH(E233, F!$P$20:$AB$20,1)),0)  + IFERROR(Y233*INDEX(F!$P$21:$AB$33, MATCH(W233/$AH233, F!$O$21:$O$33,1), MATCH(E233, F!$P$20:$AB$20,1)),0)  + IFERROR( AC233*INDEX(F!$P$21:$AB$33, MATCH(AA233/$AH233, F!$O$21:$O$33,1), MATCH(E233, F!$P$20:$AB$20,1)),)</f>
        <v>0</v>
      </c>
      <c r="AL233" s="59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ht="15.0" hidden="1" customHeight="1">
      <c r="A234" s="59"/>
      <c r="B234" s="60" t="str">
        <f t="shared" ref="B234:F234" si="430">IF(B178="","",B178)</f>
        <v/>
      </c>
      <c r="C234" s="61" t="str">
        <f t="shared" si="430"/>
        <v/>
      </c>
      <c r="D234" s="198" t="str">
        <f t="shared" si="430"/>
        <v/>
      </c>
      <c r="E234" s="48" t="str">
        <f t="shared" si="430"/>
        <v/>
      </c>
      <c r="F234" s="79" t="str">
        <f t="shared" si="430"/>
        <v/>
      </c>
      <c r="G234" s="64" t="str">
        <f t="shared" si="415"/>
        <v/>
      </c>
      <c r="H234" s="34"/>
      <c r="I234" s="34"/>
      <c r="J234" s="65"/>
      <c r="K234" s="64" t="str">
        <f t="shared" si="416"/>
        <v/>
      </c>
      <c r="L234" s="34"/>
      <c r="M234" s="34"/>
      <c r="N234" s="65"/>
      <c r="O234" s="64" t="str">
        <f t="shared" si="417"/>
        <v/>
      </c>
      <c r="P234" s="34"/>
      <c r="Q234" s="34"/>
      <c r="R234" s="65"/>
      <c r="S234" s="64" t="str">
        <f t="shared" si="418"/>
        <v/>
      </c>
      <c r="T234" s="34"/>
      <c r="U234" s="34"/>
      <c r="V234" s="65"/>
      <c r="W234" s="64" t="str">
        <f t="shared" si="419"/>
        <v/>
      </c>
      <c r="X234" s="34"/>
      <c r="Y234" s="34"/>
      <c r="Z234" s="65"/>
      <c r="AA234" s="64" t="str">
        <f t="shared" si="420"/>
        <v/>
      </c>
      <c r="AB234" s="34"/>
      <c r="AC234" s="34"/>
      <c r="AD234" s="65"/>
      <c r="AE234" s="66">
        <f t="shared" si="421"/>
        <v>0</v>
      </c>
      <c r="AF234" s="67">
        <f t="shared" si="422"/>
        <v>0</v>
      </c>
      <c r="AG234" s="68">
        <f t="shared" si="423"/>
        <v>0</v>
      </c>
      <c r="AH234" s="76" t="str">
        <f t="shared" si="424"/>
        <v/>
      </c>
      <c r="AI234" s="90">
        <f> ( IF(ISNUMBER(G234), VLOOKUP(G234/$AH234,F!$A1:$B101,2,1)*G234*$H234*$I234,0)+IF(ISNUMBER(K234), VLOOKUP(K234/$AH234,F!$A1:$B101,2,1)*K234*$L234*$M234,0)+IF(ISNUMBER(O234), VLOOKUP(O234/$AH234,F!$A1:$B101,2,1)*O234*$P234*$Q234,0)+IF(ISNUMBER(S234), VLOOKUP(S234/$AH234,F!$A1:$B101,2,1)*S234*$T234*$U234,0)+IF(ISNUMBER(W234), VLOOKUP(W234/$AH234,F!$A1:$B101,2,1)*W234*$X234*$Y234,0)+IF(ISNUMBER(AA234), VLOOKUP(AA234/$AH234,F!$A1:$B101,2,1)*AA234*$AB234*$AC234,0))*IF(ISNUMBER(F234),F234,1)*IF(ISNUMBER(E234),E234,1)</f>
        <v>0</v>
      </c>
      <c r="AJ234" s="34">
        <f t="shared" si="425"/>
        <v>0</v>
      </c>
      <c r="AK234" s="91">
        <f t="array" ref="AK234">IFERROR(I234*INDEX(F!$P$21:$AB$33, MATCH(G234/$AH234, F!$O$21:$O$33,1), MATCH(E234, F!$P$20:$AB$20,1)), 0 ) +IFERROR( M234*INDEX(F!$P$21:$AB$33, MATCH(K234/$AH234, F!$O$21:$O$33,1), MATCH(E234, F!$P$20:$AB$20,1)),0) +  IFERROR( Q234*INDEX(F!$P$21:$AB$33, MATCH(O234/$AH234, F!$O$21:$O$33,1), MATCH(E234, F!$P$20:$AB$20,1)), 0) + IFERROR( U234*INDEX(F!$P$21:$AB$33, MATCH(S234/$AH234, F!$O$21:$O$33,1), MATCH(E234, F!$P$20:$AB$20,1)),0)  + IFERROR(Y234*INDEX(F!$P$21:$AB$33, MATCH(W234/$AH234, F!$O$21:$O$33,1), MATCH(E234, F!$P$20:$AB$20,1)),0)  + IFERROR( AC234*INDEX(F!$P$21:$AB$33, MATCH(AA234/$AH234, F!$O$21:$O$33,1), MATCH(E234, F!$P$20:$AB$20,1)),)</f>
        <v>0</v>
      </c>
      <c r="AL234" s="59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ht="15.0" hidden="1" customHeight="1">
      <c r="A235" s="59"/>
      <c r="B235" s="45" t="str">
        <f t="shared" ref="B235:F235" si="431">IF(B179="","",B179)</f>
        <v/>
      </c>
      <c r="C235" s="46" t="str">
        <f t="shared" si="431"/>
        <v/>
      </c>
      <c r="D235" s="92" t="str">
        <f t="shared" si="431"/>
        <v/>
      </c>
      <c r="E235" s="48" t="str">
        <f t="shared" si="431"/>
        <v/>
      </c>
      <c r="F235" s="74" t="str">
        <f t="shared" si="431"/>
        <v/>
      </c>
      <c r="G235" s="50" t="str">
        <f t="shared" si="415"/>
        <v/>
      </c>
      <c r="H235" s="51"/>
      <c r="I235" s="51"/>
      <c r="J235" s="52"/>
      <c r="K235" s="50" t="str">
        <f t="shared" si="416"/>
        <v/>
      </c>
      <c r="L235" s="51"/>
      <c r="M235" s="51"/>
      <c r="N235" s="52"/>
      <c r="O235" s="50" t="str">
        <f t="shared" si="417"/>
        <v/>
      </c>
      <c r="P235" s="51"/>
      <c r="Q235" s="51"/>
      <c r="R235" s="52"/>
      <c r="S235" s="50" t="str">
        <f t="shared" si="418"/>
        <v/>
      </c>
      <c r="T235" s="51"/>
      <c r="U235" s="51"/>
      <c r="V235" s="52"/>
      <c r="W235" s="50" t="str">
        <f t="shared" si="419"/>
        <v/>
      </c>
      <c r="X235" s="51"/>
      <c r="Y235" s="51"/>
      <c r="Z235" s="52"/>
      <c r="AA235" s="50" t="str">
        <f t="shared" si="420"/>
        <v/>
      </c>
      <c r="AB235" s="51"/>
      <c r="AC235" s="51"/>
      <c r="AD235" s="52"/>
      <c r="AE235" s="53">
        <f t="shared" si="421"/>
        <v>0</v>
      </c>
      <c r="AF235" s="93">
        <f t="shared" si="422"/>
        <v>0</v>
      </c>
      <c r="AG235" s="94">
        <f t="shared" si="423"/>
        <v>0</v>
      </c>
      <c r="AH235" s="76" t="str">
        <f t="shared" si="424"/>
        <v/>
      </c>
      <c r="AI235" s="95">
        <f> ( IF(ISNUMBER(G235), VLOOKUP(G235/$AH235,F!$A1:$B101,2,1)*G235*$H235*$I235,0)+IF(ISNUMBER(K235), VLOOKUP(K235/$AH235,F!$A1:$B101,2,1)*K235*$L235*$M235,0)+IF(ISNUMBER(O235), VLOOKUP(O235/$AH235,F!$A1:$B101,2,1)*O235*$P235*$Q235,0)+IF(ISNUMBER(S235), VLOOKUP(S235/$AH235,F!$A1:$B101,2,1)*S235*$T235*$U235,0)+IF(ISNUMBER(W235), VLOOKUP(W235/$AH235,F!$A1:$B101,2,1)*W235*$X235*$Y235,0)+IF(ISNUMBER(AA235), VLOOKUP(AA235/$AH235,F!$A1:$B101,2,1)*AA235*$AB235*$AC235,0))*IF(ISNUMBER(F235),F235,1)*IF(ISNUMBER(E235),E235,1)</f>
        <v>0</v>
      </c>
      <c r="AJ235" s="96">
        <f t="shared" si="425"/>
        <v>0</v>
      </c>
      <c r="AK235" s="97">
        <f t="array" ref="AK235">IFERROR(I235*INDEX(F!$P$21:$AB$33, MATCH(G235/$AH235, F!$O$21:$O$33,1), MATCH(E235, F!$P$20:$AB$20,1)), 0 ) +IFERROR( M235*INDEX(F!$P$21:$AB$33, MATCH(K235/$AH235, F!$O$21:$O$33,1), MATCH(E235, F!$P$20:$AB$20,1)),0) +  IFERROR( Q235*INDEX(F!$P$21:$AB$33, MATCH(O235/$AH235, F!$O$21:$O$33,1), MATCH(E235, F!$P$20:$AB$20,1)), 0) + IFERROR( U235*INDEX(F!$P$21:$AB$33, MATCH(S235/$AH235, F!$O$21:$O$33,1), MATCH(E235, F!$P$20:$AB$20,1)),0)  + IFERROR(Y235*INDEX(F!$P$21:$AB$33, MATCH(W235/$AH235, F!$O$21:$O$33,1), MATCH(E235, F!$P$20:$AB$20,1)),0)  + IFERROR( AC235*INDEX(F!$P$21:$AB$33, MATCH(AA235/$AH235, F!$O$21:$O$33,1), MATCH(E235, F!$P$20:$AB$20,1)),)</f>
        <v>0</v>
      </c>
      <c r="AL235" s="59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ht="15.75" hidden="1" customHeight="1">
      <c r="A236" s="98"/>
      <c r="B236" s="99"/>
      <c r="C236" s="100"/>
      <c r="D236" s="101"/>
      <c r="E236" s="102">
        <f>ROUND(IFERROR(SUMPRODUCT(AJ228:AJ235,E228:E235)/AJ236,0),3)</f>
        <v>0</v>
      </c>
      <c r="F236" s="199"/>
      <c r="G236" s="104"/>
      <c r="H236" s="105"/>
      <c r="I236" s="105"/>
      <c r="J236" s="106"/>
      <c r="K236" s="104"/>
      <c r="L236" s="105"/>
      <c r="M236" s="105"/>
      <c r="N236" s="106"/>
      <c r="O236" s="104"/>
      <c r="P236" s="105"/>
      <c r="Q236" s="105"/>
      <c r="R236" s="106"/>
      <c r="S236" s="104"/>
      <c r="T236" s="105"/>
      <c r="U236" s="105"/>
      <c r="V236" s="106"/>
      <c r="W236" s="104"/>
      <c r="X236" s="105"/>
      <c r="Y236" s="105"/>
      <c r="Z236" s="106"/>
      <c r="AA236" s="104"/>
      <c r="AB236" s="105"/>
      <c r="AC236" s="105"/>
      <c r="AD236" s="106"/>
      <c r="AE236" s="107">
        <f>SUM(AE228:AE235)</f>
        <v>0</v>
      </c>
      <c r="AF236" s="108">
        <f t="shared" si="422"/>
        <v>0</v>
      </c>
      <c r="AG236" s="109">
        <f>IFERROR(  SUMPRODUCT(AG228:AG235,AJ228:AJ235)/AJ236,0)</f>
        <v>0</v>
      </c>
      <c r="AH236" s="157"/>
      <c r="AI236" s="111">
        <f t="shared" ref="AI236:AJ236" si="432">SUM(AI228:AI235)</f>
        <v>0</v>
      </c>
      <c r="AJ236" s="111">
        <f t="shared" si="432"/>
        <v>0</v>
      </c>
      <c r="AK236" s="112">
        <f>IF(SUM(AK228:AK235)=0,TIME(,0,),TIME(,SUM(AK228:AK235)+F!$V$37,))</f>
        <v>0</v>
      </c>
      <c r="AL236" s="98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ht="15.0" hidden="1" customHeight="1">
      <c r="A237" s="113">
        <f>A238</f>
        <v>43810</v>
      </c>
      <c r="B237" s="114" t="str">
        <f t="shared" ref="B237:F237" si="433">IF(B181="","",B181)</f>
        <v>Тяжелая</v>
      </c>
      <c r="C237" s="115" t="str">
        <f t="shared" si="433"/>
        <v>ТГ</v>
      </c>
      <c r="D237" s="116" t="str">
        <f t="shared" si="433"/>
        <v>Становая тяга</v>
      </c>
      <c r="E237" s="29">
        <f t="shared" si="433"/>
        <v>1.4</v>
      </c>
      <c r="F237" s="117" t="str">
        <f t="shared" si="433"/>
        <v/>
      </c>
      <c r="G237" s="118" t="str">
        <f t="shared" ref="G237:G244" si="435">IF(J237&lt;&gt;0, IFERROR(IF( $F237=2,  MROUND($AH237*J237,1),    IF( OR($F237="",$F237=1),   MROUND($AH237*J237,2.5),  MROUND($AH237*J237, 0.1))), "" ), "")</f>
        <v/>
      </c>
      <c r="H237" s="119"/>
      <c r="I237" s="119"/>
      <c r="J237" s="120"/>
      <c r="K237" s="118" t="str">
        <f t="shared" ref="K237:K244" si="436">IF(N237&lt;&gt;0, IFERROR(IF( $F237=2,  MROUND($AH237*N237,1),    IF( OR($F237="",$F237=1),   MROUND($AH237*N237,2.5),  MROUND($AH237*N237, 0.1))), "" ), "")</f>
        <v/>
      </c>
      <c r="L237" s="119"/>
      <c r="M237" s="119"/>
      <c r="N237" s="120"/>
      <c r="O237" s="118" t="str">
        <f t="shared" ref="O237:O244" si="437">IF(R237&lt;&gt;0, IFERROR(IF( $F237=2,  MROUND($AH237*R237,1),    IF( OR($F237="",$F237=1),   MROUND($AH237*R237,2.5),  MROUND($AH237*R237, 0.1))), "" ), "")</f>
        <v/>
      </c>
      <c r="P237" s="119"/>
      <c r="Q237" s="119"/>
      <c r="R237" s="120"/>
      <c r="S237" s="118" t="str">
        <f t="shared" ref="S237:S244" si="438">IF(V237&lt;&gt;0, IFERROR(IF( $F237=2,  MROUND($AH237*V237,1),    IF( OR($F237="",$F237=1),   MROUND($AH237*V237,2.5),  MROUND($AH237*V237, 0.1))), "" ), "")</f>
        <v/>
      </c>
      <c r="T237" s="119"/>
      <c r="U237" s="119"/>
      <c r="V237" s="120"/>
      <c r="W237" s="118" t="str">
        <f t="shared" ref="W237:W244" si="439">IF(Z237&lt;&gt;0, IFERROR(IF( $F237=2,  MROUND($AH237*Z237,1),    IF( OR($F237="",$F237=1),   MROUND($AH237*Z237,2.5),  MROUND($AH237*Z237, 0.1))), "" ), "")</f>
        <v/>
      </c>
      <c r="X237" s="119"/>
      <c r="Y237" s="119"/>
      <c r="Z237" s="120"/>
      <c r="AA237" s="118" t="str">
        <f t="shared" ref="AA237:AA244" si="440">IF(AD237&lt;&gt;0, IFERROR(IF( $F237=2,  MROUND($AH237*AD237,1),    IF( OR($F237="",$F237=1),   MROUND($AH237*AD237,2.5),  MROUND($AH237*AD237, 0.1))), "" ), "")</f>
        <v/>
      </c>
      <c r="AB237" s="119"/>
      <c r="AC237" s="119"/>
      <c r="AD237" s="120"/>
      <c r="AE237" s="121">
        <f t="shared" ref="AE237:AE244" si="441">(IF(ISNUMBER(G237),G237,0)*H237*I237+IF(ISNUMBER(K237),K237,1)*L237*M237+IF(ISNUMBER(O237),O237,1)*P237*Q237+IF(ISNUMBER(S237),S237,1)*T237*U237+IF(ISNUMBER(W237),W237,1)*X237*Y237+IF(ISNUMBER(AA237),AA237,1)*AB237*AC237)*IF(ISNUMBER(F237),F237,1)</f>
        <v>0</v>
      </c>
      <c r="AF237" s="122">
        <f t="shared" si="422"/>
        <v>0</v>
      </c>
      <c r="AG237" s="200">
        <f t="shared" ref="AG237:AG244" si="442">IFERROR((AF237/(AH237*IF(ISNUMBER(F237),F237,1))),0)</f>
        <v>0</v>
      </c>
      <c r="AH237" s="169">
        <f t="shared" ref="AH237:AH244" si="443">IF(ISNUMBER(AH181), AH181+(AH181*$AH$226),"")</f>
        <v>200.2499496</v>
      </c>
      <c r="AI237" s="122">
        <f> ( IF(ISNUMBER(G237), VLOOKUP(G237/$AH237,F!$A1:$B101,2,1)*G237*$H237*$I237,0)+IF(ISNUMBER(K237), VLOOKUP(K237/$AH237,F!$A1:$B101,2,1)*K237*$L237*$M237,0)+IF(ISNUMBER(O237), VLOOKUP(O237/$AH237,F!$A1:$B101,2,1)*O237*$P237*$Q237,0)+IF(ISNUMBER(S237), VLOOKUP(S237/$AH237,F!$A1:$B101,2,1)*S237*$T237*$U237,0)+IF(ISNUMBER(W237), VLOOKUP(W237/$AH237,F!$A1:$B101,2,1)*W237*$X237*$Y237,0)+IF(ISNUMBER(AA237), VLOOKUP(AA237/$AH237,F!$A1:$B101,2,1)*AA237*$AB237*$AC237,0))*IF(ISNUMBER(F237),F237,1)*IF(ISNUMBER(E237),E237,1)</f>
        <v>0</v>
      </c>
      <c r="AJ237" s="119">
        <f t="shared" ref="AJ237:AJ244" si="444">H237*I237+L237*M237+P237*Q237+T237*U237+X237*Y237+AB237*AC237</f>
        <v>0</v>
      </c>
      <c r="AK237" s="125">
        <f t="array" ref="AK237">IFERROR(I237*INDEX(F!$P$21:$AB$33, MATCH(G237/$AH237, F!$O$21:$O$33,1), MATCH(E237, F!$P$20:$AB$20,1)), 0 ) +IFERROR( M237*INDEX(F!$P$21:$AB$33, MATCH(K237/$AH237, F!$O$21:$O$33,1), MATCH(E237, F!$P$20:$AB$20,1)),0) +  IFERROR( Q237*INDEX(F!$P$21:$AB$33, MATCH(O237/$AH237, F!$O$21:$O$33,1), MATCH(E237, F!$P$20:$AB$20,1)), 0) + IFERROR( U237*INDEX(F!$P$21:$AB$33, MATCH(S237/$AH237, F!$O$21:$O$33,1), MATCH(E237, F!$P$20:$AB$20,1)),0)  + IFERROR(Y237*INDEX(F!$P$21:$AB$33, MATCH(W237/$AH237, F!$O$21:$O$33,1), MATCH(E237, F!$P$20:$AB$20,1)),0)  + IFERROR( AC237*INDEX(F!$P$21:$AB$33, MATCH(AA237/$AH237, F!$O$21:$O$33,1), MATCH(E237, F!$P$20:$AB$20,1)),)</f>
        <v>0</v>
      </c>
      <c r="AL237" s="42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ht="15.75" hidden="1" customHeight="1">
      <c r="A238" s="44">
        <f>A182+A170</f>
        <v>43810</v>
      </c>
      <c r="B238" s="126" t="str">
        <f t="shared" ref="B238:F238" si="434">IF(B182="","",B182)</f>
        <v>Средняя</v>
      </c>
      <c r="C238" s="127" t="str">
        <f t="shared" si="434"/>
        <v>ЖМ</v>
      </c>
      <c r="D238" s="128" t="str">
        <f t="shared" si="434"/>
        <v>Жим лежа</v>
      </c>
      <c r="E238" s="48">
        <f t="shared" si="434"/>
        <v>1</v>
      </c>
      <c r="F238" s="129" t="str">
        <f t="shared" si="434"/>
        <v/>
      </c>
      <c r="G238" s="130" t="str">
        <f t="shared" si="435"/>
        <v/>
      </c>
      <c r="H238" s="34"/>
      <c r="I238" s="34"/>
      <c r="J238" s="65"/>
      <c r="K238" s="130" t="str">
        <f t="shared" si="436"/>
        <v/>
      </c>
      <c r="L238" s="34"/>
      <c r="M238" s="34"/>
      <c r="N238" s="65"/>
      <c r="O238" s="130" t="str">
        <f t="shared" si="437"/>
        <v/>
      </c>
      <c r="P238" s="34"/>
      <c r="Q238" s="34"/>
      <c r="R238" s="65"/>
      <c r="S238" s="130" t="str">
        <f t="shared" si="438"/>
        <v/>
      </c>
      <c r="T238" s="34"/>
      <c r="U238" s="34"/>
      <c r="V238" s="65"/>
      <c r="W238" s="130" t="str">
        <f t="shared" si="439"/>
        <v/>
      </c>
      <c r="X238" s="34"/>
      <c r="Y238" s="34"/>
      <c r="Z238" s="65"/>
      <c r="AA238" s="130" t="str">
        <f t="shared" si="440"/>
        <v/>
      </c>
      <c r="AB238" s="34"/>
      <c r="AC238" s="34"/>
      <c r="AD238" s="65"/>
      <c r="AE238" s="131">
        <f t="shared" si="441"/>
        <v>0</v>
      </c>
      <c r="AF238" s="132">
        <f t="shared" si="422"/>
        <v>0</v>
      </c>
      <c r="AG238" s="133">
        <f t="shared" si="442"/>
        <v>0</v>
      </c>
      <c r="AH238" s="76">
        <f t="shared" si="443"/>
        <v>102.8310552</v>
      </c>
      <c r="AI238" s="132">
        <f> ( IF(ISNUMBER(G238), VLOOKUP(G238/$AH238,F!$A1:$B101,2,1)*G238*$H238*$I238,0)+IF(ISNUMBER(K238), VLOOKUP(K238/$AH238,F!$A1:$B101,2,1)*K238*$L238*$M238,0)+IF(ISNUMBER(O238), VLOOKUP(O238/$AH238,F!$A1:$B101,2,1)*O238*$P238*$Q238,0)+IF(ISNUMBER(S238), VLOOKUP(S238/$AH238,F!$A1:$B101,2,1)*S238*$T238*$U238,0)+IF(ISNUMBER(W238), VLOOKUP(W238/$AH238,F!$A1:$B101,2,1)*W238*$X238*$Y238,0)+IF(ISNUMBER(AA238), VLOOKUP(AA238/$AH238,F!$A1:$B101,2,1)*AA238*$AB238*$AC238,0))*IF(ISNUMBER(F238),F238,1)*IF(ISNUMBER(E238),E238,1)</f>
        <v>0</v>
      </c>
      <c r="AJ238" s="34">
        <f t="shared" si="444"/>
        <v>0</v>
      </c>
      <c r="AK238" s="134">
        <f t="array" ref="AK238">IFERROR(I238*INDEX(F!$P$21:$AB$33, MATCH(G238/$AH238, F!$O$21:$O$33,1), MATCH(E238, F!$P$20:$AB$20,1)), 0 ) +IFERROR( M238*INDEX(F!$P$21:$AB$33, MATCH(K238/$AH238, F!$O$21:$O$33,1), MATCH(E238, F!$P$20:$AB$20,1)),0) +  IFERROR( Q238*INDEX(F!$P$21:$AB$33, MATCH(O238/$AH238, F!$O$21:$O$33,1), MATCH(E238, F!$P$20:$AB$20,1)), 0) + IFERROR( U238*INDEX(F!$P$21:$AB$33, MATCH(S238/$AH238, F!$O$21:$O$33,1), MATCH(E238, F!$P$20:$AB$20,1)),0)  + IFERROR(Y238*INDEX(F!$P$21:$AB$33, MATCH(W238/$AH238, F!$O$21:$O$33,1), MATCH(E238, F!$P$20:$AB$20,1)),0)  + IFERROR( AC238*INDEX(F!$P$21:$AB$33, MATCH(AA238/$AH238, F!$O$21:$O$33,1), MATCH(E238, F!$P$20:$AB$20,1)),)</f>
        <v>0</v>
      </c>
      <c r="AL238" s="59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ht="15.75" hidden="1" customHeight="1">
      <c r="A239" s="59"/>
      <c r="B239" s="135" t="str">
        <f t="shared" ref="B239:F239" si="445">IF(B183="","",B183)</f>
        <v>Легкая</v>
      </c>
      <c r="C239" s="136" t="str">
        <f t="shared" si="445"/>
        <v>ОФП</v>
      </c>
      <c r="D239" s="137" t="str">
        <f t="shared" si="445"/>
        <v>Наклоны со штангой</v>
      </c>
      <c r="E239" s="48">
        <f t="shared" si="445"/>
        <v>0.8</v>
      </c>
      <c r="F239" s="138" t="str">
        <f t="shared" si="445"/>
        <v/>
      </c>
      <c r="G239" s="139" t="str">
        <f t="shared" si="435"/>
        <v/>
      </c>
      <c r="H239" s="140"/>
      <c r="I239" s="140"/>
      <c r="J239" s="141"/>
      <c r="K239" s="139" t="str">
        <f t="shared" si="436"/>
        <v/>
      </c>
      <c r="L239" s="140"/>
      <c r="M239" s="140"/>
      <c r="N239" s="141"/>
      <c r="O239" s="139" t="str">
        <f t="shared" si="437"/>
        <v/>
      </c>
      <c r="P239" s="140"/>
      <c r="Q239" s="140"/>
      <c r="R239" s="141"/>
      <c r="S239" s="139" t="str">
        <f t="shared" si="438"/>
        <v/>
      </c>
      <c r="T239" s="140"/>
      <c r="U239" s="140"/>
      <c r="V239" s="141"/>
      <c r="W239" s="139" t="str">
        <f t="shared" si="439"/>
        <v/>
      </c>
      <c r="X239" s="140"/>
      <c r="Y239" s="140"/>
      <c r="Z239" s="141"/>
      <c r="AA239" s="139" t="str">
        <f t="shared" si="440"/>
        <v/>
      </c>
      <c r="AB239" s="140"/>
      <c r="AC239" s="140"/>
      <c r="AD239" s="141"/>
      <c r="AE239" s="142">
        <f t="shared" si="441"/>
        <v>0</v>
      </c>
      <c r="AF239" s="143">
        <f t="shared" si="422"/>
        <v>0</v>
      </c>
      <c r="AG239" s="144">
        <f t="shared" si="442"/>
        <v>0</v>
      </c>
      <c r="AH239" s="76">
        <f t="shared" si="443"/>
        <v>110.1374723</v>
      </c>
      <c r="AI239" s="143">
        <f> ( IF(ISNUMBER(G239), VLOOKUP(G239/$AH239,F!$A1:$B101,2,1)*G239*$H239*$I239,0)+IF(ISNUMBER(K239), VLOOKUP(K239/$AH239,F!$A1:$B101,2,1)*K239*$L239*$M239,0)+IF(ISNUMBER(O239), VLOOKUP(O239/$AH239,F!$A1:$B101,2,1)*O239*$P239*$Q239,0)+IF(ISNUMBER(S239), VLOOKUP(S239/$AH239,F!$A1:$B101,2,1)*S239*$T239*$U239,0)+IF(ISNUMBER(W239), VLOOKUP(W239/$AH239,F!$A1:$B101,2,1)*W239*$X239*$Y239,0)+IF(ISNUMBER(AA239), VLOOKUP(AA239/$AH239,F!$A1:$B101,2,1)*AA239*$AB239*$AC239,0))*IF(ISNUMBER(F239),F239,1)*IF(ISNUMBER(E239),E239,1)</f>
        <v>0</v>
      </c>
      <c r="AJ239" s="140">
        <f t="shared" si="444"/>
        <v>0</v>
      </c>
      <c r="AK239" s="145">
        <f t="array" ref="AK239">IFERROR(I239*INDEX(F!$P$21:$AB$33, MATCH(G239/$AH239, F!$O$21:$O$33,1), MATCH(E239, F!$P$20:$AB$20,1)), 0 ) +IFERROR( M239*INDEX(F!$P$21:$AB$33, MATCH(K239/$AH239, F!$O$21:$O$33,1), MATCH(E239, F!$P$20:$AB$20,1)),0) +  IFERROR( Q239*INDEX(F!$P$21:$AB$33, MATCH(O239/$AH239, F!$O$21:$O$33,1), MATCH(E239, F!$P$20:$AB$20,1)), 0) + IFERROR( U239*INDEX(F!$P$21:$AB$33, MATCH(S239/$AH239, F!$O$21:$O$33,1), MATCH(E239, F!$P$20:$AB$20,1)),0)  + IFERROR(Y239*INDEX(F!$P$21:$AB$33, MATCH(W239/$AH239, F!$O$21:$O$33,1), MATCH(E239, F!$P$20:$AB$20,1)),0)  + IFERROR( AC239*INDEX(F!$P$21:$AB$33, MATCH(AA239/$AH239, F!$O$21:$O$33,1), MATCH(E239, F!$P$20:$AB$20,1)),)</f>
        <v>0</v>
      </c>
      <c r="AL239" s="59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ht="15.75" hidden="1" customHeight="1">
      <c r="A240" s="59"/>
      <c r="B240" s="126" t="str">
        <f t="shared" ref="B240:F240" si="446">IF(B184="","",B184)</f>
        <v>Средняя</v>
      </c>
      <c r="C240" s="127" t="str">
        <f t="shared" si="446"/>
        <v>ОФП</v>
      </c>
      <c r="D240" s="128" t="str">
        <f t="shared" si="446"/>
        <v>Жим стоя</v>
      </c>
      <c r="E240" s="48">
        <f t="shared" si="446"/>
        <v>1</v>
      </c>
      <c r="F240" s="129" t="str">
        <f t="shared" si="446"/>
        <v/>
      </c>
      <c r="G240" s="130" t="str">
        <f t="shared" si="435"/>
        <v/>
      </c>
      <c r="H240" s="34"/>
      <c r="I240" s="34"/>
      <c r="J240" s="65"/>
      <c r="K240" s="130" t="str">
        <f t="shared" si="436"/>
        <v/>
      </c>
      <c r="L240" s="34"/>
      <c r="M240" s="34"/>
      <c r="N240" s="65"/>
      <c r="O240" s="130" t="str">
        <f t="shared" si="437"/>
        <v/>
      </c>
      <c r="P240" s="34"/>
      <c r="Q240" s="34"/>
      <c r="R240" s="65"/>
      <c r="S240" s="130" t="str">
        <f t="shared" si="438"/>
        <v/>
      </c>
      <c r="T240" s="34"/>
      <c r="U240" s="34"/>
      <c r="V240" s="65"/>
      <c r="W240" s="130" t="str">
        <f t="shared" si="439"/>
        <v/>
      </c>
      <c r="X240" s="34"/>
      <c r="Y240" s="34"/>
      <c r="Z240" s="65"/>
      <c r="AA240" s="130" t="str">
        <f t="shared" si="440"/>
        <v/>
      </c>
      <c r="AB240" s="34"/>
      <c r="AC240" s="34"/>
      <c r="AD240" s="65"/>
      <c r="AE240" s="131">
        <f t="shared" si="441"/>
        <v>0</v>
      </c>
      <c r="AF240" s="132">
        <f t="shared" si="422"/>
        <v>0</v>
      </c>
      <c r="AG240" s="133">
        <f t="shared" si="442"/>
        <v>0</v>
      </c>
      <c r="AH240" s="76">
        <f t="shared" si="443"/>
        <v>61.69863312</v>
      </c>
      <c r="AI240" s="132">
        <f> ( IF(ISNUMBER(G240), VLOOKUP(G240/$AH240,F!$A1:$B101,2,1)*G240*$H240*$I240,0)+IF(ISNUMBER(K240), VLOOKUP(K240/$AH240,F!$A1:$B101,2,1)*K240*$L240*$M240,0)+IF(ISNUMBER(O240), VLOOKUP(O240/$AH240,F!$A1:$B101,2,1)*O240*$P240*$Q240,0)+IF(ISNUMBER(S240), VLOOKUP(S240/$AH240,F!$A1:$B101,2,1)*S240*$T240*$U240,0)+IF(ISNUMBER(W240), VLOOKUP(W240/$AH240,F!$A1:$B101,2,1)*W240*$X240*$Y240,0)+IF(ISNUMBER(AA240), VLOOKUP(AA240/$AH240,F!$A1:$B101,2,1)*AA240*$AB240*$AC240,0))*IF(ISNUMBER(F240),F240,1)*IF(ISNUMBER(E240),E240,1)</f>
        <v>0</v>
      </c>
      <c r="AJ240" s="34">
        <f t="shared" si="444"/>
        <v>0</v>
      </c>
      <c r="AK240" s="134">
        <f t="array" ref="AK240">IFERROR(I240*INDEX(F!$P$21:$AB$33, MATCH(G240/$AH240, F!$O$21:$O$33,1), MATCH(E240, F!$P$20:$AB$20,1)), 0 ) +IFERROR( M240*INDEX(F!$P$21:$AB$33, MATCH(K240/$AH240, F!$O$21:$O$33,1), MATCH(E240, F!$P$20:$AB$20,1)),0) +  IFERROR( Q240*INDEX(F!$P$21:$AB$33, MATCH(O240/$AH240, F!$O$21:$O$33,1), MATCH(E240, F!$P$20:$AB$20,1)), 0) + IFERROR( U240*INDEX(F!$P$21:$AB$33, MATCH(S240/$AH240, F!$O$21:$O$33,1), MATCH(E240, F!$P$20:$AB$20,1)),0)  + IFERROR(Y240*INDEX(F!$P$21:$AB$33, MATCH(W240/$AH240, F!$O$21:$O$33,1), MATCH(E240, F!$P$20:$AB$20,1)),0)  + IFERROR( AC240*INDEX(F!$P$21:$AB$33, MATCH(AA240/$AH240, F!$O$21:$O$33,1), MATCH(E240, F!$P$20:$AB$20,1)),)</f>
        <v>0</v>
      </c>
      <c r="AL240" s="59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ht="15.75" hidden="1" customHeight="1">
      <c r="A241" s="59"/>
      <c r="B241" s="135" t="str">
        <f t="shared" ref="B241:F241" si="447">IF(B185="","",B185)</f>
        <v>Средняя</v>
      </c>
      <c r="C241" s="136" t="str">
        <f t="shared" si="447"/>
        <v>ЖМ</v>
      </c>
      <c r="D241" s="137" t="str">
        <f t="shared" si="447"/>
        <v>Жим средним хватом</v>
      </c>
      <c r="E241" s="48">
        <f t="shared" si="447"/>
        <v>1</v>
      </c>
      <c r="F241" s="138" t="str">
        <f t="shared" si="447"/>
        <v/>
      </c>
      <c r="G241" s="139" t="str">
        <f t="shared" si="435"/>
        <v/>
      </c>
      <c r="H241" s="140"/>
      <c r="I241" s="140"/>
      <c r="J241" s="141"/>
      <c r="K241" s="139" t="str">
        <f t="shared" si="436"/>
        <v/>
      </c>
      <c r="L241" s="140"/>
      <c r="M241" s="140"/>
      <c r="N241" s="141"/>
      <c r="O241" s="139" t="str">
        <f t="shared" si="437"/>
        <v/>
      </c>
      <c r="P241" s="140"/>
      <c r="Q241" s="140"/>
      <c r="R241" s="141"/>
      <c r="S241" s="139" t="str">
        <f t="shared" si="438"/>
        <v/>
      </c>
      <c r="T241" s="140"/>
      <c r="U241" s="140"/>
      <c r="V241" s="141"/>
      <c r="W241" s="139" t="str">
        <f t="shared" si="439"/>
        <v/>
      </c>
      <c r="X241" s="140"/>
      <c r="Y241" s="140"/>
      <c r="Z241" s="141"/>
      <c r="AA241" s="139" t="str">
        <f t="shared" si="440"/>
        <v/>
      </c>
      <c r="AB241" s="140"/>
      <c r="AC241" s="140"/>
      <c r="AD241" s="141"/>
      <c r="AE241" s="142">
        <f t="shared" si="441"/>
        <v>0</v>
      </c>
      <c r="AF241" s="143">
        <f t="shared" si="422"/>
        <v>0</v>
      </c>
      <c r="AG241" s="144">
        <f t="shared" si="442"/>
        <v>0</v>
      </c>
      <c r="AH241" s="76">
        <f t="shared" si="443"/>
        <v>87.40639692</v>
      </c>
      <c r="AI241" s="143">
        <f> ( IF(ISNUMBER(G241), VLOOKUP(G241/$AH241,F!$A1:$B101,2,1)*G241*$H241*$I241,0)+IF(ISNUMBER(K241), VLOOKUP(K241/$AH241,F!$A1:$B101,2,1)*K241*$L241*$M241,0)+IF(ISNUMBER(O241), VLOOKUP(O241/$AH241,F!$A1:$B101,2,1)*O241*$P241*$Q241,0)+IF(ISNUMBER(S241), VLOOKUP(S241/$AH241,F!$A1:$B101,2,1)*S241*$T241*$U241,0)+IF(ISNUMBER(W241), VLOOKUP(W241/$AH241,F!$A1:$B101,2,1)*W241*$X241*$Y241,0)+IF(ISNUMBER(AA241), VLOOKUP(AA241/$AH241,F!$A1:$B101,2,1)*AA241*$AB241*$AC241,0))*IF(ISNUMBER(F241),F241,1)*IF(ISNUMBER(E241),E241,1)</f>
        <v>0</v>
      </c>
      <c r="AJ241" s="140">
        <f t="shared" si="444"/>
        <v>0</v>
      </c>
      <c r="AK241" s="145">
        <f t="array" ref="AK241">IFERROR(I241*INDEX(F!$P$21:$AB$33, MATCH(G241/$AH241, F!$O$21:$O$33,1), MATCH(E241, F!$P$20:$AB$20,1)), 0 ) +IFERROR( M241*INDEX(F!$P$21:$AB$33, MATCH(K241/$AH241, F!$O$21:$O$33,1), MATCH(E241, F!$P$20:$AB$20,1)),0) +  IFERROR( Q241*INDEX(F!$P$21:$AB$33, MATCH(O241/$AH241, F!$O$21:$O$33,1), MATCH(E241, F!$P$20:$AB$20,1)), 0) + IFERROR( U241*INDEX(F!$P$21:$AB$33, MATCH(S241/$AH241, F!$O$21:$O$33,1), MATCH(E241, F!$P$20:$AB$20,1)),0)  + IFERROR(Y241*INDEX(F!$P$21:$AB$33, MATCH(W241/$AH241, F!$O$21:$O$33,1), MATCH(E241, F!$P$20:$AB$20,1)),0)  + IFERROR( AC241*INDEX(F!$P$21:$AB$33, MATCH(AA241/$AH241, F!$O$21:$O$33,1), MATCH(E241, F!$P$20:$AB$20,1)),)</f>
        <v>0</v>
      </c>
      <c r="AL241" s="59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ht="15.75" hidden="1" customHeight="1">
      <c r="A242" s="59"/>
      <c r="B242" s="126" t="str">
        <f t="shared" ref="B242:F242" si="448">IF(B186="","",B186)</f>
        <v/>
      </c>
      <c r="C242" s="127" t="str">
        <f t="shared" si="448"/>
        <v/>
      </c>
      <c r="D242" s="128" t="str">
        <f t="shared" si="448"/>
        <v/>
      </c>
      <c r="E242" s="48" t="str">
        <f t="shared" si="448"/>
        <v/>
      </c>
      <c r="F242" s="129" t="str">
        <f t="shared" si="448"/>
        <v/>
      </c>
      <c r="G242" s="130" t="str">
        <f t="shared" si="435"/>
        <v/>
      </c>
      <c r="H242" s="34"/>
      <c r="I242" s="34"/>
      <c r="J242" s="65"/>
      <c r="K242" s="130" t="str">
        <f t="shared" si="436"/>
        <v/>
      </c>
      <c r="L242" s="34"/>
      <c r="M242" s="34"/>
      <c r="N242" s="65"/>
      <c r="O242" s="130" t="str">
        <f t="shared" si="437"/>
        <v/>
      </c>
      <c r="P242" s="34"/>
      <c r="Q242" s="34"/>
      <c r="R242" s="65"/>
      <c r="S242" s="130" t="str">
        <f t="shared" si="438"/>
        <v/>
      </c>
      <c r="T242" s="34"/>
      <c r="U242" s="34"/>
      <c r="V242" s="65"/>
      <c r="W242" s="130" t="str">
        <f t="shared" si="439"/>
        <v/>
      </c>
      <c r="X242" s="34"/>
      <c r="Y242" s="34"/>
      <c r="Z242" s="65"/>
      <c r="AA242" s="130" t="str">
        <f t="shared" si="440"/>
        <v/>
      </c>
      <c r="AB242" s="34"/>
      <c r="AC242" s="34"/>
      <c r="AD242" s="65"/>
      <c r="AE242" s="131">
        <f t="shared" si="441"/>
        <v>0</v>
      </c>
      <c r="AF242" s="132">
        <f t="shared" si="422"/>
        <v>0</v>
      </c>
      <c r="AG242" s="133">
        <f t="shared" si="442"/>
        <v>0</v>
      </c>
      <c r="AH242" s="76" t="str">
        <f t="shared" si="443"/>
        <v/>
      </c>
      <c r="AI242" s="132">
        <f> ( IF(ISNUMBER(G242), VLOOKUP(G242/$AH242,F!$A1:$B101,2,1)*G242*$H242*$I242,0)+IF(ISNUMBER(K242), VLOOKUP(K242/$AH242,F!$A1:$B101,2,1)*K242*$L242*$M242,0)+IF(ISNUMBER(O242), VLOOKUP(O242/$AH242,F!$A1:$B101,2,1)*O242*$P242*$Q242,0)+IF(ISNUMBER(S242), VLOOKUP(S242/$AH242,F!$A1:$B101,2,1)*S242*$T242*$U242,0)+IF(ISNUMBER(W242), VLOOKUP(W242/$AH242,F!$A1:$B101,2,1)*W242*$X242*$Y242,0)+IF(ISNUMBER(AA242), VLOOKUP(AA242/$AH242,F!$A1:$B101,2,1)*AA242*$AB242*$AC242,0))*IF(ISNUMBER(F242),F242,1)*IF(ISNUMBER(E242),E242,1)</f>
        <v>0</v>
      </c>
      <c r="AJ242" s="34">
        <f t="shared" si="444"/>
        <v>0</v>
      </c>
      <c r="AK242" s="134">
        <f t="array" ref="AK242">IFERROR(I242*INDEX(F!$P$21:$AB$33, MATCH(G242/$AH242, F!$O$21:$O$33,1), MATCH(E242, F!$P$20:$AB$20,1)), 0 ) +IFERROR( M242*INDEX(F!$P$21:$AB$33, MATCH(K242/$AH242, F!$O$21:$O$33,1), MATCH(E242, F!$P$20:$AB$20,1)),0) +  IFERROR( Q242*INDEX(F!$P$21:$AB$33, MATCH(O242/$AH242, F!$O$21:$O$33,1), MATCH(E242, F!$P$20:$AB$20,1)), 0) + IFERROR( U242*INDEX(F!$P$21:$AB$33, MATCH(S242/$AH242, F!$O$21:$O$33,1), MATCH(E242, F!$P$20:$AB$20,1)),0)  + IFERROR(Y242*INDEX(F!$P$21:$AB$33, MATCH(W242/$AH242, F!$O$21:$O$33,1), MATCH(E242, F!$P$20:$AB$20,1)),0)  + IFERROR( AC242*INDEX(F!$P$21:$AB$33, MATCH(AA242/$AH242, F!$O$21:$O$33,1), MATCH(E242, F!$P$20:$AB$20,1)),)</f>
        <v>0</v>
      </c>
      <c r="AL242" s="59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ht="15.75" hidden="1" customHeight="1">
      <c r="A243" s="59"/>
      <c r="B243" s="135" t="str">
        <f t="shared" ref="B243:F243" si="449">IF(B187="","",B187)</f>
        <v/>
      </c>
      <c r="C243" s="136" t="str">
        <f t="shared" si="449"/>
        <v/>
      </c>
      <c r="D243" s="137" t="str">
        <f t="shared" si="449"/>
        <v/>
      </c>
      <c r="E243" s="48" t="str">
        <f t="shared" si="449"/>
        <v/>
      </c>
      <c r="F243" s="138" t="str">
        <f t="shared" si="449"/>
        <v/>
      </c>
      <c r="G243" s="139" t="str">
        <f t="shared" si="435"/>
        <v/>
      </c>
      <c r="H243" s="140"/>
      <c r="I243" s="140"/>
      <c r="J243" s="141"/>
      <c r="K243" s="139" t="str">
        <f t="shared" si="436"/>
        <v/>
      </c>
      <c r="L243" s="140"/>
      <c r="M243" s="140"/>
      <c r="N243" s="141"/>
      <c r="O243" s="139" t="str">
        <f t="shared" si="437"/>
        <v/>
      </c>
      <c r="P243" s="140"/>
      <c r="Q243" s="140"/>
      <c r="R243" s="141"/>
      <c r="S243" s="139" t="str">
        <f t="shared" si="438"/>
        <v/>
      </c>
      <c r="T243" s="140"/>
      <c r="U243" s="140"/>
      <c r="V243" s="141"/>
      <c r="W243" s="139" t="str">
        <f t="shared" si="439"/>
        <v/>
      </c>
      <c r="X243" s="140"/>
      <c r="Y243" s="140"/>
      <c r="Z243" s="141"/>
      <c r="AA243" s="139" t="str">
        <f t="shared" si="440"/>
        <v/>
      </c>
      <c r="AB243" s="140"/>
      <c r="AC243" s="140"/>
      <c r="AD243" s="141"/>
      <c r="AE243" s="142">
        <f t="shared" si="441"/>
        <v>0</v>
      </c>
      <c r="AF243" s="143">
        <f t="shared" si="422"/>
        <v>0</v>
      </c>
      <c r="AG243" s="144">
        <f t="shared" si="442"/>
        <v>0</v>
      </c>
      <c r="AH243" s="76" t="str">
        <f t="shared" si="443"/>
        <v/>
      </c>
      <c r="AI243" s="143">
        <f> ( IF(ISNUMBER(G243), VLOOKUP(G243/$AH243,F!$A1:$B101,2,1)*G243*$H243*$I243,0)+IF(ISNUMBER(K243), VLOOKUP(K243/$AH243,F!$A1:$B101,2,1)*K243*$L243*$M243,0)+IF(ISNUMBER(O243), VLOOKUP(O243/$AH243,F!$A1:$B101,2,1)*O243*$P243*$Q243,0)+IF(ISNUMBER(S243), VLOOKUP(S243/$AH243,F!$A1:$B101,2,1)*S243*$T243*$U243,0)+IF(ISNUMBER(W243), VLOOKUP(W243/$AH243,F!$A1:$B101,2,1)*W243*$X243*$Y243,0)+IF(ISNUMBER(AA243), VLOOKUP(AA243/$AH243,F!$A1:$B101,2,1)*AA243*$AB243*$AC243,0))*IF(ISNUMBER(F243),F243,1)*IF(ISNUMBER(E243),E243,1)</f>
        <v>0</v>
      </c>
      <c r="AJ243" s="140">
        <f t="shared" si="444"/>
        <v>0</v>
      </c>
      <c r="AK243" s="145">
        <f t="array" ref="AK243">IFERROR(I243*INDEX(F!$P$21:$AB$33, MATCH(G243/$AH243, F!$O$21:$O$33,1), MATCH(E243, F!$P$20:$AB$20,1)), 0 ) +IFERROR( M243*INDEX(F!$P$21:$AB$33, MATCH(K243/$AH243, F!$O$21:$O$33,1), MATCH(E243, F!$P$20:$AB$20,1)),0) +  IFERROR( Q243*INDEX(F!$P$21:$AB$33, MATCH(O243/$AH243, F!$O$21:$O$33,1), MATCH(E243, F!$P$20:$AB$20,1)), 0) + IFERROR( U243*INDEX(F!$P$21:$AB$33, MATCH(S243/$AH243, F!$O$21:$O$33,1), MATCH(E243, F!$P$20:$AB$20,1)),0)  + IFERROR(Y243*INDEX(F!$P$21:$AB$33, MATCH(W243/$AH243, F!$O$21:$O$33,1), MATCH(E243, F!$P$20:$AB$20,1)),0)  + IFERROR( AC243*INDEX(F!$P$21:$AB$33, MATCH(AA243/$AH243, F!$O$21:$O$33,1), MATCH(E243, F!$P$20:$AB$20,1)),)</f>
        <v>0</v>
      </c>
      <c r="AL243" s="59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ht="15.75" hidden="1" customHeight="1">
      <c r="A244" s="59"/>
      <c r="B244" s="126" t="str">
        <f t="shared" ref="B244:F244" si="450">IF(B188="","",B188)</f>
        <v/>
      </c>
      <c r="C244" s="127" t="str">
        <f t="shared" si="450"/>
        <v/>
      </c>
      <c r="D244" s="128" t="str">
        <f t="shared" si="450"/>
        <v/>
      </c>
      <c r="E244" s="48" t="str">
        <f t="shared" si="450"/>
        <v/>
      </c>
      <c r="F244" s="129" t="str">
        <f t="shared" si="450"/>
        <v/>
      </c>
      <c r="G244" s="130" t="str">
        <f t="shared" si="435"/>
        <v/>
      </c>
      <c r="H244" s="34"/>
      <c r="I244" s="34"/>
      <c r="J244" s="65"/>
      <c r="K244" s="130" t="str">
        <f t="shared" si="436"/>
        <v/>
      </c>
      <c r="L244" s="34"/>
      <c r="M244" s="34"/>
      <c r="N244" s="65"/>
      <c r="O244" s="130" t="str">
        <f t="shared" si="437"/>
        <v/>
      </c>
      <c r="P244" s="34"/>
      <c r="Q244" s="34"/>
      <c r="R244" s="65"/>
      <c r="S244" s="130" t="str">
        <f t="shared" si="438"/>
        <v/>
      </c>
      <c r="T244" s="34"/>
      <c r="U244" s="34"/>
      <c r="V244" s="65"/>
      <c r="W244" s="130" t="str">
        <f t="shared" si="439"/>
        <v/>
      </c>
      <c r="X244" s="34"/>
      <c r="Y244" s="34"/>
      <c r="Z244" s="65"/>
      <c r="AA244" s="130" t="str">
        <f t="shared" si="440"/>
        <v/>
      </c>
      <c r="AB244" s="34"/>
      <c r="AC244" s="34"/>
      <c r="AD244" s="65"/>
      <c r="AE244" s="131">
        <f t="shared" si="441"/>
        <v>0</v>
      </c>
      <c r="AF244" s="132">
        <f t="shared" si="422"/>
        <v>0</v>
      </c>
      <c r="AG244" s="133">
        <f t="shared" si="442"/>
        <v>0</v>
      </c>
      <c r="AH244" s="76" t="str">
        <f t="shared" si="443"/>
        <v/>
      </c>
      <c r="AI244" s="132">
        <f> ( IF(ISNUMBER(G244), VLOOKUP(G244/$AH244,F!$A1:$B101,2,1)*G244*$H244*$I244,0)+IF(ISNUMBER(K244), VLOOKUP(K244/$AH244,F!$A1:$B101,2,1)*K244*$L244*$M244,0)+IF(ISNUMBER(O244), VLOOKUP(O244/$AH244,F!$A1:$B101,2,1)*O244*$P244*$Q244,0)+IF(ISNUMBER(S244), VLOOKUP(S244/$AH244,F!$A1:$B101,2,1)*S244*$T244*$U244,0)+IF(ISNUMBER(W244), VLOOKUP(W244/$AH244,F!$A1:$B101,2,1)*W244*$X244*$Y244,0)+IF(ISNUMBER(AA244), VLOOKUP(AA244/$AH244,F!$A1:$B101,2,1)*AA244*$AB244*$AC244,0))*IF(ISNUMBER(F244),F244,1)*IF(ISNUMBER(E244),E244,1)</f>
        <v>0</v>
      </c>
      <c r="AJ244" s="34">
        <f t="shared" si="444"/>
        <v>0</v>
      </c>
      <c r="AK244" s="134">
        <f t="array" ref="AK244">IFERROR(I244*INDEX(F!$P$21:$AB$33, MATCH(G244/$AH244, F!$O$21:$O$33,1), MATCH(E244, F!$P$20:$AB$20,1)), 0 ) +IFERROR( M244*INDEX(F!$P$21:$AB$33, MATCH(K244/$AH244, F!$O$21:$O$33,1), MATCH(E244, F!$P$20:$AB$20,1)),0) +  IFERROR( Q244*INDEX(F!$P$21:$AB$33, MATCH(O244/$AH244, F!$O$21:$O$33,1), MATCH(E244, F!$P$20:$AB$20,1)), 0) + IFERROR( U244*INDEX(F!$P$21:$AB$33, MATCH(S244/$AH244, F!$O$21:$O$33,1), MATCH(E244, F!$P$20:$AB$20,1)),0)  + IFERROR(Y244*INDEX(F!$P$21:$AB$33, MATCH(W244/$AH244, F!$O$21:$O$33,1), MATCH(E244, F!$P$20:$AB$20,1)),0)  + IFERROR( AC244*INDEX(F!$P$21:$AB$33, MATCH(AA244/$AH244, F!$O$21:$O$33,1), MATCH(E244, F!$P$20:$AB$20,1)),)</f>
        <v>0</v>
      </c>
      <c r="AL244" s="59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ht="15.75" hidden="1" customHeight="1">
      <c r="A245" s="98"/>
      <c r="B245" s="150"/>
      <c r="C245" s="151"/>
      <c r="D245" s="152"/>
      <c r="E245" s="102">
        <f>ROUND(IFERROR(SUMPRODUCT(AJ237:AJ244,E237:E244)/AJ245,0),3)</f>
        <v>0</v>
      </c>
      <c r="F245" s="153"/>
      <c r="G245" s="154"/>
      <c r="H245" s="155"/>
      <c r="I245" s="155"/>
      <c r="J245" s="156"/>
      <c r="K245" s="154"/>
      <c r="L245" s="155"/>
      <c r="M245" s="155"/>
      <c r="N245" s="156"/>
      <c r="O245" s="154"/>
      <c r="P245" s="155"/>
      <c r="Q245" s="155"/>
      <c r="R245" s="156"/>
      <c r="S245" s="154"/>
      <c r="T245" s="155"/>
      <c r="U245" s="155"/>
      <c r="V245" s="156"/>
      <c r="W245" s="154"/>
      <c r="X245" s="155"/>
      <c r="Y245" s="155"/>
      <c r="Z245" s="156"/>
      <c r="AA245" s="154"/>
      <c r="AB245" s="155"/>
      <c r="AC245" s="155"/>
      <c r="AD245" s="156"/>
      <c r="AE245" s="107">
        <f>SUM(AE237:AE244)</f>
        <v>0</v>
      </c>
      <c r="AF245" s="108">
        <f t="shared" si="422"/>
        <v>0</v>
      </c>
      <c r="AG245" s="109">
        <f>IFERROR(  SUMPRODUCT(AG237:AG244,AJ237:AJ244)/AJ245,0)</f>
        <v>0</v>
      </c>
      <c r="AH245" s="157"/>
      <c r="AI245" s="111">
        <f t="shared" ref="AI245:AJ245" si="451">SUM(AI237:AI244)</f>
        <v>0</v>
      </c>
      <c r="AJ245" s="111">
        <f t="shared" si="451"/>
        <v>0</v>
      </c>
      <c r="AK245" s="112">
        <f>IF(SUM(AK237:AK244)=0,TIME(,0,),TIME(,SUM(AK237:AK244)+F!$V$37,))</f>
        <v>0</v>
      </c>
      <c r="AL245" s="98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ht="15.0" hidden="1" customHeight="1">
      <c r="A246" s="158">
        <f>A247</f>
        <v>43812</v>
      </c>
      <c r="B246" s="159" t="str">
        <f t="shared" ref="B246:F246" si="452">IF(B190="","",B190)</f>
        <v>Тяжелая</v>
      </c>
      <c r="C246" s="160" t="str">
        <f t="shared" si="452"/>
        <v>ПР</v>
      </c>
      <c r="D246" s="161" t="str">
        <f t="shared" si="452"/>
        <v>Присед</v>
      </c>
      <c r="E246" s="29">
        <f t="shared" si="452"/>
        <v>1.2</v>
      </c>
      <c r="F246" s="162" t="str">
        <f t="shared" si="452"/>
        <v/>
      </c>
      <c r="G246" s="163" t="str">
        <f t="shared" ref="G246:G253" si="454">IF(J246&lt;&gt;0, IFERROR(IF( $F246=2,  MROUND($AH246*J246,1),    IF( OR($F246="",$F246=1),   MROUND($AH246*J246,2.5),  MROUND($AH246*J246, 0.1))), "" ), "")</f>
        <v/>
      </c>
      <c r="H246" s="164"/>
      <c r="I246" s="164"/>
      <c r="J246" s="165"/>
      <c r="K246" s="163" t="str">
        <f t="shared" ref="K246:K253" si="455">IF(N246&lt;&gt;0, IFERROR(IF( $F246=2,  MROUND($AH246*N246,1),    IF( OR($F246="",$F246=1),   MROUND($AH246*N246,2.5),  MROUND($AH246*N246, 0.1))), "" ), "")</f>
        <v/>
      </c>
      <c r="L246" s="164"/>
      <c r="M246" s="164"/>
      <c r="N246" s="165"/>
      <c r="O246" s="163" t="str">
        <f t="shared" ref="O246:O253" si="456">IF(R246&lt;&gt;0, IFERROR(IF( $F246=2,  MROUND($AH246*R246,1),    IF( OR($F246="",$F246=1),   MROUND($AH246*R246,2.5),  MROUND($AH246*R246, 0.1))), "" ), "")</f>
        <v/>
      </c>
      <c r="P246" s="164"/>
      <c r="Q246" s="164"/>
      <c r="R246" s="165"/>
      <c r="S246" s="163" t="str">
        <f t="shared" ref="S246:S253" si="457">IF(V246&lt;&gt;0, IFERROR(IF( $F246=2,  MROUND($AH246*V246,1),    IF( OR($F246="",$F246=1),   MROUND($AH246*V246,2.5),  MROUND($AH246*V246, 0.1))), "" ), "")</f>
        <v/>
      </c>
      <c r="T246" s="164"/>
      <c r="U246" s="164"/>
      <c r="V246" s="165"/>
      <c r="W246" s="163" t="str">
        <f t="shared" ref="W246:W253" si="458">IF(Z246&lt;&gt;0, IFERROR(IF( $F246=2,  MROUND($AH246*Z246,1),    IF( OR($F246="",$F246=1),   MROUND($AH246*Z246,2.5),  MROUND($AH246*Z246, 0.1))), "" ), "")</f>
        <v/>
      </c>
      <c r="X246" s="164"/>
      <c r="Y246" s="164"/>
      <c r="Z246" s="165"/>
      <c r="AA246" s="163" t="str">
        <f t="shared" ref="AA246:AA253" si="459">IF(AD246&lt;&gt;0, IFERROR(IF( $F246=2,  MROUND($AH246*AD246,1),    IF( OR($F246="",$F246=1),   MROUND($AH246*AD246,2.5),  MROUND($AH246*AD246, 0.1))), "" ), "")</f>
        <v/>
      </c>
      <c r="AB246" s="164"/>
      <c r="AC246" s="164"/>
      <c r="AD246" s="165"/>
      <c r="AE246" s="166">
        <f t="shared" ref="AE246:AE253" si="460">(IF(ISNUMBER(G246),G246,0)*H246*I246+IF(ISNUMBER(K246),K246,1)*L246*M246+IF(ISNUMBER(O246),O246,1)*P246*Q246+IF(ISNUMBER(S246),S246,1)*T246*U246+IF(ISNUMBER(W246),W246,1)*X246*Y246+IF(ISNUMBER(AA246),AA246,1)*AB246*AC246)*IF(ISNUMBER(F246),F246,1)</f>
        <v>0</v>
      </c>
      <c r="AF246" s="167">
        <f t="shared" si="422"/>
        <v>0</v>
      </c>
      <c r="AG246" s="168">
        <f t="shared" ref="AG246:AG253" si="461">IFERROR((AF246/(AH246*IF(ISNUMBER(F246),F246,1))),0)</f>
        <v>0</v>
      </c>
      <c r="AH246" s="169">
        <f t="shared" ref="AH246:AH253" si="462">IF(ISNUMBER(AH190), AH190+(AH190*$AH$226),"")</f>
        <v>146.1283416</v>
      </c>
      <c r="AI246" s="167">
        <f> ( IF(ISNUMBER(G246), VLOOKUP(G246/$AH246,F!$A1:$B101,2,1)*G246*$H246*$I246,0)+IF(ISNUMBER(K246), VLOOKUP(K246/$AH246,F!$A1:$B101,2,1)*K246*$L246*$M246,0)+IF(ISNUMBER(O246), VLOOKUP(O246/$AH246,F!$A1:$B101,2,1)*O246*$P246*$Q246,0)+IF(ISNUMBER(S246), VLOOKUP(S246/$AH246,F!$A1:$B101,2,1)*S246*$T246*$U246,0)+IF(ISNUMBER(W246), VLOOKUP(W246/$AH246,F!$A1:$B101,2,1)*W246*$X246*$Y246,0)+IF(ISNUMBER(AA246), VLOOKUP(AA246/$AH246,F!$A1:$B101,2,1)*AA246*$AB246*$AC246,0))*IF(ISNUMBER(F246),F246,1)*IF(ISNUMBER(E246),E246,1)</f>
        <v>0</v>
      </c>
      <c r="AJ246" s="164">
        <f t="shared" ref="AJ246:AJ253" si="463">H246*I246+L246*M246+P246*Q246+T246*U246+X246*Y246+AB246*AC246</f>
        <v>0</v>
      </c>
      <c r="AK246" s="170">
        <f t="array" ref="AK246">IFERROR(I246*INDEX(F!$P$21:$AB$33, MATCH(G246/$AH246, F!$O$21:$O$33,1), MATCH(E246, F!$P$20:$AB$20,1)), 0 ) +IFERROR( M246*INDEX(F!$P$21:$AB$33, MATCH(K246/$AH246, F!$O$21:$O$33,1), MATCH(E246, F!$P$20:$AB$20,1)),0) +  IFERROR( Q246*INDEX(F!$P$21:$AB$33, MATCH(O246/$AH246, F!$O$21:$O$33,1), MATCH(E246, F!$P$20:$AB$20,1)), 0) + IFERROR( U246*INDEX(F!$P$21:$AB$33, MATCH(S246/$AH246, F!$O$21:$O$33,1), MATCH(E246, F!$P$20:$AB$20,1)),0)  + IFERROR(Y246*INDEX(F!$P$21:$AB$33, MATCH(W246/$AH246, F!$O$21:$O$33,1), MATCH(E246, F!$P$20:$AB$20,1)),0)  + IFERROR( AC246*INDEX(F!$P$21:$AB$33, MATCH(AA246/$AH246, F!$O$21:$O$33,1), MATCH(E246, F!$P$20:$AB$20,1)),)</f>
        <v>0</v>
      </c>
      <c r="AL246" s="42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ht="15.75" hidden="1" customHeight="1">
      <c r="A247" s="44">
        <f>A191+A170</f>
        <v>43812</v>
      </c>
      <c r="B247" s="135" t="str">
        <f t="shared" ref="B247:F247" si="453">IF(B191="","",B191)</f>
        <v>Тяжелая</v>
      </c>
      <c r="C247" s="136" t="str">
        <f t="shared" si="453"/>
        <v>ЖМ</v>
      </c>
      <c r="D247" s="137" t="str">
        <f t="shared" si="453"/>
        <v>Жим лежа</v>
      </c>
      <c r="E247" s="48">
        <f t="shared" si="453"/>
        <v>1</v>
      </c>
      <c r="F247" s="138" t="str">
        <f t="shared" si="453"/>
        <v/>
      </c>
      <c r="G247" s="139" t="str">
        <f t="shared" si="454"/>
        <v/>
      </c>
      <c r="H247" s="140"/>
      <c r="I247" s="140"/>
      <c r="J247" s="141"/>
      <c r="K247" s="139" t="str">
        <f t="shared" si="455"/>
        <v/>
      </c>
      <c r="L247" s="140"/>
      <c r="M247" s="140"/>
      <c r="N247" s="141"/>
      <c r="O247" s="139" t="str">
        <f t="shared" si="456"/>
        <v/>
      </c>
      <c r="P247" s="140"/>
      <c r="Q247" s="140"/>
      <c r="R247" s="141"/>
      <c r="S247" s="139" t="str">
        <f t="shared" si="457"/>
        <v/>
      </c>
      <c r="T247" s="140"/>
      <c r="U247" s="140"/>
      <c r="V247" s="141"/>
      <c r="W247" s="139" t="str">
        <f t="shared" si="458"/>
        <v/>
      </c>
      <c r="X247" s="140"/>
      <c r="Y247" s="140"/>
      <c r="Z247" s="141"/>
      <c r="AA247" s="139" t="str">
        <f t="shared" si="459"/>
        <v/>
      </c>
      <c r="AB247" s="140"/>
      <c r="AC247" s="140"/>
      <c r="AD247" s="141"/>
      <c r="AE247" s="142">
        <f t="shared" si="460"/>
        <v>0</v>
      </c>
      <c r="AF247" s="143">
        <f t="shared" si="422"/>
        <v>0</v>
      </c>
      <c r="AG247" s="144">
        <f t="shared" si="461"/>
        <v>0</v>
      </c>
      <c r="AH247" s="76">
        <f t="shared" si="462"/>
        <v>102.8310552</v>
      </c>
      <c r="AI247" s="143">
        <f> ( IF(ISNUMBER(G247), VLOOKUP(G247/$AH247,F!$A1:$B101,2,1)*G247*$H247*$I247,0)+IF(ISNUMBER(K247), VLOOKUP(K247/$AH247,F!$A1:$B101,2,1)*K247*$L247*$M247,0)+IF(ISNUMBER(O247), VLOOKUP(O247/$AH247,F!$A1:$B101,2,1)*O247*$P247*$Q247,0)+IF(ISNUMBER(S247), VLOOKUP(S247/$AH247,F!$A1:$B101,2,1)*S247*$T247*$U247,0)+IF(ISNUMBER(W247), VLOOKUP(W247/$AH247,F!$A1:$B101,2,1)*W247*$X247*$Y247,0)+IF(ISNUMBER(AA247), VLOOKUP(AA247/$AH247,F!$A1:$B101,2,1)*AA247*$AB247*$AC247,0))*IF(ISNUMBER(F247),F247,1)*IF(ISNUMBER(E247),E247,1)</f>
        <v>0</v>
      </c>
      <c r="AJ247" s="140">
        <f t="shared" si="463"/>
        <v>0</v>
      </c>
      <c r="AK247" s="145">
        <f t="array" ref="AK247">IFERROR(I247*INDEX(F!$P$21:$AB$33, MATCH(G247/$AH247, F!$O$21:$O$33,1), MATCH(E247, F!$P$20:$AB$20,1)), 0 ) +IFERROR( M247*INDEX(F!$P$21:$AB$33, MATCH(K247/$AH247, F!$O$21:$O$33,1), MATCH(E247, F!$P$20:$AB$20,1)),0) +  IFERROR( Q247*INDEX(F!$P$21:$AB$33, MATCH(O247/$AH247, F!$O$21:$O$33,1), MATCH(E247, F!$P$20:$AB$20,1)), 0) + IFERROR( U247*INDEX(F!$P$21:$AB$33, MATCH(S247/$AH247, F!$O$21:$O$33,1), MATCH(E247, F!$P$20:$AB$20,1)),0)  + IFERROR(Y247*INDEX(F!$P$21:$AB$33, MATCH(W247/$AH247, F!$O$21:$O$33,1), MATCH(E247, F!$P$20:$AB$20,1)),0)  + IFERROR( AC247*INDEX(F!$P$21:$AB$33, MATCH(AA247/$AH247, F!$O$21:$O$33,1), MATCH(E247, F!$P$20:$AB$20,1)),)</f>
        <v>0</v>
      </c>
      <c r="AL247" s="59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ht="15.75" hidden="1" customHeight="1">
      <c r="A248" s="59"/>
      <c r="B248" s="173" t="str">
        <f t="shared" ref="B248:F248" si="464">IF(B192="","",B192)</f>
        <v>Средняя</v>
      </c>
      <c r="C248" s="174" t="str">
        <f t="shared" si="464"/>
        <v>ПР</v>
      </c>
      <c r="D248" s="175" t="str">
        <f t="shared" si="464"/>
        <v>Присед</v>
      </c>
      <c r="E248" s="48">
        <f t="shared" si="464"/>
        <v>1.2</v>
      </c>
      <c r="F248" s="176" t="str">
        <f t="shared" si="464"/>
        <v/>
      </c>
      <c r="G248" s="177" t="str">
        <f t="shared" si="454"/>
        <v/>
      </c>
      <c r="H248" s="178"/>
      <c r="I248" s="178"/>
      <c r="J248" s="179"/>
      <c r="K248" s="177" t="str">
        <f t="shared" si="455"/>
        <v/>
      </c>
      <c r="L248" s="178"/>
      <c r="M248" s="178"/>
      <c r="N248" s="179"/>
      <c r="O248" s="177" t="str">
        <f t="shared" si="456"/>
        <v/>
      </c>
      <c r="P248" s="178"/>
      <c r="Q248" s="178"/>
      <c r="R248" s="179"/>
      <c r="S248" s="177" t="str">
        <f t="shared" si="457"/>
        <v/>
      </c>
      <c r="T248" s="178"/>
      <c r="U248" s="178"/>
      <c r="V248" s="179"/>
      <c r="W248" s="177" t="str">
        <f t="shared" si="458"/>
        <v/>
      </c>
      <c r="X248" s="178"/>
      <c r="Y248" s="178"/>
      <c r="Z248" s="179"/>
      <c r="AA248" s="177" t="str">
        <f t="shared" si="459"/>
        <v/>
      </c>
      <c r="AB248" s="178"/>
      <c r="AC248" s="178"/>
      <c r="AD248" s="179"/>
      <c r="AE248" s="180">
        <f t="shared" si="460"/>
        <v>0</v>
      </c>
      <c r="AF248" s="181">
        <f t="shared" si="422"/>
        <v>0</v>
      </c>
      <c r="AG248" s="182">
        <f t="shared" si="461"/>
        <v>0</v>
      </c>
      <c r="AH248" s="76">
        <f t="shared" si="462"/>
        <v>146.1283416</v>
      </c>
      <c r="AI248" s="181">
        <f> ( IF(ISNUMBER(G248), VLOOKUP(G248/$AH248,F!$A1:$B101,2,1)*G248*$H248*$I248,0)+IF(ISNUMBER(K248), VLOOKUP(K248/$AH248,F!$A1:$B101,2,1)*K248*$L248*$M248,0)+IF(ISNUMBER(O248), VLOOKUP(O248/$AH248,F!$A1:$B101,2,1)*O248*$P248*$Q248,0)+IF(ISNUMBER(S248), VLOOKUP(S248/$AH248,F!$A1:$B101,2,1)*S248*$T248*$U248,0)+IF(ISNUMBER(W248), VLOOKUP(W248/$AH248,F!$A1:$B101,2,1)*W248*$X248*$Y248,0)+IF(ISNUMBER(AA248), VLOOKUP(AA248/$AH248,F!$A1:$B101,2,1)*AA248*$AB248*$AC248,0))*IF(ISNUMBER(F248),F248,1)*IF(ISNUMBER(E248),E248,1)</f>
        <v>0</v>
      </c>
      <c r="AJ248" s="178">
        <f t="shared" si="463"/>
        <v>0</v>
      </c>
      <c r="AK248" s="183">
        <f t="array" ref="AK248">IFERROR(I248*INDEX(F!$P$21:$AB$33, MATCH(G248/$AH248, F!$O$21:$O$33,1), MATCH(E248, F!$P$20:$AB$20,1)), 0 ) +IFERROR( M248*INDEX(F!$P$21:$AB$33, MATCH(K248/$AH248, F!$O$21:$O$33,1), MATCH(E248, F!$P$20:$AB$20,1)),0) +  IFERROR( Q248*INDEX(F!$P$21:$AB$33, MATCH(O248/$AH248, F!$O$21:$O$33,1), MATCH(E248, F!$P$20:$AB$20,1)), 0) + IFERROR( U248*INDEX(F!$P$21:$AB$33, MATCH(S248/$AH248, F!$O$21:$O$33,1), MATCH(E248, F!$P$20:$AB$20,1)),0)  + IFERROR(Y248*INDEX(F!$P$21:$AB$33, MATCH(W248/$AH248, F!$O$21:$O$33,1), MATCH(E248, F!$P$20:$AB$20,1)),0)  + IFERROR( AC248*INDEX(F!$P$21:$AB$33, MATCH(AA248/$AH248, F!$O$21:$O$33,1), MATCH(E248, F!$P$20:$AB$20,1)),)</f>
        <v>0</v>
      </c>
      <c r="AL248" s="59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ht="15.75" hidden="1" customHeight="1">
      <c r="A249" s="59"/>
      <c r="B249" s="135" t="str">
        <f t="shared" ref="B249:F249" si="465">IF(B193="","",B193)</f>
        <v>Средняя</v>
      </c>
      <c r="C249" s="136" t="str">
        <f t="shared" si="465"/>
        <v>ЖМ</v>
      </c>
      <c r="D249" s="137" t="str">
        <f t="shared" si="465"/>
        <v>Жим на наклонной скамье</v>
      </c>
      <c r="E249" s="48">
        <f t="shared" si="465"/>
        <v>1</v>
      </c>
      <c r="F249" s="138" t="str">
        <f t="shared" si="465"/>
        <v/>
      </c>
      <c r="G249" s="139" t="str">
        <f t="shared" si="454"/>
        <v/>
      </c>
      <c r="H249" s="140"/>
      <c r="I249" s="140"/>
      <c r="J249" s="141"/>
      <c r="K249" s="139" t="str">
        <f t="shared" si="455"/>
        <v/>
      </c>
      <c r="L249" s="140"/>
      <c r="M249" s="140"/>
      <c r="N249" s="141"/>
      <c r="O249" s="139" t="str">
        <f t="shared" si="456"/>
        <v/>
      </c>
      <c r="P249" s="140"/>
      <c r="Q249" s="140"/>
      <c r="R249" s="141"/>
      <c r="S249" s="139" t="str">
        <f t="shared" si="457"/>
        <v/>
      </c>
      <c r="T249" s="140"/>
      <c r="U249" s="140"/>
      <c r="V249" s="141"/>
      <c r="W249" s="139" t="str">
        <f t="shared" si="458"/>
        <v/>
      </c>
      <c r="X249" s="140"/>
      <c r="Y249" s="140"/>
      <c r="Z249" s="141"/>
      <c r="AA249" s="139" t="str">
        <f t="shared" si="459"/>
        <v/>
      </c>
      <c r="AB249" s="140"/>
      <c r="AC249" s="140"/>
      <c r="AD249" s="141"/>
      <c r="AE249" s="142">
        <f t="shared" si="460"/>
        <v>0</v>
      </c>
      <c r="AF249" s="143">
        <f t="shared" si="422"/>
        <v>0</v>
      </c>
      <c r="AG249" s="144">
        <f t="shared" si="461"/>
        <v>0</v>
      </c>
      <c r="AH249" s="76">
        <f t="shared" si="462"/>
        <v>82.26484416</v>
      </c>
      <c r="AI249" s="143">
        <f> ( IF(ISNUMBER(G249), VLOOKUP(G249/$AH249,F!$A1:$B101,2,1)*G249*$H249*$I249,0)+IF(ISNUMBER(K249), VLOOKUP(K249/$AH249,F!$A1:$B101,2,1)*K249*$L249*$M249,0)+IF(ISNUMBER(O249), VLOOKUP(O249/$AH249,F!$A1:$B101,2,1)*O249*$P249*$Q249,0)+IF(ISNUMBER(S249), VLOOKUP(S249/$AH249,F!$A1:$B101,2,1)*S249*$T249*$U249,0)+IF(ISNUMBER(W249), VLOOKUP(W249/$AH249,F!$A1:$B101,2,1)*W249*$X249*$Y249,0)+IF(ISNUMBER(AA249), VLOOKUP(AA249/$AH249,F!$A1:$B101,2,1)*AA249*$AB249*$AC249,0))*IF(ISNUMBER(F249),F249,1)*IF(ISNUMBER(E249),E249,1)</f>
        <v>0</v>
      </c>
      <c r="AJ249" s="140">
        <f t="shared" si="463"/>
        <v>0</v>
      </c>
      <c r="AK249" s="145">
        <f t="array" ref="AK249">IFERROR(I249*INDEX(F!$P$21:$AB$33, MATCH(G249/$AH249, F!$O$21:$O$33,1), MATCH(E249, F!$P$20:$AB$20,1)), 0 ) +IFERROR( M249*INDEX(F!$P$21:$AB$33, MATCH(K249/$AH249, F!$O$21:$O$33,1), MATCH(E249, F!$P$20:$AB$20,1)),0) +  IFERROR( Q249*INDEX(F!$P$21:$AB$33, MATCH(O249/$AH249, F!$O$21:$O$33,1), MATCH(E249, F!$P$20:$AB$20,1)), 0) + IFERROR( U249*INDEX(F!$P$21:$AB$33, MATCH(S249/$AH249, F!$O$21:$O$33,1), MATCH(E249, F!$P$20:$AB$20,1)),0)  + IFERROR(Y249*INDEX(F!$P$21:$AB$33, MATCH(W249/$AH249, F!$O$21:$O$33,1), MATCH(E249, F!$P$20:$AB$20,1)),0)  + IFERROR( AC249*INDEX(F!$P$21:$AB$33, MATCH(AA249/$AH249, F!$O$21:$O$33,1), MATCH(E249, F!$P$20:$AB$20,1)),)</f>
        <v>0</v>
      </c>
      <c r="AL249" s="59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ht="15.75" hidden="1" customHeight="1">
      <c r="A250" s="59"/>
      <c r="B250" s="173" t="str">
        <f t="shared" ref="B250:F250" si="466">IF(B194="","",B194)</f>
        <v>Средняя</v>
      </c>
      <c r="C250" s="174" t="str">
        <f t="shared" si="466"/>
        <v>ОФП</v>
      </c>
      <c r="D250" s="175" t="str">
        <f t="shared" si="466"/>
        <v>Бицепс стоя</v>
      </c>
      <c r="E250" s="48">
        <f t="shared" si="466"/>
        <v>0.5</v>
      </c>
      <c r="F250" s="176" t="str">
        <f t="shared" si="466"/>
        <v/>
      </c>
      <c r="G250" s="177" t="str">
        <f t="shared" si="454"/>
        <v/>
      </c>
      <c r="H250" s="178"/>
      <c r="I250" s="178"/>
      <c r="J250" s="179"/>
      <c r="K250" s="177" t="str">
        <f t="shared" si="455"/>
        <v/>
      </c>
      <c r="L250" s="178"/>
      <c r="M250" s="178"/>
      <c r="N250" s="179"/>
      <c r="O250" s="177" t="str">
        <f t="shared" si="456"/>
        <v/>
      </c>
      <c r="P250" s="178"/>
      <c r="Q250" s="178"/>
      <c r="R250" s="179"/>
      <c r="S250" s="177" t="str">
        <f t="shared" si="457"/>
        <v/>
      </c>
      <c r="T250" s="178"/>
      <c r="U250" s="178"/>
      <c r="V250" s="179"/>
      <c r="W250" s="177" t="str">
        <f t="shared" si="458"/>
        <v/>
      </c>
      <c r="X250" s="178"/>
      <c r="Y250" s="178"/>
      <c r="Z250" s="179"/>
      <c r="AA250" s="177" t="str">
        <f t="shared" si="459"/>
        <v/>
      </c>
      <c r="AB250" s="178"/>
      <c r="AC250" s="178"/>
      <c r="AD250" s="179"/>
      <c r="AE250" s="180">
        <f t="shared" si="460"/>
        <v>0</v>
      </c>
      <c r="AF250" s="181">
        <f t="shared" si="422"/>
        <v>0</v>
      </c>
      <c r="AG250" s="182">
        <f t="shared" si="461"/>
        <v>0</v>
      </c>
      <c r="AH250" s="76" t="str">
        <f t="shared" si="462"/>
        <v/>
      </c>
      <c r="AI250" s="181">
        <f> ( IF(ISNUMBER(G250), VLOOKUP(G250/$AH250,F!$A1:$B101,2,1)*G250*$H250*$I250,0)+IF(ISNUMBER(K250), VLOOKUP(K250/$AH250,F!$A1:$B101,2,1)*K250*$L250*$M250,0)+IF(ISNUMBER(O250), VLOOKUP(O250/$AH250,F!$A1:$B101,2,1)*O250*$P250*$Q250,0)+IF(ISNUMBER(S250), VLOOKUP(S250/$AH250,F!$A1:$B101,2,1)*S250*$T250*$U250,0)+IF(ISNUMBER(W250), VLOOKUP(W250/$AH250,F!$A1:$B101,2,1)*W250*$X250*$Y250,0)+IF(ISNUMBER(AA250), VLOOKUP(AA250/$AH250,F!$A1:$B101,2,1)*AA250*$AB250*$AC250,0))*IF(ISNUMBER(F250),F250,1)*IF(ISNUMBER(E250),E250,1)</f>
        <v>0</v>
      </c>
      <c r="AJ250" s="178">
        <f t="shared" si="463"/>
        <v>0</v>
      </c>
      <c r="AK250" s="183">
        <f t="array" ref="AK250">IFERROR(I250*INDEX(F!$P$21:$AB$33, MATCH(G250/$AH250, F!$O$21:$O$33,1), MATCH(E250, F!$P$20:$AB$20,1)), 0 ) +IFERROR( M250*INDEX(F!$P$21:$AB$33, MATCH(K250/$AH250, F!$O$21:$O$33,1), MATCH(E250, F!$P$20:$AB$20,1)),0) +  IFERROR( Q250*INDEX(F!$P$21:$AB$33, MATCH(O250/$AH250, F!$O$21:$O$33,1), MATCH(E250, F!$P$20:$AB$20,1)), 0) + IFERROR( U250*INDEX(F!$P$21:$AB$33, MATCH(S250/$AH250, F!$O$21:$O$33,1), MATCH(E250, F!$P$20:$AB$20,1)),0)  + IFERROR(Y250*INDEX(F!$P$21:$AB$33, MATCH(W250/$AH250, F!$O$21:$O$33,1), MATCH(E250, F!$P$20:$AB$20,1)),0)  + IFERROR( AC250*INDEX(F!$P$21:$AB$33, MATCH(AA250/$AH250, F!$O$21:$O$33,1), MATCH(E250, F!$P$20:$AB$20,1)),)</f>
        <v>0</v>
      </c>
      <c r="AL250" s="59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ht="15.75" hidden="1" customHeight="1">
      <c r="A251" s="59"/>
      <c r="B251" s="135" t="str">
        <f t="shared" ref="B251:F251" si="467">IF(B195="","",B195)</f>
        <v/>
      </c>
      <c r="C251" s="136" t="str">
        <f t="shared" si="467"/>
        <v/>
      </c>
      <c r="D251" s="137" t="str">
        <f t="shared" si="467"/>
        <v/>
      </c>
      <c r="E251" s="48" t="str">
        <f t="shared" si="467"/>
        <v/>
      </c>
      <c r="F251" s="138" t="str">
        <f t="shared" si="467"/>
        <v/>
      </c>
      <c r="G251" s="139" t="str">
        <f t="shared" si="454"/>
        <v/>
      </c>
      <c r="H251" s="140"/>
      <c r="I251" s="140"/>
      <c r="J251" s="141"/>
      <c r="K251" s="139" t="str">
        <f t="shared" si="455"/>
        <v/>
      </c>
      <c r="L251" s="140"/>
      <c r="M251" s="140"/>
      <c r="N251" s="141"/>
      <c r="O251" s="139" t="str">
        <f t="shared" si="456"/>
        <v/>
      </c>
      <c r="P251" s="140"/>
      <c r="Q251" s="140"/>
      <c r="R251" s="141"/>
      <c r="S251" s="139" t="str">
        <f t="shared" si="457"/>
        <v/>
      </c>
      <c r="T251" s="140"/>
      <c r="U251" s="140"/>
      <c r="V251" s="141"/>
      <c r="W251" s="139" t="str">
        <f t="shared" si="458"/>
        <v/>
      </c>
      <c r="X251" s="140"/>
      <c r="Y251" s="140"/>
      <c r="Z251" s="141"/>
      <c r="AA251" s="139" t="str">
        <f t="shared" si="459"/>
        <v/>
      </c>
      <c r="AB251" s="140"/>
      <c r="AC251" s="140"/>
      <c r="AD251" s="141"/>
      <c r="AE251" s="142">
        <f t="shared" si="460"/>
        <v>0</v>
      </c>
      <c r="AF251" s="143">
        <f t="shared" si="422"/>
        <v>0</v>
      </c>
      <c r="AG251" s="144">
        <f t="shared" si="461"/>
        <v>0</v>
      </c>
      <c r="AH251" s="76" t="str">
        <f t="shared" si="462"/>
        <v/>
      </c>
      <c r="AI251" s="143">
        <f> ( IF(ISNUMBER(G251), VLOOKUP(G251/$AH251,F!$A1:$B101,2,1)*G251*$H251*$I251,0)+IF(ISNUMBER(K251), VLOOKUP(K251/$AH251,F!$A1:$B101,2,1)*K251*$L251*$M251,0)+IF(ISNUMBER(O251), VLOOKUP(O251/$AH251,F!$A1:$B101,2,1)*O251*$P251*$Q251,0)+IF(ISNUMBER(S251), VLOOKUP(S251/$AH251,F!$A1:$B101,2,1)*S251*$T251*$U251,0)+IF(ISNUMBER(W251), VLOOKUP(W251/$AH251,F!$A1:$B101,2,1)*W251*$X251*$Y251,0)+IF(ISNUMBER(AA251), VLOOKUP(AA251/$AH251,F!$A1:$B101,2,1)*AA251*$AB251*$AC251,0))*IF(ISNUMBER(F251),F251,1)*IF(ISNUMBER(E251),E251,1)</f>
        <v>0</v>
      </c>
      <c r="AJ251" s="140">
        <f t="shared" si="463"/>
        <v>0</v>
      </c>
      <c r="AK251" s="145">
        <f t="array" ref="AK251">IFERROR(I251*INDEX(F!$P$21:$AB$33, MATCH(G251/$AH251, F!$O$21:$O$33,1), MATCH(E251, F!$P$20:$AB$20,1)), 0 ) +IFERROR( M251*INDEX(F!$P$21:$AB$33, MATCH(K251/$AH251, F!$O$21:$O$33,1), MATCH(E251, F!$P$20:$AB$20,1)),0) +  IFERROR( Q251*INDEX(F!$P$21:$AB$33, MATCH(O251/$AH251, F!$O$21:$O$33,1), MATCH(E251, F!$P$20:$AB$20,1)), 0) + IFERROR( U251*INDEX(F!$P$21:$AB$33, MATCH(S251/$AH251, F!$O$21:$O$33,1), MATCH(E251, F!$P$20:$AB$20,1)),0)  + IFERROR(Y251*INDEX(F!$P$21:$AB$33, MATCH(W251/$AH251, F!$O$21:$O$33,1), MATCH(E251, F!$P$20:$AB$20,1)),0)  + IFERROR( AC251*INDEX(F!$P$21:$AB$33, MATCH(AA251/$AH251, F!$O$21:$O$33,1), MATCH(E251, F!$P$20:$AB$20,1)),)</f>
        <v>0</v>
      </c>
      <c r="AL251" s="59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ht="15.75" hidden="1" customHeight="1">
      <c r="A252" s="59"/>
      <c r="B252" s="173" t="str">
        <f t="shared" ref="B252:F252" si="468">IF(B196="","",B196)</f>
        <v/>
      </c>
      <c r="C252" s="174" t="str">
        <f t="shared" si="468"/>
        <v/>
      </c>
      <c r="D252" s="175" t="str">
        <f t="shared" si="468"/>
        <v/>
      </c>
      <c r="E252" s="48" t="str">
        <f t="shared" si="468"/>
        <v/>
      </c>
      <c r="F252" s="176" t="str">
        <f t="shared" si="468"/>
        <v/>
      </c>
      <c r="G252" s="177" t="str">
        <f t="shared" si="454"/>
        <v/>
      </c>
      <c r="H252" s="178"/>
      <c r="I252" s="178"/>
      <c r="J252" s="179"/>
      <c r="K252" s="177" t="str">
        <f t="shared" si="455"/>
        <v/>
      </c>
      <c r="L252" s="178"/>
      <c r="M252" s="178"/>
      <c r="N252" s="179"/>
      <c r="O252" s="177" t="str">
        <f t="shared" si="456"/>
        <v/>
      </c>
      <c r="P252" s="178"/>
      <c r="Q252" s="178"/>
      <c r="R252" s="179"/>
      <c r="S252" s="177" t="str">
        <f t="shared" si="457"/>
        <v/>
      </c>
      <c r="T252" s="178"/>
      <c r="U252" s="178"/>
      <c r="V252" s="179"/>
      <c r="W252" s="177" t="str">
        <f t="shared" si="458"/>
        <v/>
      </c>
      <c r="X252" s="178"/>
      <c r="Y252" s="178"/>
      <c r="Z252" s="179"/>
      <c r="AA252" s="177" t="str">
        <f t="shared" si="459"/>
        <v/>
      </c>
      <c r="AB252" s="178"/>
      <c r="AC252" s="178"/>
      <c r="AD252" s="179"/>
      <c r="AE252" s="180">
        <f t="shared" si="460"/>
        <v>0</v>
      </c>
      <c r="AF252" s="181">
        <f t="shared" si="422"/>
        <v>0</v>
      </c>
      <c r="AG252" s="182">
        <f t="shared" si="461"/>
        <v>0</v>
      </c>
      <c r="AH252" s="76" t="str">
        <f t="shared" si="462"/>
        <v/>
      </c>
      <c r="AI252" s="181">
        <f> ( IF(ISNUMBER(G252), VLOOKUP(G252/$AH252,F!$A1:$B101,2,1)*G252*$H252*$I252,0)+IF(ISNUMBER(K252), VLOOKUP(K252/$AH252,F!$A1:$B101,2,1)*K252*$L252*$M252,0)+IF(ISNUMBER(O252), VLOOKUP(O252/$AH252,F!$A1:$B101,2,1)*O252*$P252*$Q252,0)+IF(ISNUMBER(S252), VLOOKUP(S252/$AH252,F!$A1:$B101,2,1)*S252*$T252*$U252,0)+IF(ISNUMBER(W252), VLOOKUP(W252/$AH252,F!$A1:$B101,2,1)*W252*$X252*$Y252,0)+IF(ISNUMBER(AA252), VLOOKUP(AA252/$AH252,F!$A1:$B101,2,1)*AA252*$AB252*$AC252,0))*IF(ISNUMBER(F252),F252,1)*IF(ISNUMBER(E252),E252,1)</f>
        <v>0</v>
      </c>
      <c r="AJ252" s="178">
        <f t="shared" si="463"/>
        <v>0</v>
      </c>
      <c r="AK252" s="183">
        <f t="array" ref="AK252">IFERROR(I252*INDEX(F!$P$21:$AB$33, MATCH(G252/$AH252, F!$O$21:$O$33,1), MATCH(E252, F!$P$20:$AB$20,1)), 0 ) +IFERROR( M252*INDEX(F!$P$21:$AB$33, MATCH(K252/$AH252, F!$O$21:$O$33,1), MATCH(E252, F!$P$20:$AB$20,1)),0) +  IFERROR( Q252*INDEX(F!$P$21:$AB$33, MATCH(O252/$AH252, F!$O$21:$O$33,1), MATCH(E252, F!$P$20:$AB$20,1)), 0) + IFERROR( U252*INDEX(F!$P$21:$AB$33, MATCH(S252/$AH252, F!$O$21:$O$33,1), MATCH(E252, F!$P$20:$AB$20,1)),0)  + IFERROR(Y252*INDEX(F!$P$21:$AB$33, MATCH(W252/$AH252, F!$O$21:$O$33,1), MATCH(E252, F!$P$20:$AB$20,1)),0)  + IFERROR( AC252*INDEX(F!$P$21:$AB$33, MATCH(AA252/$AH252, F!$O$21:$O$33,1), MATCH(E252, F!$P$20:$AB$20,1)),)</f>
        <v>0</v>
      </c>
      <c r="AL252" s="59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ht="15.0" hidden="1" customHeight="1">
      <c r="A253" s="59"/>
      <c r="B253" s="135" t="str">
        <f t="shared" ref="B253:F253" si="469">IF(B197="","",B197)</f>
        <v/>
      </c>
      <c r="C253" s="136" t="str">
        <f t="shared" si="469"/>
        <v/>
      </c>
      <c r="D253" s="137" t="str">
        <f t="shared" si="469"/>
        <v/>
      </c>
      <c r="E253" s="48" t="str">
        <f t="shared" si="469"/>
        <v/>
      </c>
      <c r="F253" s="138" t="str">
        <f t="shared" si="469"/>
        <v/>
      </c>
      <c r="G253" s="139" t="str">
        <f t="shared" si="454"/>
        <v/>
      </c>
      <c r="H253" s="140"/>
      <c r="I253" s="140"/>
      <c r="J253" s="141"/>
      <c r="K253" s="139" t="str">
        <f t="shared" si="455"/>
        <v/>
      </c>
      <c r="L253" s="140"/>
      <c r="M253" s="140"/>
      <c r="N253" s="141"/>
      <c r="O253" s="139" t="str">
        <f t="shared" si="456"/>
        <v/>
      </c>
      <c r="P253" s="140"/>
      <c r="Q253" s="140"/>
      <c r="R253" s="141"/>
      <c r="S253" s="139" t="str">
        <f t="shared" si="457"/>
        <v/>
      </c>
      <c r="T253" s="140"/>
      <c r="U253" s="140"/>
      <c r="V253" s="141"/>
      <c r="W253" s="139" t="str">
        <f t="shared" si="458"/>
        <v/>
      </c>
      <c r="X253" s="140"/>
      <c r="Y253" s="140"/>
      <c r="Z253" s="141"/>
      <c r="AA253" s="139" t="str">
        <f t="shared" si="459"/>
        <v/>
      </c>
      <c r="AB253" s="140"/>
      <c r="AC253" s="140"/>
      <c r="AD253" s="141"/>
      <c r="AE253" s="142">
        <f t="shared" si="460"/>
        <v>0</v>
      </c>
      <c r="AF253" s="143">
        <f t="shared" si="422"/>
        <v>0</v>
      </c>
      <c r="AG253" s="144">
        <f t="shared" si="461"/>
        <v>0</v>
      </c>
      <c r="AH253" s="76" t="str">
        <f t="shared" si="462"/>
        <v/>
      </c>
      <c r="AI253" s="143">
        <f> ( IF(ISNUMBER(G253), VLOOKUP(G253/$AH253,F!$A1:$B101,2,1)*G253*$H253*$I253,0)+IF(ISNUMBER(K253), VLOOKUP(K253/$AH253,F!$A1:$B101,2,1)*K253*$L253*$M253,0)+IF(ISNUMBER(O253), VLOOKUP(O253/$AH253,F!$A1:$B101,2,1)*O253*$P253*$Q253,0)+IF(ISNUMBER(S253), VLOOKUP(S253/$AH253,F!$A1:$B101,2,1)*S253*$T253*$U253,0)+IF(ISNUMBER(W253), VLOOKUP(W253/$AH253,F!$A1:$B101,2,1)*W253*$X253*$Y253,0)+IF(ISNUMBER(AA253), VLOOKUP(AA253/$AH253,F!$A1:$B101,2,1)*AA253*$AB253*$AC253,0))*IF(ISNUMBER(F253),F253,1)*IF(ISNUMBER(E253),E253,1)</f>
        <v>0</v>
      </c>
      <c r="AJ253" s="140">
        <f t="shared" si="463"/>
        <v>0</v>
      </c>
      <c r="AK253" s="145">
        <f t="array" ref="AK253">IFERROR(I253*INDEX(F!$P$21:$AB$33, MATCH(G253/$AH253, F!$O$21:$O$33,1), MATCH(E253, F!$P$20:$AB$20,1)), 0 ) +IFERROR( M253*INDEX(F!$P$21:$AB$33, MATCH(K253/$AH253, F!$O$21:$O$33,1), MATCH(E253, F!$P$20:$AB$20,1)),0) +  IFERROR( Q253*INDEX(F!$P$21:$AB$33, MATCH(O253/$AH253, F!$O$21:$O$33,1), MATCH(E253, F!$P$20:$AB$20,1)), 0) + IFERROR( U253*INDEX(F!$P$21:$AB$33, MATCH(S253/$AH253, F!$O$21:$O$33,1), MATCH(E253, F!$P$20:$AB$20,1)),0)  + IFERROR(Y253*INDEX(F!$P$21:$AB$33, MATCH(W253/$AH253, F!$O$21:$O$33,1), MATCH(E253, F!$P$20:$AB$20,1)),0)  + IFERROR( AC253*INDEX(F!$P$21:$AB$33, MATCH(AA253/$AH253, F!$O$21:$O$33,1), MATCH(E253, F!$P$20:$AB$20,1)),)</f>
        <v>0</v>
      </c>
      <c r="AL253" s="59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ht="15.75" hidden="1" customHeight="1">
      <c r="A254" s="98"/>
      <c r="B254" s="188"/>
      <c r="C254" s="189"/>
      <c r="D254" s="190"/>
      <c r="E254" s="102">
        <f>ROUND(IFERROR(SUMPRODUCT(AJ246:AJ253,E246:E253)/AJ254,0),3)</f>
        <v>0</v>
      </c>
      <c r="F254" s="191"/>
      <c r="G254" s="192"/>
      <c r="H254" s="193"/>
      <c r="I254" s="193"/>
      <c r="J254" s="194"/>
      <c r="K254" s="192"/>
      <c r="L254" s="193"/>
      <c r="M254" s="193"/>
      <c r="N254" s="194"/>
      <c r="O254" s="192"/>
      <c r="P254" s="193"/>
      <c r="Q254" s="193"/>
      <c r="R254" s="194"/>
      <c r="S254" s="192"/>
      <c r="T254" s="193"/>
      <c r="U254" s="193"/>
      <c r="V254" s="194"/>
      <c r="W254" s="192"/>
      <c r="X254" s="193"/>
      <c r="Y254" s="193"/>
      <c r="Z254" s="194"/>
      <c r="AA254" s="192"/>
      <c r="AB254" s="193"/>
      <c r="AC254" s="193"/>
      <c r="AD254" s="194"/>
      <c r="AE254" s="107">
        <f>SUM(AE246:AE253)</f>
        <v>0</v>
      </c>
      <c r="AF254" s="108">
        <f t="shared" si="422"/>
        <v>0</v>
      </c>
      <c r="AG254" s="109">
        <f>IFERROR(  SUMPRODUCT(AG246:AG253,AJ246:AJ253)/AJ254,0)</f>
        <v>0</v>
      </c>
      <c r="AH254" s="157"/>
      <c r="AI254" s="111">
        <f t="shared" ref="AI254:AJ254" si="470">SUM(AI246:AI253)</f>
        <v>0</v>
      </c>
      <c r="AJ254" s="111">
        <f t="shared" si="470"/>
        <v>0</v>
      </c>
      <c r="AK254" s="112">
        <f>IF(SUM(AK246:AK253)=0,TIME(,0,),TIME(,SUM(AK246:AK253)+F!$V$37,))</f>
        <v>0</v>
      </c>
      <c r="AL254" s="98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ht="15.75" hidden="1" customHeight="1">
      <c r="A255" s="25">
        <f>A256</f>
        <v>43813</v>
      </c>
      <c r="B255" s="26" t="str">
        <f t="shared" ref="B255:F255" si="471">IF(B199="","",B199)</f>
        <v/>
      </c>
      <c r="C255" s="27" t="str">
        <f t="shared" si="471"/>
        <v/>
      </c>
      <c r="D255" s="28" t="str">
        <f t="shared" si="471"/>
        <v/>
      </c>
      <c r="E255" s="29" t="str">
        <f t="shared" si="471"/>
        <v/>
      </c>
      <c r="F255" s="30" t="str">
        <f t="shared" si="471"/>
        <v/>
      </c>
      <c r="G255" s="31" t="str">
        <f t="shared" ref="G255:G262" si="473">IF(J255&lt;&gt;0, IFERROR(IF( $F255=2,  MROUND($AH255*J255,1),    IF( OR($F255="",$F255=1),   MROUND($AH255*J255,2.5),  MROUND($AH255*J255, 0.1))), "" ), "")</f>
        <v/>
      </c>
      <c r="H255" s="32"/>
      <c r="I255" s="32"/>
      <c r="J255" s="33"/>
      <c r="K255" s="31" t="str">
        <f t="shared" ref="K255:K262" si="474">IF(N255&lt;&gt;0, IFERROR(IF( $F255=2,  MROUND($AH255*N255,1),    IF( OR($F255="",$F255=1),   MROUND($AH255*N255,2.5),  MROUND($AH255*N255, 0.1))), "" ), "")</f>
        <v/>
      </c>
      <c r="L255" s="32"/>
      <c r="M255" s="32"/>
      <c r="N255" s="33"/>
      <c r="O255" s="31" t="str">
        <f t="shared" ref="O255:O262" si="475">IF(R255&lt;&gt;0, IFERROR(IF( $F255=2,  MROUND($AH255*R255,1),    IF( OR($F255="",$F255=1),   MROUND($AH255*R255,2.5),  MROUND($AH255*R255, 0.1))), "" ), "")</f>
        <v/>
      </c>
      <c r="P255" s="32"/>
      <c r="Q255" s="32"/>
      <c r="R255" s="33"/>
      <c r="S255" s="31" t="str">
        <f t="shared" ref="S255:S262" si="476">IF(V255&lt;&gt;0, IFERROR(IF( $F255=2,  MROUND($AH255*V255,1),    IF( OR($F255="",$F255=1),   MROUND($AH255*V255,2.5),  MROUND($AH255*V255, 0.1))), "" ), "")</f>
        <v/>
      </c>
      <c r="T255" s="32"/>
      <c r="U255" s="32"/>
      <c r="V255" s="33"/>
      <c r="W255" s="31" t="str">
        <f t="shared" ref="W255:W262" si="477">IF(Z255&lt;&gt;0, IFERROR(IF( $F255=2,  MROUND($AH255*Z255,1),    IF( OR($F255="",$F255=1),   MROUND($AH255*Z255,2.5),  MROUND($AH255*Z255, 0.1))), "" ), "")</f>
        <v/>
      </c>
      <c r="X255" s="32"/>
      <c r="Y255" s="32"/>
      <c r="Z255" s="33"/>
      <c r="AA255" s="31" t="str">
        <f t="shared" ref="AA255:AA262" si="478">IF(AD255&lt;&gt;0, IFERROR(IF( $F255=2,  MROUND($AH255*AD255,1),    IF( OR($F255="",$F255=1),   MROUND($AH255*AD255,2.5),  MROUND($AH255*AD255, 0.1))), "" ), "")</f>
        <v/>
      </c>
      <c r="AB255" s="32"/>
      <c r="AC255" s="32"/>
      <c r="AD255" s="33"/>
      <c r="AE255" s="35">
        <f t="shared" ref="AE255:AE262" si="479">(IF(ISNUMBER(G255),G255,0)*H255*I255+IF(ISNUMBER(K255),K255,1)*L255*M255+IF(ISNUMBER(O255),O255,1)*P255*Q255+IF(ISNUMBER(S255),S255,1)*T255*U255+IF(ISNUMBER(W255),W255,1)*X255*Y255+IF(ISNUMBER(AA255),AA255,1)*AB255*AC255)*IF(ISNUMBER(F255),F255,1)</f>
        <v>0</v>
      </c>
      <c r="AF255" s="36">
        <f t="shared" si="422"/>
        <v>0</v>
      </c>
      <c r="AG255" s="195">
        <f t="shared" ref="AG255:AG262" si="480">IFERROR((AF255/(AH255*IF(ISNUMBER(F255),F255,1))),0)</f>
        <v>0</v>
      </c>
      <c r="AH255" s="169" t="str">
        <f t="shared" ref="AH255:AH262" si="481">IF(ISNUMBER(AH199), AH199+(AH199*$AH$226),"")</f>
        <v/>
      </c>
      <c r="AI255" s="196">
        <f> ( IF(ISNUMBER(G255), VLOOKUP(G255/$AH255,F!$A1:$B101,2,1)*G255*$H255*$I255,0)+IF(ISNUMBER(K255), VLOOKUP(K255/$AH255,F!$A1:$B101,2,1)*K255*$L255*$M255,0)+IF(ISNUMBER(O255), VLOOKUP(O255/$AH255,F!$A1:$B101,2,1)*O255*$P255*$Q255,0)+IF(ISNUMBER(S255), VLOOKUP(S255/$AH255,F!$A1:$B101,2,1)*S255*$T255*$U255,0)+IF(ISNUMBER(W255), VLOOKUP(W255/$AH255,F!$A1:$B101,2,1)*W255*$X255*$Y255,0)+IF(ISNUMBER(AA255), VLOOKUP(AA255/$AH255,F!$A1:$B101,2,1)*AA255*$AB255*$AC255,0))*IF(ISNUMBER(F255),F255,1)*IF(ISNUMBER(E255),E255,1)</f>
        <v>0</v>
      </c>
      <c r="AJ255" s="40">
        <f t="shared" ref="AJ255:AJ262" si="482">H255*I255+L255*M255+P255*Q255+T255*U255+X255*Y255+AB255*AC255</f>
        <v>0</v>
      </c>
      <c r="AK255" s="41">
        <f t="array" ref="AK255">IFERROR(I255*INDEX(F!$P$21:$AB$33, MATCH(G255/$AH255, F!$O$21:$O$33,1), MATCH(E255, F!$P$20:$AB$20,1)), 0 ) +IFERROR( M255*INDEX(F!$P$21:$AB$33, MATCH(K255/$AH255, F!$O$21:$O$33,1), MATCH(E255, F!$P$20:$AB$20,1)),0) +  IFERROR( Q255*INDEX(F!$P$21:$AB$33, MATCH(O255/$AH255, F!$O$21:$O$33,1), MATCH(E255, F!$P$20:$AB$20,1)), 0) + IFERROR( U255*INDEX(F!$P$21:$AB$33, MATCH(S255/$AH255, F!$O$21:$O$33,1), MATCH(E255, F!$P$20:$AB$20,1)),0)  + IFERROR(Y255*INDEX(F!$P$21:$AB$33, MATCH(W255/$AH255, F!$O$21:$O$33,1), MATCH(E255, F!$P$20:$AB$20,1)),0)  + IFERROR( AC255*INDEX(F!$P$21:$AB$33, MATCH(AA255/$AH255, F!$O$21:$O$33,1), MATCH(E255, F!$P$20:$AB$20,1)),)</f>
        <v>0</v>
      </c>
      <c r="AL255" s="42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ht="15.75" hidden="1" customHeight="1">
      <c r="A256" s="44">
        <f>A200+A170</f>
        <v>43813</v>
      </c>
      <c r="B256" s="45" t="str">
        <f t="shared" ref="B256:F256" si="472">IF(B200="","",B200)</f>
        <v/>
      </c>
      <c r="C256" s="46" t="str">
        <f t="shared" si="472"/>
        <v/>
      </c>
      <c r="D256" s="47" t="str">
        <f t="shared" si="472"/>
        <v/>
      </c>
      <c r="E256" s="48" t="str">
        <f t="shared" si="472"/>
        <v/>
      </c>
      <c r="F256" s="49" t="str">
        <f t="shared" si="472"/>
        <v/>
      </c>
      <c r="G256" s="50" t="str">
        <f t="shared" si="473"/>
        <v/>
      </c>
      <c r="H256" s="51"/>
      <c r="I256" s="51"/>
      <c r="J256" s="52"/>
      <c r="K256" s="50" t="str">
        <f t="shared" si="474"/>
        <v/>
      </c>
      <c r="L256" s="51"/>
      <c r="M256" s="51"/>
      <c r="N256" s="52"/>
      <c r="O256" s="50" t="str">
        <f t="shared" si="475"/>
        <v/>
      </c>
      <c r="P256" s="51"/>
      <c r="Q256" s="51"/>
      <c r="R256" s="52"/>
      <c r="S256" s="50" t="str">
        <f t="shared" si="476"/>
        <v/>
      </c>
      <c r="T256" s="51"/>
      <c r="U256" s="51"/>
      <c r="V256" s="52"/>
      <c r="W256" s="50" t="str">
        <f t="shared" si="477"/>
        <v/>
      </c>
      <c r="X256" s="51"/>
      <c r="Y256" s="51"/>
      <c r="Z256" s="52"/>
      <c r="AA256" s="50" t="str">
        <f t="shared" si="478"/>
        <v/>
      </c>
      <c r="AB256" s="51"/>
      <c r="AC256" s="51"/>
      <c r="AD256" s="52"/>
      <c r="AE256" s="53">
        <f t="shared" si="479"/>
        <v>0</v>
      </c>
      <c r="AF256" s="54">
        <f t="shared" si="422"/>
        <v>0</v>
      </c>
      <c r="AG256" s="75">
        <f t="shared" si="480"/>
        <v>0</v>
      </c>
      <c r="AH256" s="76" t="str">
        <f t="shared" si="481"/>
        <v/>
      </c>
      <c r="AI256" s="77">
        <f> ( IF(ISNUMBER(G256), VLOOKUP(G256/$AH256,F!$A1:$B101,2,1)*G256*$H256*$I256,0)+IF(ISNUMBER(K256), VLOOKUP(K256/$AH256,F!$A1:$B101,2,1)*K256*$L256*$M256,0)+IF(ISNUMBER(O256), VLOOKUP(O256/$AH256,F!$A1:$B101,2,1)*O256*$P256*$Q256,0)+IF(ISNUMBER(S256), VLOOKUP(S256/$AH256,F!$A1:$B101,2,1)*S256*$T256*$U256,0)+IF(ISNUMBER(W256), VLOOKUP(W256/$AH256,F!$A1:$B101,2,1)*W256*$X256*$Y256,0)+IF(ISNUMBER(AA256), VLOOKUP(AA256/$AH256,F!$A1:$B101,2,1)*AA256*$AB256*$AC256,0))*IF(ISNUMBER(F256),F256,1)*IF(ISNUMBER(E256),E256,1)</f>
        <v>0</v>
      </c>
      <c r="AJ256" s="57">
        <f t="shared" si="482"/>
        <v>0</v>
      </c>
      <c r="AK256" s="58">
        <f t="array" ref="AK256">IFERROR(I256*INDEX(F!$P$21:$AB$33, MATCH(G256/$AH256, F!$O$21:$O$33,1), MATCH(E256, F!$P$20:$AB$20,1)), 0 ) +IFERROR( M256*INDEX(F!$P$21:$AB$33, MATCH(K256/$AH256, F!$O$21:$O$33,1), MATCH(E256, F!$P$20:$AB$20,1)),0) +  IFERROR( Q256*INDEX(F!$P$21:$AB$33, MATCH(O256/$AH256, F!$O$21:$O$33,1), MATCH(E256, F!$P$20:$AB$20,1)), 0) + IFERROR( U256*INDEX(F!$P$21:$AB$33, MATCH(S256/$AH256, F!$O$21:$O$33,1), MATCH(E256, F!$P$20:$AB$20,1)),0)  + IFERROR(Y256*INDEX(F!$P$21:$AB$33, MATCH(W256/$AH256, F!$O$21:$O$33,1), MATCH(E256, F!$P$20:$AB$20,1)),0)  + IFERROR( AC256*INDEX(F!$P$21:$AB$33, MATCH(AA256/$AH256, F!$O$21:$O$33,1), MATCH(E256, F!$P$20:$AB$20,1)),)</f>
        <v>0</v>
      </c>
      <c r="AL256" s="59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ht="15.75" hidden="1" customHeight="1">
      <c r="A257" s="59"/>
      <c r="B257" s="60" t="str">
        <f t="shared" ref="B257:F257" si="483">IF(B201="","",B201)</f>
        <v/>
      </c>
      <c r="C257" s="61" t="str">
        <f t="shared" si="483"/>
        <v/>
      </c>
      <c r="D257" s="62" t="str">
        <f t="shared" si="483"/>
        <v/>
      </c>
      <c r="E257" s="48" t="str">
        <f t="shared" si="483"/>
        <v/>
      </c>
      <c r="F257" s="63" t="str">
        <f t="shared" si="483"/>
        <v/>
      </c>
      <c r="G257" s="64" t="str">
        <f t="shared" si="473"/>
        <v/>
      </c>
      <c r="H257" s="34"/>
      <c r="I257" s="34"/>
      <c r="J257" s="65"/>
      <c r="K257" s="64" t="str">
        <f t="shared" si="474"/>
        <v/>
      </c>
      <c r="L257" s="34"/>
      <c r="M257" s="34"/>
      <c r="N257" s="65"/>
      <c r="O257" s="64" t="str">
        <f t="shared" si="475"/>
        <v/>
      </c>
      <c r="P257" s="34"/>
      <c r="Q257" s="34"/>
      <c r="R257" s="65"/>
      <c r="S257" s="64" t="str">
        <f t="shared" si="476"/>
        <v/>
      </c>
      <c r="T257" s="34"/>
      <c r="U257" s="34"/>
      <c r="V257" s="65"/>
      <c r="W257" s="64" t="str">
        <f t="shared" si="477"/>
        <v/>
      </c>
      <c r="X257" s="34"/>
      <c r="Y257" s="34"/>
      <c r="Z257" s="65"/>
      <c r="AA257" s="64" t="str">
        <f t="shared" si="478"/>
        <v/>
      </c>
      <c r="AB257" s="34"/>
      <c r="AC257" s="34"/>
      <c r="AD257" s="65"/>
      <c r="AE257" s="66">
        <f t="shared" si="479"/>
        <v>0</v>
      </c>
      <c r="AF257" s="67">
        <f t="shared" si="422"/>
        <v>0</v>
      </c>
      <c r="AG257" s="68">
        <f t="shared" si="480"/>
        <v>0</v>
      </c>
      <c r="AH257" s="76" t="str">
        <f t="shared" si="481"/>
        <v/>
      </c>
      <c r="AI257" s="70">
        <f> ( IF(ISNUMBER(G257), VLOOKUP(G257/$AH257,F!$A1:$B101,2,1)*G257*$H257*$I257,0)+IF(ISNUMBER(K257), VLOOKUP(K257/$AH257,F!$A1:$B101,2,1)*K257*$L257*$M257,0)+IF(ISNUMBER(O257), VLOOKUP(O257/$AH257,F!$A1:$B101,2,1)*O257*$P257*$Q257,0)+IF(ISNUMBER(S257), VLOOKUP(S257/$AH257,F!$A1:$B101,2,1)*S257*$T257*$U257,0)+IF(ISNUMBER(W257), VLOOKUP(W257/$AH257,F!$A1:$B101,2,1)*W257*$X257*$Y257,0)+IF(ISNUMBER(AA257), VLOOKUP(AA257/$AH257,F!$A1:$B101,2,1)*AA257*$AB257*$AC257,0))*IF(ISNUMBER(F257),F257,1)*IF(ISNUMBER(E257),E257,1)</f>
        <v>0</v>
      </c>
      <c r="AJ257" s="71">
        <f t="shared" si="482"/>
        <v>0</v>
      </c>
      <c r="AK257" s="72">
        <f t="array" ref="AK257">IFERROR(I257*INDEX(F!$P$21:$AB$33, MATCH(G257/$AH257, F!$O$21:$O$33,1), MATCH(E257, F!$P$20:$AB$20,1)), 0 ) +IFERROR( M257*INDEX(F!$P$21:$AB$33, MATCH(K257/$AH257, F!$O$21:$O$33,1), MATCH(E257, F!$P$20:$AB$20,1)),0) +  IFERROR( Q257*INDEX(F!$P$21:$AB$33, MATCH(O257/$AH257, F!$O$21:$O$33,1), MATCH(E257, F!$P$20:$AB$20,1)), 0) + IFERROR( U257*INDEX(F!$P$21:$AB$33, MATCH(S257/$AH257, F!$O$21:$O$33,1), MATCH(E257, F!$P$20:$AB$20,1)),0)  + IFERROR(Y257*INDEX(F!$P$21:$AB$33, MATCH(W257/$AH257, F!$O$21:$O$33,1), MATCH(E257, F!$P$20:$AB$20,1)),0)  + IFERROR( AC257*INDEX(F!$P$21:$AB$33, MATCH(AA257/$AH257, F!$O$21:$O$33,1), MATCH(E257, F!$P$20:$AB$20,1)),)</f>
        <v>0</v>
      </c>
      <c r="AL257" s="59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ht="15.75" hidden="1" customHeight="1">
      <c r="A258" s="59"/>
      <c r="B258" s="215" t="str">
        <f t="shared" ref="B258:F258" si="484">IF(B202="","",B202)</f>
        <v/>
      </c>
      <c r="C258" s="73" t="str">
        <f t="shared" si="484"/>
        <v/>
      </c>
      <c r="D258" s="47" t="str">
        <f t="shared" si="484"/>
        <v/>
      </c>
      <c r="E258" s="48" t="str">
        <f t="shared" si="484"/>
        <v/>
      </c>
      <c r="F258" s="74" t="str">
        <f t="shared" si="484"/>
        <v/>
      </c>
      <c r="G258" s="50" t="str">
        <f t="shared" si="473"/>
        <v/>
      </c>
      <c r="H258" s="51"/>
      <c r="I258" s="51"/>
      <c r="J258" s="52"/>
      <c r="K258" s="50" t="str">
        <f t="shared" si="474"/>
        <v/>
      </c>
      <c r="L258" s="51"/>
      <c r="M258" s="51"/>
      <c r="N258" s="52"/>
      <c r="O258" s="50" t="str">
        <f t="shared" si="475"/>
        <v/>
      </c>
      <c r="P258" s="51"/>
      <c r="Q258" s="51"/>
      <c r="R258" s="52"/>
      <c r="S258" s="50" t="str">
        <f t="shared" si="476"/>
        <v/>
      </c>
      <c r="T258" s="51"/>
      <c r="U258" s="51"/>
      <c r="V258" s="52"/>
      <c r="W258" s="50" t="str">
        <f t="shared" si="477"/>
        <v/>
      </c>
      <c r="X258" s="51"/>
      <c r="Y258" s="51"/>
      <c r="Z258" s="52"/>
      <c r="AA258" s="50" t="str">
        <f t="shared" si="478"/>
        <v/>
      </c>
      <c r="AB258" s="51"/>
      <c r="AC258" s="51"/>
      <c r="AD258" s="52"/>
      <c r="AE258" s="53">
        <f t="shared" si="479"/>
        <v>0</v>
      </c>
      <c r="AF258" s="54">
        <f t="shared" si="422"/>
        <v>0</v>
      </c>
      <c r="AG258" s="75">
        <f t="shared" si="480"/>
        <v>0</v>
      </c>
      <c r="AH258" s="76" t="str">
        <f t="shared" si="481"/>
        <v/>
      </c>
      <c r="AI258" s="77">
        <f> ( IF(ISNUMBER(G258), VLOOKUP(G258/$AH258,F!$A1:$B101,2,1)*G258*$H258*$I258,0)+IF(ISNUMBER(K258), VLOOKUP(K258/$AH258,F!$A1:$B101,2,1)*K258*$L258*$M258,0)+IF(ISNUMBER(O258), VLOOKUP(O258/$AH258,F!$A1:$B101,2,1)*O258*$P258*$Q258,0)+IF(ISNUMBER(S258), VLOOKUP(S258/$AH258,F!$A1:$B101,2,1)*S258*$T258*$U258,0)+IF(ISNUMBER(W258), VLOOKUP(W258/$AH258,F!$A1:$B101,2,1)*W258*$X258*$Y258,0)+IF(ISNUMBER(AA258), VLOOKUP(AA258/$AH258,F!$A1:$B101,2,1)*AA258*$AB258*$AC258,0))*IF(ISNUMBER(F258),F258,1)*IF(ISNUMBER(E258),E258,1)</f>
        <v>0</v>
      </c>
      <c r="AJ258" s="57">
        <f t="shared" si="482"/>
        <v>0</v>
      </c>
      <c r="AK258" s="58">
        <f t="array" ref="AK258">IFERROR(I258*INDEX(F!$P$21:$AB$33, MATCH(G258/$AH258, F!$O$21:$O$33,1), MATCH(E258, F!$P$20:$AB$20,1)), 0 ) +IFERROR( M258*INDEX(F!$P$21:$AB$33, MATCH(K258/$AH258, F!$O$21:$O$33,1), MATCH(E258, F!$P$20:$AB$20,1)),0) +  IFERROR( Q258*INDEX(F!$P$21:$AB$33, MATCH(O258/$AH258, F!$O$21:$O$33,1), MATCH(E258, F!$P$20:$AB$20,1)), 0) + IFERROR( U258*INDEX(F!$P$21:$AB$33, MATCH(S258/$AH258, F!$O$21:$O$33,1), MATCH(E258, F!$P$20:$AB$20,1)),0)  + IFERROR(Y258*INDEX(F!$P$21:$AB$33, MATCH(W258/$AH258, F!$O$21:$O$33,1), MATCH(E258, F!$P$20:$AB$20,1)),0)  + IFERROR( AC258*INDEX(F!$P$21:$AB$33, MATCH(AA258/$AH258, F!$O$21:$O$33,1), MATCH(E258, F!$P$20:$AB$20,1)),)</f>
        <v>0</v>
      </c>
      <c r="AL258" s="59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ht="15.75" hidden="1" customHeight="1">
      <c r="A259" s="59"/>
      <c r="B259" s="216" t="str">
        <f t="shared" ref="B259:F259" si="485">IF(B203="","",B203)</f>
        <v/>
      </c>
      <c r="C259" s="78" t="str">
        <f t="shared" si="485"/>
        <v/>
      </c>
      <c r="D259" s="62" t="str">
        <f t="shared" si="485"/>
        <v/>
      </c>
      <c r="E259" s="48" t="str">
        <f t="shared" si="485"/>
        <v/>
      </c>
      <c r="F259" s="79" t="str">
        <f t="shared" si="485"/>
        <v/>
      </c>
      <c r="G259" s="64" t="str">
        <f t="shared" si="473"/>
        <v/>
      </c>
      <c r="H259" s="34"/>
      <c r="I259" s="34"/>
      <c r="J259" s="65"/>
      <c r="K259" s="64" t="str">
        <f t="shared" si="474"/>
        <v/>
      </c>
      <c r="L259" s="34"/>
      <c r="M259" s="34"/>
      <c r="N259" s="65"/>
      <c r="O259" s="64" t="str">
        <f t="shared" si="475"/>
        <v/>
      </c>
      <c r="P259" s="34"/>
      <c r="Q259" s="34"/>
      <c r="R259" s="65"/>
      <c r="S259" s="64" t="str">
        <f t="shared" si="476"/>
        <v/>
      </c>
      <c r="T259" s="34"/>
      <c r="U259" s="34"/>
      <c r="V259" s="65"/>
      <c r="W259" s="64" t="str">
        <f t="shared" si="477"/>
        <v/>
      </c>
      <c r="X259" s="34"/>
      <c r="Y259" s="34"/>
      <c r="Z259" s="65"/>
      <c r="AA259" s="64" t="str">
        <f t="shared" si="478"/>
        <v/>
      </c>
      <c r="AB259" s="34"/>
      <c r="AC259" s="34"/>
      <c r="AD259" s="65"/>
      <c r="AE259" s="66">
        <f t="shared" si="479"/>
        <v>0</v>
      </c>
      <c r="AF259" s="67">
        <f t="shared" si="422"/>
        <v>0</v>
      </c>
      <c r="AG259" s="68">
        <f t="shared" si="480"/>
        <v>0</v>
      </c>
      <c r="AH259" s="76" t="str">
        <f t="shared" si="481"/>
        <v/>
      </c>
      <c r="AI259" s="70">
        <f> ( IF(ISNUMBER(G259), VLOOKUP(G259/$AH259,F!$A1:$B101,2,1)*G259*$H259*$I259,0)+IF(ISNUMBER(K259), VLOOKUP(K259/$AH259,F!$A1:$B101,2,1)*K259*$L259*$M259,0)+IF(ISNUMBER(O259), VLOOKUP(O259/$AH259,F!$A1:$B101,2,1)*O259*$P259*$Q259,0)+IF(ISNUMBER(S259), VLOOKUP(S259/$AH259,F!$A1:$B101,2,1)*S259*$T259*$U259,0)+IF(ISNUMBER(W259), VLOOKUP(W259/$AH259,F!$A1:$B101,2,1)*W259*$X259*$Y259,0)+IF(ISNUMBER(AA259), VLOOKUP(AA259/$AH259,F!$A1:$B101,2,1)*AA259*$AB259*$AC259,0))*IF(ISNUMBER(F259),F259,1)*IF(ISNUMBER(E259),E259,1)</f>
        <v>0</v>
      </c>
      <c r="AJ259" s="71">
        <f t="shared" si="482"/>
        <v>0</v>
      </c>
      <c r="AK259" s="72">
        <f t="array" ref="AK259">IFERROR(I259*INDEX(F!$P$21:$AB$33, MATCH(G259/$AH259, F!$O$21:$O$33,1), MATCH(E259, F!$P$20:$AB$20,1)), 0 ) +IFERROR( M259*INDEX(F!$P$21:$AB$33, MATCH(K259/$AH259, F!$O$21:$O$33,1), MATCH(E259, F!$P$20:$AB$20,1)),0) +  IFERROR( Q259*INDEX(F!$P$21:$AB$33, MATCH(O259/$AH259, F!$O$21:$O$33,1), MATCH(E259, F!$P$20:$AB$20,1)), 0) + IFERROR( U259*INDEX(F!$P$21:$AB$33, MATCH(S259/$AH259, F!$O$21:$O$33,1), MATCH(E259, F!$P$20:$AB$20,1)),0)  + IFERROR(Y259*INDEX(F!$P$21:$AB$33, MATCH(W259/$AH259, F!$O$21:$O$33,1), MATCH(E259, F!$P$20:$AB$20,1)),0)  + IFERROR( AC259*INDEX(F!$P$21:$AB$33, MATCH(AA259/$AH259, F!$O$21:$O$33,1), MATCH(E259, F!$P$20:$AB$20,1)),)</f>
        <v>0</v>
      </c>
      <c r="AL259" s="59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ht="15.0" hidden="1" customHeight="1">
      <c r="A260" s="59"/>
      <c r="B260" s="45" t="str">
        <f t="shared" ref="B260:F260" si="486">IF(B204="","",B204)</f>
        <v/>
      </c>
      <c r="C260" s="46" t="str">
        <f t="shared" si="486"/>
        <v/>
      </c>
      <c r="D260" s="197" t="str">
        <f t="shared" si="486"/>
        <v/>
      </c>
      <c r="E260" s="48" t="str">
        <f t="shared" si="486"/>
        <v/>
      </c>
      <c r="F260" s="83" t="str">
        <f t="shared" si="486"/>
        <v/>
      </c>
      <c r="G260" s="50" t="str">
        <f t="shared" si="473"/>
        <v/>
      </c>
      <c r="H260" s="51"/>
      <c r="I260" s="51"/>
      <c r="J260" s="52"/>
      <c r="K260" s="50" t="str">
        <f t="shared" si="474"/>
        <v/>
      </c>
      <c r="L260" s="51"/>
      <c r="M260" s="51"/>
      <c r="N260" s="52"/>
      <c r="O260" s="50" t="str">
        <f t="shared" si="475"/>
        <v/>
      </c>
      <c r="P260" s="51"/>
      <c r="Q260" s="51"/>
      <c r="R260" s="52"/>
      <c r="S260" s="50" t="str">
        <f t="shared" si="476"/>
        <v/>
      </c>
      <c r="T260" s="51"/>
      <c r="U260" s="51"/>
      <c r="V260" s="52"/>
      <c r="W260" s="50" t="str">
        <f t="shared" si="477"/>
        <v/>
      </c>
      <c r="X260" s="51"/>
      <c r="Y260" s="51"/>
      <c r="Z260" s="52"/>
      <c r="AA260" s="50" t="str">
        <f t="shared" si="478"/>
        <v/>
      </c>
      <c r="AB260" s="51"/>
      <c r="AC260" s="51"/>
      <c r="AD260" s="52"/>
      <c r="AE260" s="53">
        <f t="shared" si="479"/>
        <v>0</v>
      </c>
      <c r="AF260" s="54">
        <f t="shared" si="422"/>
        <v>0</v>
      </c>
      <c r="AG260" s="75">
        <f t="shared" si="480"/>
        <v>0</v>
      </c>
      <c r="AH260" s="76" t="str">
        <f t="shared" si="481"/>
        <v/>
      </c>
      <c r="AI260" s="77">
        <f> ( IF(ISNUMBER(G260), VLOOKUP(G260/$AH260,F!$A1:$B101,2,1)*G260*$H260*$I260,0)+IF(ISNUMBER(K260), VLOOKUP(K260/$AH260,F!$A1:$B101,2,1)*K260*$L260*$M260,0)+IF(ISNUMBER(O260), VLOOKUP(O260/$AH260,F!$A1:$B101,2,1)*O260*$P260*$Q260,0)+IF(ISNUMBER(S260), VLOOKUP(S260/$AH260,F!$A1:$B101,2,1)*S260*$T260*$U260,0)+IF(ISNUMBER(W260), VLOOKUP(W260/$AH260,F!$A1:$B101,2,1)*W260*$X260*$Y260,0)+IF(ISNUMBER(AA260), VLOOKUP(AA260/$AH260,F!$A1:$B101,2,1)*AA260*$AB260*$AC260,0))*IF(ISNUMBER(F260),F260,1)*IF(ISNUMBER(E260),E260,1)</f>
        <v>0</v>
      </c>
      <c r="AJ260" s="86">
        <f t="shared" si="482"/>
        <v>0</v>
      </c>
      <c r="AK260" s="58">
        <f t="array" ref="AK260">IFERROR(I260*INDEX(F!$P$21:$AB$33, MATCH(G260/$AH260, F!$O$21:$O$33,1), MATCH(E260, F!$P$20:$AB$20,1)), 0 ) +IFERROR( M260*INDEX(F!$P$21:$AB$33, MATCH(K260/$AH260, F!$O$21:$O$33,1), MATCH(E260, F!$P$20:$AB$20,1)),0) +  IFERROR( Q260*INDEX(F!$P$21:$AB$33, MATCH(O260/$AH260, F!$O$21:$O$33,1), MATCH(E260, F!$P$20:$AB$20,1)), 0) + IFERROR( U260*INDEX(F!$P$21:$AB$33, MATCH(S260/$AH260, F!$O$21:$O$33,1), MATCH(E260, F!$P$20:$AB$20,1)),0)  + IFERROR(Y260*INDEX(F!$P$21:$AB$33, MATCH(W260/$AH260, F!$O$21:$O$33,1), MATCH(E260, F!$P$20:$AB$20,1)),0)  + IFERROR( AC260*INDEX(F!$P$21:$AB$33, MATCH(AA260/$AH260, F!$O$21:$O$33,1), MATCH(E260, F!$P$20:$AB$20,1)),)</f>
        <v>0</v>
      </c>
      <c r="AL260" s="59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ht="15.75" hidden="1" customHeight="1">
      <c r="A261" s="59"/>
      <c r="B261" s="60" t="str">
        <f t="shared" ref="B261:F261" si="487">IF(B205="","",B205)</f>
        <v/>
      </c>
      <c r="C261" s="61" t="str">
        <f t="shared" si="487"/>
        <v/>
      </c>
      <c r="D261" s="198" t="str">
        <f t="shared" si="487"/>
        <v/>
      </c>
      <c r="E261" s="48" t="str">
        <f t="shared" si="487"/>
        <v/>
      </c>
      <c r="F261" s="79" t="str">
        <f t="shared" si="487"/>
        <v/>
      </c>
      <c r="G261" s="64" t="str">
        <f t="shared" si="473"/>
        <v/>
      </c>
      <c r="H261" s="34"/>
      <c r="I261" s="34"/>
      <c r="J261" s="65"/>
      <c r="K261" s="64" t="str">
        <f t="shared" si="474"/>
        <v/>
      </c>
      <c r="L261" s="34"/>
      <c r="M261" s="34"/>
      <c r="N261" s="65"/>
      <c r="O261" s="64" t="str">
        <f t="shared" si="475"/>
        <v/>
      </c>
      <c r="P261" s="34"/>
      <c r="Q261" s="34"/>
      <c r="R261" s="65"/>
      <c r="S261" s="64" t="str">
        <f t="shared" si="476"/>
        <v/>
      </c>
      <c r="T261" s="34"/>
      <c r="U261" s="34"/>
      <c r="V261" s="65"/>
      <c r="W261" s="64" t="str">
        <f t="shared" si="477"/>
        <v/>
      </c>
      <c r="X261" s="34"/>
      <c r="Y261" s="34"/>
      <c r="Z261" s="65"/>
      <c r="AA261" s="64" t="str">
        <f t="shared" si="478"/>
        <v/>
      </c>
      <c r="AB261" s="34"/>
      <c r="AC261" s="34"/>
      <c r="AD261" s="65"/>
      <c r="AE261" s="66">
        <f t="shared" si="479"/>
        <v>0</v>
      </c>
      <c r="AF261" s="67">
        <f t="shared" si="422"/>
        <v>0</v>
      </c>
      <c r="AG261" s="68">
        <f t="shared" si="480"/>
        <v>0</v>
      </c>
      <c r="AH261" s="76" t="str">
        <f t="shared" si="481"/>
        <v/>
      </c>
      <c r="AI261" s="90">
        <f> ( IF(ISNUMBER(G261), VLOOKUP(G261/$AH261,F!$A1:$B101,2,1)*G261*$H261*$I261,0)+IF(ISNUMBER(K261), VLOOKUP(K261/$AH261,F!$A1:$B101,2,1)*K261*$L261*$M261,0)+IF(ISNUMBER(O261), VLOOKUP(O261/$AH261,F!$A1:$B101,2,1)*O261*$P261*$Q261,0)+IF(ISNUMBER(S261), VLOOKUP(S261/$AH261,F!$A1:$B101,2,1)*S261*$T261*$U261,0)+IF(ISNUMBER(W261), VLOOKUP(W261/$AH261,F!$A1:$B101,2,1)*W261*$X261*$Y261,0)+IF(ISNUMBER(AA261), VLOOKUP(AA261/$AH261,F!$A1:$B101,2,1)*AA261*$AB261*$AC261,0))*IF(ISNUMBER(F261),F261,1)*IF(ISNUMBER(E261),E261,1)</f>
        <v>0</v>
      </c>
      <c r="AJ261" s="34">
        <f t="shared" si="482"/>
        <v>0</v>
      </c>
      <c r="AK261" s="91">
        <f t="array" ref="AK261">IFERROR(I261*INDEX(F!$P$21:$AB$33, MATCH(G261/$AH261, F!$O$21:$O$33,1), MATCH(E261, F!$P$20:$AB$20,1)), 0 ) +IFERROR( M261*INDEX(F!$P$21:$AB$33, MATCH(K261/$AH261, F!$O$21:$O$33,1), MATCH(E261, F!$P$20:$AB$20,1)),0) +  IFERROR( Q261*INDEX(F!$P$21:$AB$33, MATCH(O261/$AH261, F!$O$21:$O$33,1), MATCH(E261, F!$P$20:$AB$20,1)), 0) + IFERROR( U261*INDEX(F!$P$21:$AB$33, MATCH(S261/$AH261, F!$O$21:$O$33,1), MATCH(E261, F!$P$20:$AB$20,1)),0)  + IFERROR(Y261*INDEX(F!$P$21:$AB$33, MATCH(W261/$AH261, F!$O$21:$O$33,1), MATCH(E261, F!$P$20:$AB$20,1)),0)  + IFERROR( AC261*INDEX(F!$P$21:$AB$33, MATCH(AA261/$AH261, F!$O$21:$O$33,1), MATCH(E261, F!$P$20:$AB$20,1)),)</f>
        <v>0</v>
      </c>
      <c r="AL261" s="59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ht="15.75" hidden="1" customHeight="1">
      <c r="A262" s="59"/>
      <c r="B262" s="45" t="str">
        <f t="shared" ref="B262:F262" si="488">IF(B206="","",B206)</f>
        <v/>
      </c>
      <c r="C262" s="46" t="str">
        <f t="shared" si="488"/>
        <v/>
      </c>
      <c r="D262" s="92" t="str">
        <f t="shared" si="488"/>
        <v/>
      </c>
      <c r="E262" s="48" t="str">
        <f t="shared" si="488"/>
        <v/>
      </c>
      <c r="F262" s="74" t="str">
        <f t="shared" si="488"/>
        <v/>
      </c>
      <c r="G262" s="50" t="str">
        <f t="shared" si="473"/>
        <v/>
      </c>
      <c r="H262" s="51"/>
      <c r="I262" s="51"/>
      <c r="J262" s="52"/>
      <c r="K262" s="50" t="str">
        <f t="shared" si="474"/>
        <v/>
      </c>
      <c r="L262" s="51"/>
      <c r="M262" s="51"/>
      <c r="N262" s="52"/>
      <c r="O262" s="50" t="str">
        <f t="shared" si="475"/>
        <v/>
      </c>
      <c r="P262" s="51"/>
      <c r="Q262" s="51"/>
      <c r="R262" s="52"/>
      <c r="S262" s="50" t="str">
        <f t="shared" si="476"/>
        <v/>
      </c>
      <c r="T262" s="51"/>
      <c r="U262" s="51"/>
      <c r="V262" s="52"/>
      <c r="W262" s="50" t="str">
        <f t="shared" si="477"/>
        <v/>
      </c>
      <c r="X262" s="51"/>
      <c r="Y262" s="51"/>
      <c r="Z262" s="52"/>
      <c r="AA262" s="50" t="str">
        <f t="shared" si="478"/>
        <v/>
      </c>
      <c r="AB262" s="51"/>
      <c r="AC262" s="51"/>
      <c r="AD262" s="52"/>
      <c r="AE262" s="53">
        <f t="shared" si="479"/>
        <v>0</v>
      </c>
      <c r="AF262" s="93">
        <f t="shared" si="422"/>
        <v>0</v>
      </c>
      <c r="AG262" s="94">
        <f t="shared" si="480"/>
        <v>0</v>
      </c>
      <c r="AH262" s="76" t="str">
        <f t="shared" si="481"/>
        <v/>
      </c>
      <c r="AI262" s="95">
        <f> ( IF(ISNUMBER(G262), VLOOKUP(G262/$AH262,F!$A1:$B101,2,1)*G262*$H262*$I262,0)+IF(ISNUMBER(K262), VLOOKUP(K262/$AH262,F!$A1:$B101,2,1)*K262*$L262*$M262,0)+IF(ISNUMBER(O262), VLOOKUP(O262/$AH262,F!$A1:$B101,2,1)*O262*$P262*$Q262,0)+IF(ISNUMBER(S262), VLOOKUP(S262/$AH262,F!$A1:$B101,2,1)*S262*$T262*$U262,0)+IF(ISNUMBER(W262), VLOOKUP(W262/$AH262,F!$A1:$B101,2,1)*W262*$X262*$Y262,0)+IF(ISNUMBER(AA262), VLOOKUP(AA262/$AH262,F!$A1:$B101,2,1)*AA262*$AB262*$AC262,0))*IF(ISNUMBER(F262),F262,1)*IF(ISNUMBER(E262),E262,1)</f>
        <v>0</v>
      </c>
      <c r="AJ262" s="96">
        <f t="shared" si="482"/>
        <v>0</v>
      </c>
      <c r="AK262" s="97">
        <f t="array" ref="AK262">IFERROR(I262*INDEX(F!$P$21:$AB$33, MATCH(G262/$AH262, F!$O$21:$O$33,1), MATCH(E262, F!$P$20:$AB$20,1)), 0 ) +IFERROR( M262*INDEX(F!$P$21:$AB$33, MATCH(K262/$AH262, F!$O$21:$O$33,1), MATCH(E262, F!$P$20:$AB$20,1)),0) +  IFERROR( Q262*INDEX(F!$P$21:$AB$33, MATCH(O262/$AH262, F!$O$21:$O$33,1), MATCH(E262, F!$P$20:$AB$20,1)), 0) + IFERROR( U262*INDEX(F!$P$21:$AB$33, MATCH(S262/$AH262, F!$O$21:$O$33,1), MATCH(E262, F!$P$20:$AB$20,1)),0)  + IFERROR(Y262*INDEX(F!$P$21:$AB$33, MATCH(W262/$AH262, F!$O$21:$O$33,1), MATCH(E262, F!$P$20:$AB$20,1)),0)  + IFERROR( AC262*INDEX(F!$P$21:$AB$33, MATCH(AA262/$AH262, F!$O$21:$O$33,1), MATCH(E262, F!$P$20:$AB$20,1)),)</f>
        <v>0</v>
      </c>
      <c r="AL262" s="59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ht="15.75" hidden="1" customHeight="1">
      <c r="A263" s="98"/>
      <c r="B263" s="99"/>
      <c r="C263" s="100"/>
      <c r="D263" s="101"/>
      <c r="E263" s="102">
        <f>ROUND(IFERROR(SUMPRODUCT(AJ255:AJ262,E255:E262)/AJ263,0),3)</f>
        <v>0</v>
      </c>
      <c r="F263" s="199"/>
      <c r="G263" s="104"/>
      <c r="H263" s="105"/>
      <c r="I263" s="105"/>
      <c r="J263" s="106"/>
      <c r="K263" s="104"/>
      <c r="L263" s="105"/>
      <c r="M263" s="105"/>
      <c r="N263" s="106"/>
      <c r="O263" s="104"/>
      <c r="P263" s="105"/>
      <c r="Q263" s="105"/>
      <c r="R263" s="106"/>
      <c r="S263" s="104"/>
      <c r="T263" s="105"/>
      <c r="U263" s="105"/>
      <c r="V263" s="106"/>
      <c r="W263" s="104"/>
      <c r="X263" s="105"/>
      <c r="Y263" s="105"/>
      <c r="Z263" s="106"/>
      <c r="AA263" s="104"/>
      <c r="AB263" s="105"/>
      <c r="AC263" s="105"/>
      <c r="AD263" s="106"/>
      <c r="AE263" s="107">
        <f>SUM(AE255:AE262)</f>
        <v>0</v>
      </c>
      <c r="AF263" s="108">
        <f t="shared" si="422"/>
        <v>0</v>
      </c>
      <c r="AG263" s="109">
        <f>IFERROR(  SUMPRODUCT(AG255:AG262,AJ255:AJ262)/AJ263,0)</f>
        <v>0</v>
      </c>
      <c r="AH263" s="157"/>
      <c r="AI263" s="111">
        <f t="shared" ref="AI263:AJ263" si="489">SUM(AI255:AI262)</f>
        <v>0</v>
      </c>
      <c r="AJ263" s="111">
        <f t="shared" si="489"/>
        <v>0</v>
      </c>
      <c r="AK263" s="112">
        <f>IF(SUM(AK255:AK262)=0,TIME(,0,),TIME(,SUM(AK255:AK262)+F!$V$37,))</f>
        <v>0</v>
      </c>
      <c r="AL263" s="98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ht="15.75" hidden="1" customHeight="1">
      <c r="A264" s="113">
        <f>A265</f>
        <v>43814</v>
      </c>
      <c r="B264" s="114" t="str">
        <f t="shared" ref="B264:F264" si="490">IF(B208="","",B208)</f>
        <v/>
      </c>
      <c r="C264" s="115" t="str">
        <f t="shared" si="490"/>
        <v/>
      </c>
      <c r="D264" s="116" t="str">
        <f t="shared" si="490"/>
        <v/>
      </c>
      <c r="E264" s="29" t="str">
        <f t="shared" si="490"/>
        <v/>
      </c>
      <c r="F264" s="117" t="str">
        <f t="shared" si="490"/>
        <v/>
      </c>
      <c r="G264" s="118" t="str">
        <f t="shared" ref="G264:G271" si="492">IF(J264&lt;&gt;0, IFERROR(IF( $F264=2,  MROUND($AH264*J264,1),    IF( OR($F264="",$F264=1),   MROUND($AH264*J264,2.5),  MROUND($AH264*J264, 0.1))), "" ), "")</f>
        <v/>
      </c>
      <c r="H264" s="119"/>
      <c r="I264" s="119"/>
      <c r="J264" s="120"/>
      <c r="K264" s="118" t="str">
        <f t="shared" ref="K264:K271" si="493">IF(N264&lt;&gt;0, IFERROR(IF( $F264=2,  MROUND($AH264*N264,1),    IF( OR($F264="",$F264=1),   MROUND($AH264*N264,2.5),  MROUND($AH264*N264, 0.1))), "" ), "")</f>
        <v/>
      </c>
      <c r="L264" s="119"/>
      <c r="M264" s="119"/>
      <c r="N264" s="120"/>
      <c r="O264" s="118" t="str">
        <f t="shared" ref="O264:O271" si="494">IF(R264&lt;&gt;0, IFERROR(IF( $F264=2,  MROUND($AH264*R264,1),    IF( OR($F264="",$F264=1),   MROUND($AH264*R264,2.5),  MROUND($AH264*R264, 0.1))), "" ), "")</f>
        <v/>
      </c>
      <c r="P264" s="119"/>
      <c r="Q264" s="119"/>
      <c r="R264" s="120"/>
      <c r="S264" s="118" t="str">
        <f t="shared" ref="S264:S271" si="495">IF(V264&lt;&gt;0, IFERROR(IF( $F264=2,  MROUND($AH264*V264,1),    IF( OR($F264="",$F264=1),   MROUND($AH264*V264,2.5),  MROUND($AH264*V264, 0.1))), "" ), "")</f>
        <v/>
      </c>
      <c r="T264" s="119"/>
      <c r="U264" s="119"/>
      <c r="V264" s="120"/>
      <c r="W264" s="118" t="str">
        <f t="shared" ref="W264:W271" si="496">IF(Z264&lt;&gt;0, IFERROR(IF( $F264=2,  MROUND($AH264*Z264,1),    IF( OR($F264="",$F264=1),   MROUND($AH264*Z264,2.5),  MROUND($AH264*Z264, 0.1))), "" ), "")</f>
        <v/>
      </c>
      <c r="X264" s="119"/>
      <c r="Y264" s="119"/>
      <c r="Z264" s="120"/>
      <c r="AA264" s="118" t="str">
        <f t="shared" ref="AA264:AA271" si="497">IF(AD264&lt;&gt;0, IFERROR(IF( $F264=2,  MROUND($AH264*AD264,1),    IF( OR($F264="",$F264=1),   MROUND($AH264*AD264,2.5),  MROUND($AH264*AD264, 0.1))), "" ), "")</f>
        <v/>
      </c>
      <c r="AB264" s="119"/>
      <c r="AC264" s="119"/>
      <c r="AD264" s="120"/>
      <c r="AE264" s="121">
        <f t="shared" ref="AE264:AE271" si="498">(IF(ISNUMBER(G264),G264,0)*H264*I264+IF(ISNUMBER(K264),K264,1)*L264*M264+IF(ISNUMBER(O264),O264,1)*P264*Q264+IF(ISNUMBER(S264),S264,1)*T264*U264+IF(ISNUMBER(W264),W264,1)*X264*Y264+IF(ISNUMBER(AA264),AA264,1)*AB264*AC264)*IF(ISNUMBER(F264),F264,1)</f>
        <v>0</v>
      </c>
      <c r="AF264" s="122">
        <f t="shared" si="422"/>
        <v>0</v>
      </c>
      <c r="AG264" s="200">
        <f t="shared" ref="AG264:AG271" si="499">IFERROR((AF264/(AH264*IF(ISNUMBER(F264),F264,1))),0)</f>
        <v>0</v>
      </c>
      <c r="AH264" s="169" t="str">
        <f t="shared" ref="AH264:AH271" si="500">IF(ISNUMBER(AH208), AH208+(AH208*$AH$226),"")</f>
        <v/>
      </c>
      <c r="AI264" s="122">
        <f> ( IF(ISNUMBER(G264), VLOOKUP(G264/$AH264,F!$A1:$B101,2,1)*G264*$H264*$I264,0)+IF(ISNUMBER(K264), VLOOKUP(K264/$AH264,F!$A1:$B101,2,1)*K264*$L264*$M264,0)+IF(ISNUMBER(O264), VLOOKUP(O264/$AH264,F!$A1:$B101,2,1)*O264*$P264*$Q264,0)+IF(ISNUMBER(S264), VLOOKUP(S264/$AH264,F!$A1:$B101,2,1)*S264*$T264*$U264,0)+IF(ISNUMBER(W264), VLOOKUP(W264/$AH264,F!$A1:$B101,2,1)*W264*$X264*$Y264,0)+IF(ISNUMBER(AA264), VLOOKUP(AA264/$AH264,F!$A1:$B101,2,1)*AA264*$AB264*$AC264,0))*IF(ISNUMBER(F264),F264,1)*IF(ISNUMBER(E264),E264,1)</f>
        <v>0</v>
      </c>
      <c r="AJ264" s="119">
        <f t="shared" ref="AJ264:AJ271" si="501">H264*I264+L264*M264+P264*Q264+T264*U264+X264*Y264+AB264*AC264</f>
        <v>0</v>
      </c>
      <c r="AK264" s="125">
        <f t="array" ref="AK264">IFERROR(I264*INDEX(F!$P$21:$AB$33, MATCH(G264/$AH264, F!$O$21:$O$33,1), MATCH(E264, F!$P$20:$AB$20,1)), 0 ) +IFERROR( M264*INDEX(F!$P$21:$AB$33, MATCH(K264/$AH264, F!$O$21:$O$33,1), MATCH(E264, F!$P$20:$AB$20,1)),0) +  IFERROR( Q264*INDEX(F!$P$21:$AB$33, MATCH(O264/$AH264, F!$O$21:$O$33,1), MATCH(E264, F!$P$20:$AB$20,1)), 0) + IFERROR( U264*INDEX(F!$P$21:$AB$33, MATCH(S264/$AH264, F!$O$21:$O$33,1), MATCH(E264, F!$P$20:$AB$20,1)),0)  + IFERROR(Y264*INDEX(F!$P$21:$AB$33, MATCH(W264/$AH264, F!$O$21:$O$33,1), MATCH(E264, F!$P$20:$AB$20,1)),0)  + IFERROR( AC264*INDEX(F!$P$21:$AB$33, MATCH(AA264/$AH264, F!$O$21:$O$33,1), MATCH(E264, F!$P$20:$AB$20,1)),)</f>
        <v>0</v>
      </c>
      <c r="AL264" s="42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ht="15.75" hidden="1" customHeight="1">
      <c r="A265" s="44">
        <f>A209+A170</f>
        <v>43814</v>
      </c>
      <c r="B265" s="126" t="str">
        <f t="shared" ref="B265:F265" si="491">IF(B209="","",B209)</f>
        <v/>
      </c>
      <c r="C265" s="127" t="str">
        <f t="shared" si="491"/>
        <v/>
      </c>
      <c r="D265" s="128" t="str">
        <f t="shared" si="491"/>
        <v/>
      </c>
      <c r="E265" s="48" t="str">
        <f t="shared" si="491"/>
        <v/>
      </c>
      <c r="F265" s="129" t="str">
        <f t="shared" si="491"/>
        <v/>
      </c>
      <c r="G265" s="130" t="str">
        <f t="shared" si="492"/>
        <v/>
      </c>
      <c r="H265" s="34"/>
      <c r="I265" s="34"/>
      <c r="J265" s="65"/>
      <c r="K265" s="130" t="str">
        <f t="shared" si="493"/>
        <v/>
      </c>
      <c r="L265" s="34"/>
      <c r="M265" s="34"/>
      <c r="N265" s="65"/>
      <c r="O265" s="130" t="str">
        <f t="shared" si="494"/>
        <v/>
      </c>
      <c r="P265" s="34"/>
      <c r="Q265" s="34"/>
      <c r="R265" s="65"/>
      <c r="S265" s="130" t="str">
        <f t="shared" si="495"/>
        <v/>
      </c>
      <c r="T265" s="34"/>
      <c r="U265" s="34"/>
      <c r="V265" s="65"/>
      <c r="W265" s="130" t="str">
        <f t="shared" si="496"/>
        <v/>
      </c>
      <c r="X265" s="34"/>
      <c r="Y265" s="34"/>
      <c r="Z265" s="65"/>
      <c r="AA265" s="130" t="str">
        <f t="shared" si="497"/>
        <v/>
      </c>
      <c r="AB265" s="34"/>
      <c r="AC265" s="34"/>
      <c r="AD265" s="65"/>
      <c r="AE265" s="131">
        <f t="shared" si="498"/>
        <v>0</v>
      </c>
      <c r="AF265" s="132">
        <f t="shared" si="422"/>
        <v>0</v>
      </c>
      <c r="AG265" s="133">
        <f t="shared" si="499"/>
        <v>0</v>
      </c>
      <c r="AH265" s="76" t="str">
        <f t="shared" si="500"/>
        <v/>
      </c>
      <c r="AI265" s="132">
        <f> ( IF(ISNUMBER(G265), VLOOKUP(G265/$AH265,F!$A1:$B101,2,1)*G265*$H265*$I265,0)+IF(ISNUMBER(K265), VLOOKUP(K265/$AH265,F!$A1:$B101,2,1)*K265*$L265*$M265,0)+IF(ISNUMBER(O265), VLOOKUP(O265/$AH265,F!$A1:$B101,2,1)*O265*$P265*$Q265,0)+IF(ISNUMBER(S265), VLOOKUP(S265/$AH265,F!$A1:$B101,2,1)*S265*$T265*$U265,0)+IF(ISNUMBER(W265), VLOOKUP(W265/$AH265,F!$A1:$B101,2,1)*W265*$X265*$Y265,0)+IF(ISNUMBER(AA265), VLOOKUP(AA265/$AH265,F!$A1:$B101,2,1)*AA265*$AB265*$AC265,0))*IF(ISNUMBER(F265),F265,1)*IF(ISNUMBER(E265),E265,1)</f>
        <v>0</v>
      </c>
      <c r="AJ265" s="34">
        <f t="shared" si="501"/>
        <v>0</v>
      </c>
      <c r="AK265" s="134">
        <f t="array" ref="AK265">IFERROR(I265*INDEX(F!$P$21:$AB$33, MATCH(G265/$AH265, F!$O$21:$O$33,1), MATCH(E265, F!$P$20:$AB$20,1)), 0 ) +IFERROR( M265*INDEX(F!$P$21:$AB$33, MATCH(K265/$AH265, F!$O$21:$O$33,1), MATCH(E265, F!$P$20:$AB$20,1)),0) +  IFERROR( Q265*INDEX(F!$P$21:$AB$33, MATCH(O265/$AH265, F!$O$21:$O$33,1), MATCH(E265, F!$P$20:$AB$20,1)), 0) + IFERROR( U265*INDEX(F!$P$21:$AB$33, MATCH(S265/$AH265, F!$O$21:$O$33,1), MATCH(E265, F!$P$20:$AB$20,1)),0)  + IFERROR(Y265*INDEX(F!$P$21:$AB$33, MATCH(W265/$AH265, F!$O$21:$O$33,1), MATCH(E265, F!$P$20:$AB$20,1)),0)  + IFERROR( AC265*INDEX(F!$P$21:$AB$33, MATCH(AA265/$AH265, F!$O$21:$O$33,1), MATCH(E265, F!$P$20:$AB$20,1)),)</f>
        <v>0</v>
      </c>
      <c r="AL265" s="59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ht="15.75" hidden="1" customHeight="1">
      <c r="A266" s="59"/>
      <c r="B266" s="135" t="str">
        <f t="shared" ref="B266:F266" si="502">IF(B210="","",B210)</f>
        <v/>
      </c>
      <c r="C266" s="136" t="str">
        <f t="shared" si="502"/>
        <v/>
      </c>
      <c r="D266" s="137" t="str">
        <f t="shared" si="502"/>
        <v/>
      </c>
      <c r="E266" s="48" t="str">
        <f t="shared" si="502"/>
        <v/>
      </c>
      <c r="F266" s="138" t="str">
        <f t="shared" si="502"/>
        <v/>
      </c>
      <c r="G266" s="139" t="str">
        <f t="shared" si="492"/>
        <v/>
      </c>
      <c r="H266" s="140"/>
      <c r="I266" s="140"/>
      <c r="J266" s="141"/>
      <c r="K266" s="139" t="str">
        <f t="shared" si="493"/>
        <v/>
      </c>
      <c r="L266" s="140"/>
      <c r="M266" s="140"/>
      <c r="N266" s="141"/>
      <c r="O266" s="139" t="str">
        <f t="shared" si="494"/>
        <v/>
      </c>
      <c r="P266" s="140"/>
      <c r="Q266" s="140"/>
      <c r="R266" s="141"/>
      <c r="S266" s="139" t="str">
        <f t="shared" si="495"/>
        <v/>
      </c>
      <c r="T266" s="140"/>
      <c r="U266" s="140"/>
      <c r="V266" s="141"/>
      <c r="W266" s="139" t="str">
        <f t="shared" si="496"/>
        <v/>
      </c>
      <c r="X266" s="140"/>
      <c r="Y266" s="140"/>
      <c r="Z266" s="141"/>
      <c r="AA266" s="139" t="str">
        <f t="shared" si="497"/>
        <v/>
      </c>
      <c r="AB266" s="140"/>
      <c r="AC266" s="140"/>
      <c r="AD266" s="141"/>
      <c r="AE266" s="142">
        <f t="shared" si="498"/>
        <v>0</v>
      </c>
      <c r="AF266" s="143">
        <f t="shared" si="422"/>
        <v>0</v>
      </c>
      <c r="AG266" s="144">
        <f t="shared" si="499"/>
        <v>0</v>
      </c>
      <c r="AH266" s="76" t="str">
        <f t="shared" si="500"/>
        <v/>
      </c>
      <c r="AI266" s="143">
        <f> ( IF(ISNUMBER(G266), VLOOKUP(G266/$AH266,F!$A1:$B101,2,1)*G266*$H266*$I266,0)+IF(ISNUMBER(K266), VLOOKUP(K266/$AH266,F!$A1:$B101,2,1)*K266*$L266*$M266,0)+IF(ISNUMBER(O266), VLOOKUP(O266/$AH266,F!$A1:$B101,2,1)*O266*$P266*$Q266,0)+IF(ISNUMBER(S266), VLOOKUP(S266/$AH266,F!$A1:$B101,2,1)*S266*$T266*$U266,0)+IF(ISNUMBER(W266), VLOOKUP(W266/$AH266,F!$A1:$B101,2,1)*W266*$X266*$Y266,0)+IF(ISNUMBER(AA266), VLOOKUP(AA266/$AH266,F!$A1:$B101,2,1)*AA266*$AB266*$AC266,0))*IF(ISNUMBER(F266),F266,1)*IF(ISNUMBER(E266),E266,1)</f>
        <v>0</v>
      </c>
      <c r="AJ266" s="140">
        <f t="shared" si="501"/>
        <v>0</v>
      </c>
      <c r="AK266" s="145">
        <f t="array" ref="AK266">IFERROR(I266*INDEX(F!$P$21:$AB$33, MATCH(G266/$AH266, F!$O$21:$O$33,1), MATCH(E266, F!$P$20:$AB$20,1)), 0 ) +IFERROR( M266*INDEX(F!$P$21:$AB$33, MATCH(K266/$AH266, F!$O$21:$O$33,1), MATCH(E266, F!$P$20:$AB$20,1)),0) +  IFERROR( Q266*INDEX(F!$P$21:$AB$33, MATCH(O266/$AH266, F!$O$21:$O$33,1), MATCH(E266, F!$P$20:$AB$20,1)), 0) + IFERROR( U266*INDEX(F!$P$21:$AB$33, MATCH(S266/$AH266, F!$O$21:$O$33,1), MATCH(E266, F!$P$20:$AB$20,1)),0)  + IFERROR(Y266*INDEX(F!$P$21:$AB$33, MATCH(W266/$AH266, F!$O$21:$O$33,1), MATCH(E266, F!$P$20:$AB$20,1)),0)  + IFERROR( AC266*INDEX(F!$P$21:$AB$33, MATCH(AA266/$AH266, F!$O$21:$O$33,1), MATCH(E266, F!$P$20:$AB$20,1)),)</f>
        <v>0</v>
      </c>
      <c r="AL266" s="59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ht="15.0" hidden="1" customHeight="1">
      <c r="A267" s="59"/>
      <c r="B267" s="126" t="str">
        <f t="shared" ref="B267:F267" si="503">IF(B211="","",B211)</f>
        <v/>
      </c>
      <c r="C267" s="127" t="str">
        <f t="shared" si="503"/>
        <v/>
      </c>
      <c r="D267" s="128" t="str">
        <f t="shared" si="503"/>
        <v/>
      </c>
      <c r="E267" s="48" t="str">
        <f t="shared" si="503"/>
        <v/>
      </c>
      <c r="F267" s="129" t="str">
        <f t="shared" si="503"/>
        <v/>
      </c>
      <c r="G267" s="130" t="str">
        <f t="shared" si="492"/>
        <v/>
      </c>
      <c r="H267" s="34"/>
      <c r="I267" s="34"/>
      <c r="J267" s="65"/>
      <c r="K267" s="130" t="str">
        <f t="shared" si="493"/>
        <v/>
      </c>
      <c r="L267" s="34"/>
      <c r="M267" s="34"/>
      <c r="N267" s="65"/>
      <c r="O267" s="130" t="str">
        <f t="shared" si="494"/>
        <v/>
      </c>
      <c r="P267" s="34"/>
      <c r="Q267" s="34"/>
      <c r="R267" s="65"/>
      <c r="S267" s="130" t="str">
        <f t="shared" si="495"/>
        <v/>
      </c>
      <c r="T267" s="34"/>
      <c r="U267" s="34"/>
      <c r="V267" s="65"/>
      <c r="W267" s="130" t="str">
        <f t="shared" si="496"/>
        <v/>
      </c>
      <c r="X267" s="34"/>
      <c r="Y267" s="34"/>
      <c r="Z267" s="65"/>
      <c r="AA267" s="130" t="str">
        <f t="shared" si="497"/>
        <v/>
      </c>
      <c r="AB267" s="34"/>
      <c r="AC267" s="34"/>
      <c r="AD267" s="65"/>
      <c r="AE267" s="131">
        <f t="shared" si="498"/>
        <v>0</v>
      </c>
      <c r="AF267" s="132">
        <f t="shared" si="422"/>
        <v>0</v>
      </c>
      <c r="AG267" s="133">
        <f t="shared" si="499"/>
        <v>0</v>
      </c>
      <c r="AH267" s="76" t="str">
        <f t="shared" si="500"/>
        <v/>
      </c>
      <c r="AI267" s="132">
        <f> ( IF(ISNUMBER(G267), VLOOKUP(G267/$AH267,F!$A1:$B101,2,1)*G267*$H267*$I267,0)+IF(ISNUMBER(K267), VLOOKUP(K267/$AH267,F!$A1:$B101,2,1)*K267*$L267*$M267,0)+IF(ISNUMBER(O267), VLOOKUP(O267/$AH267,F!$A1:$B101,2,1)*O267*$P267*$Q267,0)+IF(ISNUMBER(S267), VLOOKUP(S267/$AH267,F!$A1:$B101,2,1)*S267*$T267*$U267,0)+IF(ISNUMBER(W267), VLOOKUP(W267/$AH267,F!$A1:$B101,2,1)*W267*$X267*$Y267,0)+IF(ISNUMBER(AA267), VLOOKUP(AA267/$AH267,F!$A1:$B101,2,1)*AA267*$AB267*$AC267,0))*IF(ISNUMBER(F267),F267,1)*IF(ISNUMBER(E267),E267,1)</f>
        <v>0</v>
      </c>
      <c r="AJ267" s="34">
        <f t="shared" si="501"/>
        <v>0</v>
      </c>
      <c r="AK267" s="134">
        <f t="array" ref="AK267">IFERROR(I267*INDEX(F!$P$21:$AB$33, MATCH(G267/$AH267, F!$O$21:$O$33,1), MATCH(E267, F!$P$20:$AB$20,1)), 0 ) +IFERROR( M267*INDEX(F!$P$21:$AB$33, MATCH(K267/$AH267, F!$O$21:$O$33,1), MATCH(E267, F!$P$20:$AB$20,1)),0) +  IFERROR( Q267*INDEX(F!$P$21:$AB$33, MATCH(O267/$AH267, F!$O$21:$O$33,1), MATCH(E267, F!$P$20:$AB$20,1)), 0) + IFERROR( U267*INDEX(F!$P$21:$AB$33, MATCH(S267/$AH267, F!$O$21:$O$33,1), MATCH(E267, F!$P$20:$AB$20,1)),0)  + IFERROR(Y267*INDEX(F!$P$21:$AB$33, MATCH(W267/$AH267, F!$O$21:$O$33,1), MATCH(E267, F!$P$20:$AB$20,1)),0)  + IFERROR( AC267*INDEX(F!$P$21:$AB$33, MATCH(AA267/$AH267, F!$O$21:$O$33,1), MATCH(E267, F!$P$20:$AB$20,1)),)</f>
        <v>0</v>
      </c>
      <c r="AL267" s="59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ht="15.75" hidden="1" customHeight="1">
      <c r="A268" s="59"/>
      <c r="B268" s="135" t="str">
        <f t="shared" ref="B268:F268" si="504">IF(B212="","",B212)</f>
        <v/>
      </c>
      <c r="C268" s="136" t="str">
        <f t="shared" si="504"/>
        <v/>
      </c>
      <c r="D268" s="137" t="str">
        <f t="shared" si="504"/>
        <v/>
      </c>
      <c r="E268" s="48" t="str">
        <f t="shared" si="504"/>
        <v/>
      </c>
      <c r="F268" s="138" t="str">
        <f t="shared" si="504"/>
        <v/>
      </c>
      <c r="G268" s="139" t="str">
        <f t="shared" si="492"/>
        <v/>
      </c>
      <c r="H268" s="140"/>
      <c r="I268" s="140"/>
      <c r="J268" s="141"/>
      <c r="K268" s="139" t="str">
        <f t="shared" si="493"/>
        <v/>
      </c>
      <c r="L268" s="140"/>
      <c r="M268" s="140"/>
      <c r="N268" s="141"/>
      <c r="O268" s="139" t="str">
        <f t="shared" si="494"/>
        <v/>
      </c>
      <c r="P268" s="140"/>
      <c r="Q268" s="140"/>
      <c r="R268" s="141"/>
      <c r="S268" s="139" t="str">
        <f t="shared" si="495"/>
        <v/>
      </c>
      <c r="T268" s="140"/>
      <c r="U268" s="140"/>
      <c r="V268" s="141"/>
      <c r="W268" s="139" t="str">
        <f t="shared" si="496"/>
        <v/>
      </c>
      <c r="X268" s="140"/>
      <c r="Y268" s="140"/>
      <c r="Z268" s="141"/>
      <c r="AA268" s="139" t="str">
        <f t="shared" si="497"/>
        <v/>
      </c>
      <c r="AB268" s="140"/>
      <c r="AC268" s="140"/>
      <c r="AD268" s="141"/>
      <c r="AE268" s="142">
        <f t="shared" si="498"/>
        <v>0</v>
      </c>
      <c r="AF268" s="143">
        <f t="shared" si="422"/>
        <v>0</v>
      </c>
      <c r="AG268" s="144">
        <f t="shared" si="499"/>
        <v>0</v>
      </c>
      <c r="AH268" s="76" t="str">
        <f t="shared" si="500"/>
        <v/>
      </c>
      <c r="AI268" s="143">
        <f> ( IF(ISNUMBER(G268), VLOOKUP(G268/$AH268,F!$A1:$B101,2,1)*G268*$H268*$I268,0)+IF(ISNUMBER(K268), VLOOKUP(K268/$AH268,F!$A1:$B101,2,1)*K268*$L268*$M268,0)+IF(ISNUMBER(O268), VLOOKUP(O268/$AH268,F!$A1:$B101,2,1)*O268*$P268*$Q268,0)+IF(ISNUMBER(S268), VLOOKUP(S268/$AH268,F!$A1:$B101,2,1)*S268*$T268*$U268,0)+IF(ISNUMBER(W268), VLOOKUP(W268/$AH268,F!$A1:$B101,2,1)*W268*$X268*$Y268,0)+IF(ISNUMBER(AA268), VLOOKUP(AA268/$AH268,F!$A1:$B101,2,1)*AA268*$AB268*$AC268,0))*IF(ISNUMBER(F268),F268,1)*IF(ISNUMBER(E268),E268,1)</f>
        <v>0</v>
      </c>
      <c r="AJ268" s="140">
        <f t="shared" si="501"/>
        <v>0</v>
      </c>
      <c r="AK268" s="145">
        <f t="array" ref="AK268">IFERROR(I268*INDEX(F!$P$21:$AB$33, MATCH(G268/$AH268, F!$O$21:$O$33,1), MATCH(E268, F!$P$20:$AB$20,1)), 0 ) +IFERROR( M268*INDEX(F!$P$21:$AB$33, MATCH(K268/$AH268, F!$O$21:$O$33,1), MATCH(E268, F!$P$20:$AB$20,1)),0) +  IFERROR( Q268*INDEX(F!$P$21:$AB$33, MATCH(O268/$AH268, F!$O$21:$O$33,1), MATCH(E268, F!$P$20:$AB$20,1)), 0) + IFERROR( U268*INDEX(F!$P$21:$AB$33, MATCH(S268/$AH268, F!$O$21:$O$33,1), MATCH(E268, F!$P$20:$AB$20,1)),0)  + IFERROR(Y268*INDEX(F!$P$21:$AB$33, MATCH(W268/$AH268, F!$O$21:$O$33,1), MATCH(E268, F!$P$20:$AB$20,1)),0)  + IFERROR( AC268*INDEX(F!$P$21:$AB$33, MATCH(AA268/$AH268, F!$O$21:$O$33,1), MATCH(E268, F!$P$20:$AB$20,1)),)</f>
        <v>0</v>
      </c>
      <c r="AL268" s="59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ht="15.75" hidden="1" customHeight="1">
      <c r="A269" s="59"/>
      <c r="B269" s="126" t="str">
        <f t="shared" ref="B269:F269" si="505">IF(B213="","",B213)</f>
        <v/>
      </c>
      <c r="C269" s="127" t="str">
        <f t="shared" si="505"/>
        <v/>
      </c>
      <c r="D269" s="128" t="str">
        <f t="shared" si="505"/>
        <v/>
      </c>
      <c r="E269" s="48" t="str">
        <f t="shared" si="505"/>
        <v/>
      </c>
      <c r="F269" s="129" t="str">
        <f t="shared" si="505"/>
        <v/>
      </c>
      <c r="G269" s="130" t="str">
        <f t="shared" si="492"/>
        <v/>
      </c>
      <c r="H269" s="34"/>
      <c r="I269" s="34"/>
      <c r="J269" s="65"/>
      <c r="K269" s="130" t="str">
        <f t="shared" si="493"/>
        <v/>
      </c>
      <c r="L269" s="34"/>
      <c r="M269" s="34"/>
      <c r="N269" s="65"/>
      <c r="O269" s="130" t="str">
        <f t="shared" si="494"/>
        <v/>
      </c>
      <c r="P269" s="34"/>
      <c r="Q269" s="34"/>
      <c r="R269" s="65"/>
      <c r="S269" s="130" t="str">
        <f t="shared" si="495"/>
        <v/>
      </c>
      <c r="T269" s="34"/>
      <c r="U269" s="34"/>
      <c r="V269" s="65"/>
      <c r="W269" s="130" t="str">
        <f t="shared" si="496"/>
        <v/>
      </c>
      <c r="X269" s="34"/>
      <c r="Y269" s="34"/>
      <c r="Z269" s="65"/>
      <c r="AA269" s="130" t="str">
        <f t="shared" si="497"/>
        <v/>
      </c>
      <c r="AB269" s="34"/>
      <c r="AC269" s="34"/>
      <c r="AD269" s="65"/>
      <c r="AE269" s="131">
        <f t="shared" si="498"/>
        <v>0</v>
      </c>
      <c r="AF269" s="132">
        <f t="shared" si="422"/>
        <v>0</v>
      </c>
      <c r="AG269" s="133">
        <f t="shared" si="499"/>
        <v>0</v>
      </c>
      <c r="AH269" s="76" t="str">
        <f t="shared" si="500"/>
        <v/>
      </c>
      <c r="AI269" s="132">
        <f> ( IF(ISNUMBER(G269), VLOOKUP(G269/$AH269,F!$A1:$B101,2,1)*G269*$H269*$I269,0)+IF(ISNUMBER(K269), VLOOKUP(K269/$AH269,F!$A1:$B101,2,1)*K269*$L269*$M269,0)+IF(ISNUMBER(O269), VLOOKUP(O269/$AH269,F!$A1:$B101,2,1)*O269*$P269*$Q269,0)+IF(ISNUMBER(S269), VLOOKUP(S269/$AH269,F!$A1:$B101,2,1)*S269*$T269*$U269,0)+IF(ISNUMBER(W269), VLOOKUP(W269/$AH269,F!$A1:$B101,2,1)*W269*$X269*$Y269,0)+IF(ISNUMBER(AA269), VLOOKUP(AA269/$AH269,F!$A1:$B101,2,1)*AA269*$AB269*$AC269,0))*IF(ISNUMBER(F269),F269,1)*IF(ISNUMBER(E269),E269,1)</f>
        <v>0</v>
      </c>
      <c r="AJ269" s="34">
        <f t="shared" si="501"/>
        <v>0</v>
      </c>
      <c r="AK269" s="134">
        <f t="array" ref="AK269">IFERROR(I269*INDEX(F!$P$21:$AB$33, MATCH(G269/$AH269, F!$O$21:$O$33,1), MATCH(E269, F!$P$20:$AB$20,1)), 0 ) +IFERROR( M269*INDEX(F!$P$21:$AB$33, MATCH(K269/$AH269, F!$O$21:$O$33,1), MATCH(E269, F!$P$20:$AB$20,1)),0) +  IFERROR( Q269*INDEX(F!$P$21:$AB$33, MATCH(O269/$AH269, F!$O$21:$O$33,1), MATCH(E269, F!$P$20:$AB$20,1)), 0) + IFERROR( U269*INDEX(F!$P$21:$AB$33, MATCH(S269/$AH269, F!$O$21:$O$33,1), MATCH(E269, F!$P$20:$AB$20,1)),0)  + IFERROR(Y269*INDEX(F!$P$21:$AB$33, MATCH(W269/$AH269, F!$O$21:$O$33,1), MATCH(E269, F!$P$20:$AB$20,1)),0)  + IFERROR( AC269*INDEX(F!$P$21:$AB$33, MATCH(AA269/$AH269, F!$O$21:$O$33,1), MATCH(E269, F!$P$20:$AB$20,1)),)</f>
        <v>0</v>
      </c>
      <c r="AL269" s="59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ht="15.75" hidden="1" customHeight="1">
      <c r="A270" s="59"/>
      <c r="B270" s="135" t="str">
        <f t="shared" ref="B270:F270" si="506">IF(B214="","",B214)</f>
        <v/>
      </c>
      <c r="C270" s="136" t="str">
        <f t="shared" si="506"/>
        <v/>
      </c>
      <c r="D270" s="137" t="str">
        <f t="shared" si="506"/>
        <v/>
      </c>
      <c r="E270" s="48" t="str">
        <f t="shared" si="506"/>
        <v/>
      </c>
      <c r="F270" s="138" t="str">
        <f t="shared" si="506"/>
        <v/>
      </c>
      <c r="G270" s="139" t="str">
        <f t="shared" si="492"/>
        <v/>
      </c>
      <c r="H270" s="140"/>
      <c r="I270" s="140"/>
      <c r="J270" s="141"/>
      <c r="K270" s="139" t="str">
        <f t="shared" si="493"/>
        <v/>
      </c>
      <c r="L270" s="140"/>
      <c r="M270" s="140"/>
      <c r="N270" s="141"/>
      <c r="O270" s="139" t="str">
        <f t="shared" si="494"/>
        <v/>
      </c>
      <c r="P270" s="140"/>
      <c r="Q270" s="140"/>
      <c r="R270" s="141"/>
      <c r="S270" s="139" t="str">
        <f t="shared" si="495"/>
        <v/>
      </c>
      <c r="T270" s="140"/>
      <c r="U270" s="140"/>
      <c r="V270" s="141"/>
      <c r="W270" s="139" t="str">
        <f t="shared" si="496"/>
        <v/>
      </c>
      <c r="X270" s="140"/>
      <c r="Y270" s="140"/>
      <c r="Z270" s="141"/>
      <c r="AA270" s="139" t="str">
        <f t="shared" si="497"/>
        <v/>
      </c>
      <c r="AB270" s="140"/>
      <c r="AC270" s="140"/>
      <c r="AD270" s="141"/>
      <c r="AE270" s="142">
        <f t="shared" si="498"/>
        <v>0</v>
      </c>
      <c r="AF270" s="143">
        <f t="shared" si="422"/>
        <v>0</v>
      </c>
      <c r="AG270" s="144">
        <f t="shared" si="499"/>
        <v>0</v>
      </c>
      <c r="AH270" s="76" t="str">
        <f t="shared" si="500"/>
        <v/>
      </c>
      <c r="AI270" s="143">
        <f> ( IF(ISNUMBER(G270), VLOOKUP(G270/$AH270,F!$A1:$B101,2,1)*G270*$H270*$I270,0)+IF(ISNUMBER(K270), VLOOKUP(K270/$AH270,F!$A1:$B101,2,1)*K270*$L270*$M270,0)+IF(ISNUMBER(O270), VLOOKUP(O270/$AH270,F!$A1:$B101,2,1)*O270*$P270*$Q270,0)+IF(ISNUMBER(S270), VLOOKUP(S270/$AH270,F!$A1:$B101,2,1)*S270*$T270*$U270,0)+IF(ISNUMBER(W270), VLOOKUP(W270/$AH270,F!$A1:$B101,2,1)*W270*$X270*$Y270,0)+IF(ISNUMBER(AA270), VLOOKUP(AA270/$AH270,F!$A1:$B101,2,1)*AA270*$AB270*$AC270,0))*IF(ISNUMBER(F270),F270,1)*IF(ISNUMBER(E270),E270,1)</f>
        <v>0</v>
      </c>
      <c r="AJ270" s="140">
        <f t="shared" si="501"/>
        <v>0</v>
      </c>
      <c r="AK270" s="145">
        <f t="array" ref="AK270">IFERROR(I270*INDEX(F!$P$21:$AB$33, MATCH(G270/$AH270, F!$O$21:$O$33,1), MATCH(E270, F!$P$20:$AB$20,1)), 0 ) +IFERROR( M270*INDEX(F!$P$21:$AB$33, MATCH(K270/$AH270, F!$O$21:$O$33,1), MATCH(E270, F!$P$20:$AB$20,1)),0) +  IFERROR( Q270*INDEX(F!$P$21:$AB$33, MATCH(O270/$AH270, F!$O$21:$O$33,1), MATCH(E270, F!$P$20:$AB$20,1)), 0) + IFERROR( U270*INDEX(F!$P$21:$AB$33, MATCH(S270/$AH270, F!$O$21:$O$33,1), MATCH(E270, F!$P$20:$AB$20,1)),0)  + IFERROR(Y270*INDEX(F!$P$21:$AB$33, MATCH(W270/$AH270, F!$O$21:$O$33,1), MATCH(E270, F!$P$20:$AB$20,1)),0)  + IFERROR( AC270*INDEX(F!$P$21:$AB$33, MATCH(AA270/$AH270, F!$O$21:$O$33,1), MATCH(E270, F!$P$20:$AB$20,1)),)</f>
        <v>0</v>
      </c>
      <c r="AL270" s="59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ht="15.75" hidden="1" customHeight="1">
      <c r="A271" s="59"/>
      <c r="B271" s="126" t="str">
        <f t="shared" ref="B271:F271" si="507">IF(B215="","",B215)</f>
        <v/>
      </c>
      <c r="C271" s="127" t="str">
        <f t="shared" si="507"/>
        <v/>
      </c>
      <c r="D271" s="128" t="str">
        <f t="shared" si="507"/>
        <v/>
      </c>
      <c r="E271" s="48" t="str">
        <f t="shared" si="507"/>
        <v/>
      </c>
      <c r="F271" s="129" t="str">
        <f t="shared" si="507"/>
        <v/>
      </c>
      <c r="G271" s="130" t="str">
        <f t="shared" si="492"/>
        <v/>
      </c>
      <c r="H271" s="34"/>
      <c r="I271" s="34"/>
      <c r="J271" s="65"/>
      <c r="K271" s="130" t="str">
        <f t="shared" si="493"/>
        <v/>
      </c>
      <c r="L271" s="34"/>
      <c r="M271" s="34"/>
      <c r="N271" s="65"/>
      <c r="O271" s="130" t="str">
        <f t="shared" si="494"/>
        <v/>
      </c>
      <c r="P271" s="34"/>
      <c r="Q271" s="34"/>
      <c r="R271" s="65"/>
      <c r="S271" s="130" t="str">
        <f t="shared" si="495"/>
        <v/>
      </c>
      <c r="T271" s="34"/>
      <c r="U271" s="34"/>
      <c r="V271" s="65"/>
      <c r="W271" s="130" t="str">
        <f t="shared" si="496"/>
        <v/>
      </c>
      <c r="X271" s="34"/>
      <c r="Y271" s="34"/>
      <c r="Z271" s="65"/>
      <c r="AA271" s="130" t="str">
        <f t="shared" si="497"/>
        <v/>
      </c>
      <c r="AB271" s="34"/>
      <c r="AC271" s="34"/>
      <c r="AD271" s="65"/>
      <c r="AE271" s="131">
        <f t="shared" si="498"/>
        <v>0</v>
      </c>
      <c r="AF271" s="132">
        <f t="shared" si="422"/>
        <v>0</v>
      </c>
      <c r="AG271" s="133">
        <f t="shared" si="499"/>
        <v>0</v>
      </c>
      <c r="AH271" s="76" t="str">
        <f t="shared" si="500"/>
        <v/>
      </c>
      <c r="AI271" s="132">
        <f> ( IF(ISNUMBER(G271), VLOOKUP(G271/$AH271,F!$A1:$B101,2,1)*G271*$H271*$I271,0)+IF(ISNUMBER(K271), VLOOKUP(K271/$AH271,F!$A1:$B101,2,1)*K271*$L271*$M271,0)+IF(ISNUMBER(O271), VLOOKUP(O271/$AH271,F!$A1:$B101,2,1)*O271*$P271*$Q271,0)+IF(ISNUMBER(S271), VLOOKUP(S271/$AH271,F!$A1:$B101,2,1)*S271*$T271*$U271,0)+IF(ISNUMBER(W271), VLOOKUP(W271/$AH271,F!$A1:$B101,2,1)*W271*$X271*$Y271,0)+IF(ISNUMBER(AA271), VLOOKUP(AA271/$AH271,F!$A1:$B101,2,1)*AA271*$AB271*$AC271,0))*IF(ISNUMBER(F271),F271,1)*IF(ISNUMBER(E271),E271,1)</f>
        <v>0</v>
      </c>
      <c r="AJ271" s="34">
        <f t="shared" si="501"/>
        <v>0</v>
      </c>
      <c r="AK271" s="134">
        <f t="array" ref="AK271">IFERROR(I271*INDEX(F!$P$21:$AB$33, MATCH(G271/$AH271, F!$O$21:$O$33,1), MATCH(E271, F!$P$20:$AB$20,1)), 0 ) +IFERROR( M271*INDEX(F!$P$21:$AB$33, MATCH(K271/$AH271, F!$O$21:$O$33,1), MATCH(E271, F!$P$20:$AB$20,1)),0) +  IFERROR( Q271*INDEX(F!$P$21:$AB$33, MATCH(O271/$AH271, F!$O$21:$O$33,1), MATCH(E271, F!$P$20:$AB$20,1)), 0) + IFERROR( U271*INDEX(F!$P$21:$AB$33, MATCH(S271/$AH271, F!$O$21:$O$33,1), MATCH(E271, F!$P$20:$AB$20,1)),0)  + IFERROR(Y271*INDEX(F!$P$21:$AB$33, MATCH(W271/$AH271, F!$O$21:$O$33,1), MATCH(E271, F!$P$20:$AB$20,1)),0)  + IFERROR( AC271*INDEX(F!$P$21:$AB$33, MATCH(AA271/$AH271, F!$O$21:$O$33,1), MATCH(E271, F!$P$20:$AB$20,1)),)</f>
        <v>0</v>
      </c>
      <c r="AL271" s="59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ht="15.75" hidden="1" customHeight="1">
      <c r="A272" s="98"/>
      <c r="B272" s="150"/>
      <c r="C272" s="151"/>
      <c r="D272" s="152"/>
      <c r="E272" s="102">
        <f>ROUND(IFERROR(SUMPRODUCT(AJ264:AJ271,E264:E271)/AJ272,0),3)</f>
        <v>0</v>
      </c>
      <c r="F272" s="153"/>
      <c r="G272" s="154"/>
      <c r="H272" s="155"/>
      <c r="I272" s="155"/>
      <c r="J272" s="156"/>
      <c r="K272" s="154"/>
      <c r="L272" s="155"/>
      <c r="M272" s="155"/>
      <c r="N272" s="156"/>
      <c r="O272" s="154"/>
      <c r="P272" s="155"/>
      <c r="Q272" s="155"/>
      <c r="R272" s="156"/>
      <c r="S272" s="154"/>
      <c r="T272" s="155"/>
      <c r="U272" s="155"/>
      <c r="V272" s="156"/>
      <c r="W272" s="154"/>
      <c r="X272" s="155"/>
      <c r="Y272" s="155"/>
      <c r="Z272" s="156"/>
      <c r="AA272" s="154"/>
      <c r="AB272" s="155"/>
      <c r="AC272" s="155"/>
      <c r="AD272" s="156"/>
      <c r="AE272" s="107">
        <f>SUM(AE264:AE271)</f>
        <v>0</v>
      </c>
      <c r="AF272" s="108">
        <f t="shared" si="422"/>
        <v>0</v>
      </c>
      <c r="AG272" s="109">
        <f>IFERROR(  SUMPRODUCT(AG264:AG271,AJ264:AJ271)/AJ272,0)</f>
        <v>0</v>
      </c>
      <c r="AH272" s="157"/>
      <c r="AI272" s="111">
        <f t="shared" ref="AI272:AJ272" si="508">SUM(AI264:AI271)</f>
        <v>0</v>
      </c>
      <c r="AJ272" s="111">
        <f t="shared" si="508"/>
        <v>0</v>
      </c>
      <c r="AK272" s="112">
        <f>IF(SUM(AK264:AK271)=0,TIME(,0,),TIME(,SUM(AK264:AK271)+F!$V$37,))</f>
        <v>0</v>
      </c>
      <c r="AL272" s="98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ht="15.75" hidden="1" customHeight="1">
      <c r="A273" s="158">
        <f>A274</f>
        <v>43815</v>
      </c>
      <c r="B273" s="159" t="str">
        <f t="shared" ref="B273:F273" si="509">IF(B217="","",B217)</f>
        <v/>
      </c>
      <c r="C273" s="160" t="str">
        <f t="shared" si="509"/>
        <v/>
      </c>
      <c r="D273" s="161" t="str">
        <f t="shared" si="509"/>
        <v/>
      </c>
      <c r="E273" s="29" t="str">
        <f t="shared" si="509"/>
        <v/>
      </c>
      <c r="F273" s="162" t="str">
        <f t="shared" si="509"/>
        <v/>
      </c>
      <c r="G273" s="163" t="str">
        <f t="shared" ref="G273:G280" si="511">IF(J273&lt;&gt;0, IFERROR(IF( $F273=2,  MROUND($AH273*J273,1),    IF( OR($F273="",$F273=1),   MROUND($AH273*J273,2.5),  MROUND($AH273*J273, 0.1))), "" ), "")</f>
        <v/>
      </c>
      <c r="H273" s="164"/>
      <c r="I273" s="164"/>
      <c r="J273" s="165"/>
      <c r="K273" s="163" t="str">
        <f t="shared" ref="K273:K280" si="512">IF(N273&lt;&gt;0, IFERROR(IF( $F273=2,  MROUND($AH273*N273,1),    IF( OR($F273="",$F273=1),   MROUND($AH273*N273,2.5),  MROUND($AH273*N273, 0.1))), "" ), "")</f>
        <v/>
      </c>
      <c r="L273" s="164"/>
      <c r="M273" s="164"/>
      <c r="N273" s="165"/>
      <c r="O273" s="163" t="str">
        <f t="shared" ref="O273:O280" si="513">IF(R273&lt;&gt;0, IFERROR(IF( $F273=2,  MROUND($AH273*R273,1),    IF( OR($F273="",$F273=1),   MROUND($AH273*R273,2.5),  MROUND($AH273*R273, 0.1))), "" ), "")</f>
        <v/>
      </c>
      <c r="P273" s="164"/>
      <c r="Q273" s="164"/>
      <c r="R273" s="165"/>
      <c r="S273" s="163" t="str">
        <f t="shared" ref="S273:S280" si="514">IF(V273&lt;&gt;0, IFERROR(IF( $F273=2,  MROUND($AH273*V273,1),    IF( OR($F273="",$F273=1),   MROUND($AH273*V273,2.5),  MROUND($AH273*V273, 0.1))), "" ), "")</f>
        <v/>
      </c>
      <c r="T273" s="164"/>
      <c r="U273" s="164"/>
      <c r="V273" s="165"/>
      <c r="W273" s="163" t="str">
        <f t="shared" ref="W273:W280" si="515">IF(Z273&lt;&gt;0, IFERROR(IF( $F273=2,  MROUND($AH273*Z273,1),    IF( OR($F273="",$F273=1),   MROUND($AH273*Z273,2.5),  MROUND($AH273*Z273, 0.1))), "" ), "")</f>
        <v/>
      </c>
      <c r="X273" s="164"/>
      <c r="Y273" s="164"/>
      <c r="Z273" s="165"/>
      <c r="AA273" s="163" t="str">
        <f t="shared" ref="AA273:AA280" si="516">IF(AD273&lt;&gt;0, IFERROR(IF( $F273=2,  MROUND($AH273*AD273,1),    IF( OR($F273="",$F273=1),   MROUND($AH273*AD273,2.5),  MROUND($AH273*AD273, 0.1))), "" ), "")</f>
        <v/>
      </c>
      <c r="AB273" s="164"/>
      <c r="AC273" s="164"/>
      <c r="AD273" s="165"/>
      <c r="AE273" s="166">
        <f t="shared" ref="AE273:AE280" si="517">(IF(ISNUMBER(G273),G273,0)*H273*I273+IF(ISNUMBER(K273),K273,1)*L273*M273+IF(ISNUMBER(O273),O273,1)*P273*Q273+IF(ISNUMBER(S273),S273,1)*T273*U273+IF(ISNUMBER(W273),W273,1)*X273*Y273+IF(ISNUMBER(AA273),AA273,1)*AB273*AC273)*IF(ISNUMBER(F273),F273,1)</f>
        <v>0</v>
      </c>
      <c r="AF273" s="167">
        <f t="shared" si="422"/>
        <v>0</v>
      </c>
      <c r="AG273" s="168">
        <f t="shared" ref="AG273:AG280" si="518">IFERROR((AF273/(AH273*IF(ISNUMBER(F273),F273,1))),0)</f>
        <v>0</v>
      </c>
      <c r="AH273" s="169" t="str">
        <f t="shared" ref="AH273:AH280" si="519">IF(ISNUMBER(AH217), AH217+(AH217*$AH$226),"")</f>
        <v/>
      </c>
      <c r="AI273" s="167">
        <f> ( IF(ISNUMBER(G273), VLOOKUP(G273/$AH273,F!$A1:$B101,2,1)*G273*$H273*$I273,0)+IF(ISNUMBER(K273), VLOOKUP(K273/$AH273,F!$A1:$B101,2,1)*K273*$L273*$M273,0)+IF(ISNUMBER(O273), VLOOKUP(O273/$AH273,F!$A1:$B101,2,1)*O273*$P273*$Q273,0)+IF(ISNUMBER(S273), VLOOKUP(S273/$AH273,F!$A1:$B101,2,1)*S273*$T273*$U273,0)+IF(ISNUMBER(W273), VLOOKUP(W273/$AH273,F!$A1:$B101,2,1)*W273*$X273*$Y273,0)+IF(ISNUMBER(AA273), VLOOKUP(AA273/$AH273,F!$A1:$B101,2,1)*AA273*$AB273*$AC273,0))*IF(ISNUMBER(F273),F273,1)*IF(ISNUMBER(E273),E273,1)</f>
        <v>0</v>
      </c>
      <c r="AJ273" s="164">
        <f t="shared" ref="AJ273:AJ280" si="520">H273*I273+L273*M273+P273*Q273+T273*U273+X273*Y273+AB273*AC273</f>
        <v>0</v>
      </c>
      <c r="AK273" s="170">
        <f t="array" ref="AK273">IFERROR(I273*INDEX(F!$P$21:$AB$33, MATCH(G273/$AH273, F!$O$21:$O$33,1), MATCH(E273, F!$P$20:$AB$20,1)), 0 ) +IFERROR( M273*INDEX(F!$P$21:$AB$33, MATCH(K273/$AH273, F!$O$21:$O$33,1), MATCH(E273, F!$P$20:$AB$20,1)),0) +  IFERROR( Q273*INDEX(F!$P$21:$AB$33, MATCH(O273/$AH273, F!$O$21:$O$33,1), MATCH(E273, F!$P$20:$AB$20,1)), 0) + IFERROR( U273*INDEX(F!$P$21:$AB$33, MATCH(S273/$AH273, F!$O$21:$O$33,1), MATCH(E273, F!$P$20:$AB$20,1)),0)  + IFERROR(Y273*INDEX(F!$P$21:$AB$33, MATCH(W273/$AH273, F!$O$21:$O$33,1), MATCH(E273, F!$P$20:$AB$20,1)),0)  + IFERROR( AC273*INDEX(F!$P$21:$AB$33, MATCH(AA273/$AH273, F!$O$21:$O$33,1), MATCH(E273, F!$P$20:$AB$20,1)),)</f>
        <v>0</v>
      </c>
      <c r="AL273" s="42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ht="15.0" hidden="1" customHeight="1">
      <c r="A274" s="44">
        <f>A218+A170</f>
        <v>43815</v>
      </c>
      <c r="B274" s="135" t="str">
        <f t="shared" ref="B274:F274" si="510">IF(B218="","",B218)</f>
        <v/>
      </c>
      <c r="C274" s="136" t="str">
        <f t="shared" si="510"/>
        <v/>
      </c>
      <c r="D274" s="137" t="str">
        <f t="shared" si="510"/>
        <v/>
      </c>
      <c r="E274" s="48" t="str">
        <f t="shared" si="510"/>
        <v/>
      </c>
      <c r="F274" s="138" t="str">
        <f t="shared" si="510"/>
        <v/>
      </c>
      <c r="G274" s="139" t="str">
        <f t="shared" si="511"/>
        <v/>
      </c>
      <c r="H274" s="140"/>
      <c r="I274" s="140"/>
      <c r="J274" s="141"/>
      <c r="K274" s="139" t="str">
        <f t="shared" si="512"/>
        <v/>
      </c>
      <c r="L274" s="140"/>
      <c r="M274" s="140"/>
      <c r="N274" s="141"/>
      <c r="O274" s="139" t="str">
        <f t="shared" si="513"/>
        <v/>
      </c>
      <c r="P274" s="140"/>
      <c r="Q274" s="140"/>
      <c r="R274" s="141"/>
      <c r="S274" s="139" t="str">
        <f t="shared" si="514"/>
        <v/>
      </c>
      <c r="T274" s="140"/>
      <c r="U274" s="140"/>
      <c r="V274" s="141"/>
      <c r="W274" s="139" t="str">
        <f t="shared" si="515"/>
        <v/>
      </c>
      <c r="X274" s="140"/>
      <c r="Y274" s="140"/>
      <c r="Z274" s="141"/>
      <c r="AA274" s="139" t="str">
        <f t="shared" si="516"/>
        <v/>
      </c>
      <c r="AB274" s="140"/>
      <c r="AC274" s="140"/>
      <c r="AD274" s="141"/>
      <c r="AE274" s="142">
        <f t="shared" si="517"/>
        <v>0</v>
      </c>
      <c r="AF274" s="143">
        <f t="shared" si="422"/>
        <v>0</v>
      </c>
      <c r="AG274" s="144">
        <f t="shared" si="518"/>
        <v>0</v>
      </c>
      <c r="AH274" s="76" t="str">
        <f t="shared" si="519"/>
        <v/>
      </c>
      <c r="AI274" s="143">
        <f> ( IF(ISNUMBER(G274), VLOOKUP(G274/$AH274,F!$A1:$B101,2,1)*G274*$H274*$I274,0)+IF(ISNUMBER(K274), VLOOKUP(K274/$AH274,F!$A1:$B101,2,1)*K274*$L274*$M274,0)+IF(ISNUMBER(O274), VLOOKUP(O274/$AH274,F!$A1:$B101,2,1)*O274*$P274*$Q274,0)+IF(ISNUMBER(S274), VLOOKUP(S274/$AH274,F!$A1:$B101,2,1)*S274*$T274*$U274,0)+IF(ISNUMBER(W274), VLOOKUP(W274/$AH274,F!$A1:$B101,2,1)*W274*$X274*$Y274,0)+IF(ISNUMBER(AA274), VLOOKUP(AA274/$AH274,F!$A1:$B101,2,1)*AA274*$AB274*$AC274,0))*IF(ISNUMBER(F274),F274,1)*IF(ISNUMBER(E274),E274,1)</f>
        <v>0</v>
      </c>
      <c r="AJ274" s="140">
        <f t="shared" si="520"/>
        <v>0</v>
      </c>
      <c r="AK274" s="145">
        <f t="array" ref="AK274">IFERROR(I274*INDEX(F!$P$21:$AB$33, MATCH(G274/$AH274, F!$O$21:$O$33,1), MATCH(E274, F!$P$20:$AB$20,1)), 0 ) +IFERROR( M274*INDEX(F!$P$21:$AB$33, MATCH(K274/$AH274, F!$O$21:$O$33,1), MATCH(E274, F!$P$20:$AB$20,1)),0) +  IFERROR( Q274*INDEX(F!$P$21:$AB$33, MATCH(O274/$AH274, F!$O$21:$O$33,1), MATCH(E274, F!$P$20:$AB$20,1)), 0) + IFERROR( U274*INDEX(F!$P$21:$AB$33, MATCH(S274/$AH274, F!$O$21:$O$33,1), MATCH(E274, F!$P$20:$AB$20,1)),0)  + IFERROR(Y274*INDEX(F!$P$21:$AB$33, MATCH(W274/$AH274, F!$O$21:$O$33,1), MATCH(E274, F!$P$20:$AB$20,1)),0)  + IFERROR( AC274*INDEX(F!$P$21:$AB$33, MATCH(AA274/$AH274, F!$O$21:$O$33,1), MATCH(E274, F!$P$20:$AB$20,1)),)</f>
        <v>0</v>
      </c>
      <c r="AL274" s="59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ht="15.75" hidden="1" customHeight="1">
      <c r="A275" s="59"/>
      <c r="B275" s="173" t="str">
        <f t="shared" ref="B275:F275" si="521">IF(B219="","",B219)</f>
        <v/>
      </c>
      <c r="C275" s="174" t="str">
        <f t="shared" si="521"/>
        <v/>
      </c>
      <c r="D275" s="175" t="str">
        <f t="shared" si="521"/>
        <v/>
      </c>
      <c r="E275" s="48" t="str">
        <f t="shared" si="521"/>
        <v/>
      </c>
      <c r="F275" s="176" t="str">
        <f t="shared" si="521"/>
        <v/>
      </c>
      <c r="G275" s="177" t="str">
        <f t="shared" si="511"/>
        <v/>
      </c>
      <c r="H275" s="178"/>
      <c r="I275" s="178"/>
      <c r="J275" s="179"/>
      <c r="K275" s="177" t="str">
        <f t="shared" si="512"/>
        <v/>
      </c>
      <c r="L275" s="178"/>
      <c r="M275" s="178"/>
      <c r="N275" s="179"/>
      <c r="O275" s="177" t="str">
        <f t="shared" si="513"/>
        <v/>
      </c>
      <c r="P275" s="178"/>
      <c r="Q275" s="178"/>
      <c r="R275" s="179"/>
      <c r="S275" s="177" t="str">
        <f t="shared" si="514"/>
        <v/>
      </c>
      <c r="T275" s="178"/>
      <c r="U275" s="178"/>
      <c r="V275" s="179"/>
      <c r="W275" s="177" t="str">
        <f t="shared" si="515"/>
        <v/>
      </c>
      <c r="X275" s="178"/>
      <c r="Y275" s="178"/>
      <c r="Z275" s="179"/>
      <c r="AA275" s="177" t="str">
        <f t="shared" si="516"/>
        <v/>
      </c>
      <c r="AB275" s="178"/>
      <c r="AC275" s="178"/>
      <c r="AD275" s="179"/>
      <c r="AE275" s="180">
        <f t="shared" si="517"/>
        <v>0</v>
      </c>
      <c r="AF275" s="181">
        <f t="shared" si="422"/>
        <v>0</v>
      </c>
      <c r="AG275" s="182">
        <f t="shared" si="518"/>
        <v>0</v>
      </c>
      <c r="AH275" s="76" t="str">
        <f t="shared" si="519"/>
        <v/>
      </c>
      <c r="AI275" s="181">
        <f> ( IF(ISNUMBER(G275), VLOOKUP(G275/$AH275,F!$A1:$B101,2,1)*G275*$H275*$I275,0)+IF(ISNUMBER(K275), VLOOKUP(K275/$AH275,F!$A1:$B101,2,1)*K275*$L275*$M275,0)+IF(ISNUMBER(O275), VLOOKUP(O275/$AH275,F!$A1:$B101,2,1)*O275*$P275*$Q275,0)+IF(ISNUMBER(S275), VLOOKUP(S275/$AH275,F!$A1:$B101,2,1)*S275*$T275*$U275,0)+IF(ISNUMBER(W275), VLOOKUP(W275/$AH275,F!$A1:$B101,2,1)*W275*$X275*$Y275,0)+IF(ISNUMBER(AA275), VLOOKUP(AA275/$AH275,F!$A1:$B101,2,1)*AA275*$AB275*$AC275,0))*IF(ISNUMBER(F275),F275,1)*IF(ISNUMBER(E275),E275,1)</f>
        <v>0</v>
      </c>
      <c r="AJ275" s="178">
        <f t="shared" si="520"/>
        <v>0</v>
      </c>
      <c r="AK275" s="183">
        <f t="array" ref="AK275">IFERROR(I275*INDEX(F!$P$21:$AB$33, MATCH(G275/$AH275, F!$O$21:$O$33,1), MATCH(E275, F!$P$20:$AB$20,1)), 0 ) +IFERROR( M275*INDEX(F!$P$21:$AB$33, MATCH(K275/$AH275, F!$O$21:$O$33,1), MATCH(E275, F!$P$20:$AB$20,1)),0) +  IFERROR( Q275*INDEX(F!$P$21:$AB$33, MATCH(O275/$AH275, F!$O$21:$O$33,1), MATCH(E275, F!$P$20:$AB$20,1)), 0) + IFERROR( U275*INDEX(F!$P$21:$AB$33, MATCH(S275/$AH275, F!$O$21:$O$33,1), MATCH(E275, F!$P$20:$AB$20,1)),0)  + IFERROR(Y275*INDEX(F!$P$21:$AB$33, MATCH(W275/$AH275, F!$O$21:$O$33,1), MATCH(E275, F!$P$20:$AB$20,1)),0)  + IFERROR( AC275*INDEX(F!$P$21:$AB$33, MATCH(AA275/$AH275, F!$O$21:$O$33,1), MATCH(E275, F!$P$20:$AB$20,1)),)</f>
        <v>0</v>
      </c>
      <c r="AL275" s="59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ht="15.75" hidden="1" customHeight="1">
      <c r="A276" s="59"/>
      <c r="B276" s="135" t="str">
        <f t="shared" ref="B276:F276" si="522">IF(B220="","",B220)</f>
        <v/>
      </c>
      <c r="C276" s="136" t="str">
        <f t="shared" si="522"/>
        <v/>
      </c>
      <c r="D276" s="137" t="str">
        <f t="shared" si="522"/>
        <v/>
      </c>
      <c r="E276" s="48" t="str">
        <f t="shared" si="522"/>
        <v/>
      </c>
      <c r="F276" s="138" t="str">
        <f t="shared" si="522"/>
        <v/>
      </c>
      <c r="G276" s="139" t="str">
        <f t="shared" si="511"/>
        <v/>
      </c>
      <c r="H276" s="140"/>
      <c r="I276" s="140"/>
      <c r="J276" s="141"/>
      <c r="K276" s="139" t="str">
        <f t="shared" si="512"/>
        <v/>
      </c>
      <c r="L276" s="140"/>
      <c r="M276" s="140"/>
      <c r="N276" s="141"/>
      <c r="O276" s="139" t="str">
        <f t="shared" si="513"/>
        <v/>
      </c>
      <c r="P276" s="140"/>
      <c r="Q276" s="140"/>
      <c r="R276" s="141"/>
      <c r="S276" s="139" t="str">
        <f t="shared" si="514"/>
        <v/>
      </c>
      <c r="T276" s="140"/>
      <c r="U276" s="140"/>
      <c r="V276" s="141"/>
      <c r="W276" s="139" t="str">
        <f t="shared" si="515"/>
        <v/>
      </c>
      <c r="X276" s="140"/>
      <c r="Y276" s="140"/>
      <c r="Z276" s="141"/>
      <c r="AA276" s="139" t="str">
        <f t="shared" si="516"/>
        <v/>
      </c>
      <c r="AB276" s="140"/>
      <c r="AC276" s="140"/>
      <c r="AD276" s="141"/>
      <c r="AE276" s="142">
        <f t="shared" si="517"/>
        <v>0</v>
      </c>
      <c r="AF276" s="143">
        <f t="shared" si="422"/>
        <v>0</v>
      </c>
      <c r="AG276" s="144">
        <f t="shared" si="518"/>
        <v>0</v>
      </c>
      <c r="AH276" s="76" t="str">
        <f t="shared" si="519"/>
        <v/>
      </c>
      <c r="AI276" s="143">
        <f> ( IF(ISNUMBER(G276), VLOOKUP(G276/$AH276,F!$A1:$B101,2,1)*G276*$H276*$I276,0)+IF(ISNUMBER(K276), VLOOKUP(K276/$AH276,F!$A1:$B101,2,1)*K276*$L276*$M276,0)+IF(ISNUMBER(O276), VLOOKUP(O276/$AH276,F!$A1:$B101,2,1)*O276*$P276*$Q276,0)+IF(ISNUMBER(S276), VLOOKUP(S276/$AH276,F!$A1:$B101,2,1)*S276*$T276*$U276,0)+IF(ISNUMBER(W276), VLOOKUP(W276/$AH276,F!$A1:$B101,2,1)*W276*$X276*$Y276,0)+IF(ISNUMBER(AA276), VLOOKUP(AA276/$AH276,F!$A1:$B101,2,1)*AA276*$AB276*$AC276,0))*IF(ISNUMBER(F276),F276,1)*IF(ISNUMBER(E276),E276,1)</f>
        <v>0</v>
      </c>
      <c r="AJ276" s="140">
        <f t="shared" si="520"/>
        <v>0</v>
      </c>
      <c r="AK276" s="145">
        <f t="array" ref="AK276">IFERROR(I276*INDEX(F!$P$21:$AB$33, MATCH(G276/$AH276, F!$O$21:$O$33,1), MATCH(E276, F!$P$20:$AB$20,1)), 0 ) +IFERROR( M276*INDEX(F!$P$21:$AB$33, MATCH(K276/$AH276, F!$O$21:$O$33,1), MATCH(E276, F!$P$20:$AB$20,1)),0) +  IFERROR( Q276*INDEX(F!$P$21:$AB$33, MATCH(O276/$AH276, F!$O$21:$O$33,1), MATCH(E276, F!$P$20:$AB$20,1)), 0) + IFERROR( U276*INDEX(F!$P$21:$AB$33, MATCH(S276/$AH276, F!$O$21:$O$33,1), MATCH(E276, F!$P$20:$AB$20,1)),0)  + IFERROR(Y276*INDEX(F!$P$21:$AB$33, MATCH(W276/$AH276, F!$O$21:$O$33,1), MATCH(E276, F!$P$20:$AB$20,1)),0)  + IFERROR( AC276*INDEX(F!$P$21:$AB$33, MATCH(AA276/$AH276, F!$O$21:$O$33,1), MATCH(E276, F!$P$20:$AB$20,1)),)</f>
        <v>0</v>
      </c>
      <c r="AL276" s="59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ht="15.75" hidden="1" customHeight="1">
      <c r="A277" s="59"/>
      <c r="B277" s="173" t="str">
        <f t="shared" ref="B277:F277" si="523">IF(B221="","",B221)</f>
        <v/>
      </c>
      <c r="C277" s="174" t="str">
        <f t="shared" si="523"/>
        <v/>
      </c>
      <c r="D277" s="175" t="str">
        <f t="shared" si="523"/>
        <v/>
      </c>
      <c r="E277" s="48" t="str">
        <f t="shared" si="523"/>
        <v/>
      </c>
      <c r="F277" s="176" t="str">
        <f t="shared" si="523"/>
        <v/>
      </c>
      <c r="G277" s="177" t="str">
        <f t="shared" si="511"/>
        <v/>
      </c>
      <c r="H277" s="178"/>
      <c r="I277" s="178"/>
      <c r="J277" s="179"/>
      <c r="K277" s="177" t="str">
        <f t="shared" si="512"/>
        <v/>
      </c>
      <c r="L277" s="178"/>
      <c r="M277" s="178"/>
      <c r="N277" s="179"/>
      <c r="O277" s="177" t="str">
        <f t="shared" si="513"/>
        <v/>
      </c>
      <c r="P277" s="178"/>
      <c r="Q277" s="178"/>
      <c r="R277" s="179"/>
      <c r="S277" s="177" t="str">
        <f t="shared" si="514"/>
        <v/>
      </c>
      <c r="T277" s="178"/>
      <c r="U277" s="178"/>
      <c r="V277" s="179"/>
      <c r="W277" s="177" t="str">
        <f t="shared" si="515"/>
        <v/>
      </c>
      <c r="X277" s="178"/>
      <c r="Y277" s="178"/>
      <c r="Z277" s="179"/>
      <c r="AA277" s="177" t="str">
        <f t="shared" si="516"/>
        <v/>
      </c>
      <c r="AB277" s="178"/>
      <c r="AC277" s="178"/>
      <c r="AD277" s="179"/>
      <c r="AE277" s="180">
        <f t="shared" si="517"/>
        <v>0</v>
      </c>
      <c r="AF277" s="181">
        <f t="shared" si="422"/>
        <v>0</v>
      </c>
      <c r="AG277" s="182">
        <f t="shared" si="518"/>
        <v>0</v>
      </c>
      <c r="AH277" s="76" t="str">
        <f t="shared" si="519"/>
        <v/>
      </c>
      <c r="AI277" s="181">
        <f> ( IF(ISNUMBER(G277), VLOOKUP(G277/$AH277,F!$A1:$B101,2,1)*G277*$H277*$I277,0)+IF(ISNUMBER(K277), VLOOKUP(K277/$AH277,F!$A1:$B101,2,1)*K277*$L277*$M277,0)+IF(ISNUMBER(O277), VLOOKUP(O277/$AH277,F!$A1:$B101,2,1)*O277*$P277*$Q277,0)+IF(ISNUMBER(S277), VLOOKUP(S277/$AH277,F!$A1:$B101,2,1)*S277*$T277*$U277,0)+IF(ISNUMBER(W277), VLOOKUP(W277/$AH277,F!$A1:$B101,2,1)*W277*$X277*$Y277,0)+IF(ISNUMBER(AA277), VLOOKUP(AA277/$AH277,F!$A1:$B101,2,1)*AA277*$AB277*$AC277,0))*IF(ISNUMBER(F277),F277,1)*IF(ISNUMBER(E277),E277,1)</f>
        <v>0</v>
      </c>
      <c r="AJ277" s="178">
        <f t="shared" si="520"/>
        <v>0</v>
      </c>
      <c r="AK277" s="183">
        <f t="array" ref="AK277">IFERROR(I277*INDEX(F!$P$21:$AB$33, MATCH(G277/$AH277, F!$O$21:$O$33,1), MATCH(E277, F!$P$20:$AB$20,1)), 0 ) +IFERROR( M277*INDEX(F!$P$21:$AB$33, MATCH(K277/$AH277, F!$O$21:$O$33,1), MATCH(E277, F!$P$20:$AB$20,1)),0) +  IFERROR( Q277*INDEX(F!$P$21:$AB$33, MATCH(O277/$AH277, F!$O$21:$O$33,1), MATCH(E277, F!$P$20:$AB$20,1)), 0) + IFERROR( U277*INDEX(F!$P$21:$AB$33, MATCH(S277/$AH277, F!$O$21:$O$33,1), MATCH(E277, F!$P$20:$AB$20,1)),0)  + IFERROR(Y277*INDEX(F!$P$21:$AB$33, MATCH(W277/$AH277, F!$O$21:$O$33,1), MATCH(E277, F!$P$20:$AB$20,1)),0)  + IFERROR( AC277*INDEX(F!$P$21:$AB$33, MATCH(AA277/$AH277, F!$O$21:$O$33,1), MATCH(E277, F!$P$20:$AB$20,1)),)</f>
        <v>0</v>
      </c>
      <c r="AL277" s="59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ht="15.75" hidden="1" customHeight="1">
      <c r="A278" s="59"/>
      <c r="B278" s="135" t="str">
        <f t="shared" ref="B278:F278" si="524">IF(B222="","",B222)</f>
        <v/>
      </c>
      <c r="C278" s="136" t="str">
        <f t="shared" si="524"/>
        <v/>
      </c>
      <c r="D278" s="137" t="str">
        <f t="shared" si="524"/>
        <v/>
      </c>
      <c r="E278" s="48" t="str">
        <f t="shared" si="524"/>
        <v/>
      </c>
      <c r="F278" s="138" t="str">
        <f t="shared" si="524"/>
        <v/>
      </c>
      <c r="G278" s="139" t="str">
        <f t="shared" si="511"/>
        <v/>
      </c>
      <c r="H278" s="140"/>
      <c r="I278" s="140"/>
      <c r="J278" s="141"/>
      <c r="K278" s="139" t="str">
        <f t="shared" si="512"/>
        <v/>
      </c>
      <c r="L278" s="140"/>
      <c r="M278" s="140"/>
      <c r="N278" s="141"/>
      <c r="O278" s="139" t="str">
        <f t="shared" si="513"/>
        <v/>
      </c>
      <c r="P278" s="140"/>
      <c r="Q278" s="140"/>
      <c r="R278" s="141"/>
      <c r="S278" s="139" t="str">
        <f t="shared" si="514"/>
        <v/>
      </c>
      <c r="T278" s="140"/>
      <c r="U278" s="140"/>
      <c r="V278" s="141"/>
      <c r="W278" s="139" t="str">
        <f t="shared" si="515"/>
        <v/>
      </c>
      <c r="X278" s="140"/>
      <c r="Y278" s="140"/>
      <c r="Z278" s="141"/>
      <c r="AA278" s="139" t="str">
        <f t="shared" si="516"/>
        <v/>
      </c>
      <c r="AB278" s="140"/>
      <c r="AC278" s="140"/>
      <c r="AD278" s="141"/>
      <c r="AE278" s="142">
        <f t="shared" si="517"/>
        <v>0</v>
      </c>
      <c r="AF278" s="143">
        <f t="shared" si="422"/>
        <v>0</v>
      </c>
      <c r="AG278" s="144">
        <f t="shared" si="518"/>
        <v>0</v>
      </c>
      <c r="AH278" s="76" t="str">
        <f t="shared" si="519"/>
        <v/>
      </c>
      <c r="AI278" s="143">
        <f> ( IF(ISNUMBER(G278), VLOOKUP(G278/$AH278,F!$A1:$B101,2,1)*G278*$H278*$I278,0)+IF(ISNUMBER(K278), VLOOKUP(K278/$AH278,F!$A1:$B101,2,1)*K278*$L278*$M278,0)+IF(ISNUMBER(O278), VLOOKUP(O278/$AH278,F!$A1:$B101,2,1)*O278*$P278*$Q278,0)+IF(ISNUMBER(S278), VLOOKUP(S278/$AH278,F!$A1:$B101,2,1)*S278*$T278*$U278,0)+IF(ISNUMBER(W278), VLOOKUP(W278/$AH278,F!$A1:$B101,2,1)*W278*$X278*$Y278,0)+IF(ISNUMBER(AA278), VLOOKUP(AA278/$AH278,F!$A1:$B101,2,1)*AA278*$AB278*$AC278,0))*IF(ISNUMBER(F278),F278,1)*IF(ISNUMBER(E278),E278,1)</f>
        <v>0</v>
      </c>
      <c r="AJ278" s="140">
        <f t="shared" si="520"/>
        <v>0</v>
      </c>
      <c r="AK278" s="145">
        <f t="array" ref="AK278">IFERROR(I278*INDEX(F!$P$21:$AB$33, MATCH(G278/$AH278, F!$O$21:$O$33,1), MATCH(E278, F!$P$20:$AB$20,1)), 0 ) +IFERROR( M278*INDEX(F!$P$21:$AB$33, MATCH(K278/$AH278, F!$O$21:$O$33,1), MATCH(E278, F!$P$20:$AB$20,1)),0) +  IFERROR( Q278*INDEX(F!$P$21:$AB$33, MATCH(O278/$AH278, F!$O$21:$O$33,1), MATCH(E278, F!$P$20:$AB$20,1)), 0) + IFERROR( U278*INDEX(F!$P$21:$AB$33, MATCH(S278/$AH278, F!$O$21:$O$33,1), MATCH(E278, F!$P$20:$AB$20,1)),0)  + IFERROR(Y278*INDEX(F!$P$21:$AB$33, MATCH(W278/$AH278, F!$O$21:$O$33,1), MATCH(E278, F!$P$20:$AB$20,1)),0)  + IFERROR( AC278*INDEX(F!$P$21:$AB$33, MATCH(AA278/$AH278, F!$O$21:$O$33,1), MATCH(E278, F!$P$20:$AB$20,1)),)</f>
        <v>0</v>
      </c>
      <c r="AL278" s="59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ht="15.75" hidden="1" customHeight="1">
      <c r="A279" s="59"/>
      <c r="B279" s="173" t="str">
        <f t="shared" ref="B279:F279" si="525">IF(B223="","",B223)</f>
        <v/>
      </c>
      <c r="C279" s="174" t="str">
        <f t="shared" si="525"/>
        <v/>
      </c>
      <c r="D279" s="175" t="str">
        <f t="shared" si="525"/>
        <v/>
      </c>
      <c r="E279" s="48" t="str">
        <f t="shared" si="525"/>
        <v/>
      </c>
      <c r="F279" s="176" t="str">
        <f t="shared" si="525"/>
        <v/>
      </c>
      <c r="G279" s="177" t="str">
        <f t="shared" si="511"/>
        <v/>
      </c>
      <c r="H279" s="178"/>
      <c r="I279" s="178"/>
      <c r="J279" s="179"/>
      <c r="K279" s="177" t="str">
        <f t="shared" si="512"/>
        <v/>
      </c>
      <c r="L279" s="178"/>
      <c r="M279" s="178"/>
      <c r="N279" s="179"/>
      <c r="O279" s="177" t="str">
        <f t="shared" si="513"/>
        <v/>
      </c>
      <c r="P279" s="178"/>
      <c r="Q279" s="178"/>
      <c r="R279" s="179"/>
      <c r="S279" s="177" t="str">
        <f t="shared" si="514"/>
        <v/>
      </c>
      <c r="T279" s="178"/>
      <c r="U279" s="178"/>
      <c r="V279" s="179"/>
      <c r="W279" s="177" t="str">
        <f t="shared" si="515"/>
        <v/>
      </c>
      <c r="X279" s="178"/>
      <c r="Y279" s="178"/>
      <c r="Z279" s="179"/>
      <c r="AA279" s="177" t="str">
        <f t="shared" si="516"/>
        <v/>
      </c>
      <c r="AB279" s="178"/>
      <c r="AC279" s="178"/>
      <c r="AD279" s="179"/>
      <c r="AE279" s="180">
        <f t="shared" si="517"/>
        <v>0</v>
      </c>
      <c r="AF279" s="181">
        <f t="shared" si="422"/>
        <v>0</v>
      </c>
      <c r="AG279" s="182">
        <f t="shared" si="518"/>
        <v>0</v>
      </c>
      <c r="AH279" s="76" t="str">
        <f t="shared" si="519"/>
        <v/>
      </c>
      <c r="AI279" s="181">
        <f> ( IF(ISNUMBER(G279), VLOOKUP(G279/$AH279,F!$A1:$B101,2,1)*G279*$H279*$I279,0)+IF(ISNUMBER(K279), VLOOKUP(K279/$AH279,F!$A1:$B101,2,1)*K279*$L279*$M279,0)+IF(ISNUMBER(O279), VLOOKUP(O279/$AH279,F!$A1:$B101,2,1)*O279*$P279*$Q279,0)+IF(ISNUMBER(S279), VLOOKUP(S279/$AH279,F!$A1:$B101,2,1)*S279*$T279*$U279,0)+IF(ISNUMBER(W279), VLOOKUP(W279/$AH279,F!$A1:$B101,2,1)*W279*$X279*$Y279,0)+IF(ISNUMBER(AA279), VLOOKUP(AA279/$AH279,F!$A1:$B101,2,1)*AA279*$AB279*$AC279,0))*IF(ISNUMBER(F279),F279,1)*IF(ISNUMBER(E279),E279,1)</f>
        <v>0</v>
      </c>
      <c r="AJ279" s="178">
        <f t="shared" si="520"/>
        <v>0</v>
      </c>
      <c r="AK279" s="183">
        <f t="array" ref="AK279">IFERROR(I279*INDEX(F!$P$21:$AB$33, MATCH(G279/$AH279, F!$O$21:$O$33,1), MATCH(E279, F!$P$20:$AB$20,1)), 0 ) +IFERROR( M279*INDEX(F!$P$21:$AB$33, MATCH(K279/$AH279, F!$O$21:$O$33,1), MATCH(E279, F!$P$20:$AB$20,1)),0) +  IFERROR( Q279*INDEX(F!$P$21:$AB$33, MATCH(O279/$AH279, F!$O$21:$O$33,1), MATCH(E279, F!$P$20:$AB$20,1)), 0) + IFERROR( U279*INDEX(F!$P$21:$AB$33, MATCH(S279/$AH279, F!$O$21:$O$33,1), MATCH(E279, F!$P$20:$AB$20,1)),0)  + IFERROR(Y279*INDEX(F!$P$21:$AB$33, MATCH(W279/$AH279, F!$O$21:$O$33,1), MATCH(E279, F!$P$20:$AB$20,1)),0)  + IFERROR( AC279*INDEX(F!$P$21:$AB$33, MATCH(AA279/$AH279, F!$O$21:$O$33,1), MATCH(E279, F!$P$20:$AB$20,1)),)</f>
        <v>0</v>
      </c>
      <c r="AL279" s="59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ht="15.75" hidden="1" customHeight="1">
      <c r="A280" s="59"/>
      <c r="B280" s="135" t="str">
        <f t="shared" ref="B280:F280" si="526">IF(B224="","",B224)</f>
        <v/>
      </c>
      <c r="C280" s="136" t="str">
        <f t="shared" si="526"/>
        <v/>
      </c>
      <c r="D280" s="137" t="str">
        <f t="shared" si="526"/>
        <v/>
      </c>
      <c r="E280" s="48" t="str">
        <f t="shared" si="526"/>
        <v/>
      </c>
      <c r="F280" s="138" t="str">
        <f t="shared" si="526"/>
        <v/>
      </c>
      <c r="G280" s="139" t="str">
        <f t="shared" si="511"/>
        <v/>
      </c>
      <c r="H280" s="140"/>
      <c r="I280" s="140"/>
      <c r="J280" s="141"/>
      <c r="K280" s="139" t="str">
        <f t="shared" si="512"/>
        <v/>
      </c>
      <c r="L280" s="140"/>
      <c r="M280" s="140"/>
      <c r="N280" s="141"/>
      <c r="O280" s="139" t="str">
        <f t="shared" si="513"/>
        <v/>
      </c>
      <c r="P280" s="140"/>
      <c r="Q280" s="140"/>
      <c r="R280" s="141"/>
      <c r="S280" s="139" t="str">
        <f t="shared" si="514"/>
        <v/>
      </c>
      <c r="T280" s="140"/>
      <c r="U280" s="140"/>
      <c r="V280" s="141"/>
      <c r="W280" s="139" t="str">
        <f t="shared" si="515"/>
        <v/>
      </c>
      <c r="X280" s="140"/>
      <c r="Y280" s="140"/>
      <c r="Z280" s="141"/>
      <c r="AA280" s="139" t="str">
        <f t="shared" si="516"/>
        <v/>
      </c>
      <c r="AB280" s="140"/>
      <c r="AC280" s="140"/>
      <c r="AD280" s="141"/>
      <c r="AE280" s="142">
        <f t="shared" si="517"/>
        <v>0</v>
      </c>
      <c r="AF280" s="143">
        <f t="shared" si="422"/>
        <v>0</v>
      </c>
      <c r="AG280" s="144">
        <f t="shared" si="518"/>
        <v>0</v>
      </c>
      <c r="AH280" s="76" t="str">
        <f t="shared" si="519"/>
        <v/>
      </c>
      <c r="AI280" s="143">
        <f> ( IF(ISNUMBER(G280), VLOOKUP(G280/$AH280,F!$A1:$B101,2,1)*G280*$H280*$I280,0)+IF(ISNUMBER(K280), VLOOKUP(K280/$AH280,F!$A1:$B101,2,1)*K280*$L280*$M280,0)+IF(ISNUMBER(O280), VLOOKUP(O280/$AH280,F!$A1:$B101,2,1)*O280*$P280*$Q280,0)+IF(ISNUMBER(S280), VLOOKUP(S280/$AH280,F!$A1:$B101,2,1)*S280*$T280*$U280,0)+IF(ISNUMBER(W280), VLOOKUP(W280/$AH280,F!$A1:$B101,2,1)*W280*$X280*$Y280,0)+IF(ISNUMBER(AA280), VLOOKUP(AA280/$AH280,F!$A1:$B101,2,1)*AA280*$AB280*$AC280,0))*IF(ISNUMBER(F280),F280,1)*IF(ISNUMBER(E280),E280,1)</f>
        <v>0</v>
      </c>
      <c r="AJ280" s="140">
        <f t="shared" si="520"/>
        <v>0</v>
      </c>
      <c r="AK280" s="145">
        <f t="array" ref="AK280">IFERROR(I280*INDEX(F!$P$21:$AB$33, MATCH(G280/$AH280, F!$O$21:$O$33,1), MATCH(E280, F!$P$20:$AB$20,1)), 0 ) +IFERROR( M280*INDEX(F!$P$21:$AB$33, MATCH(K280/$AH280, F!$O$21:$O$33,1), MATCH(E280, F!$P$20:$AB$20,1)),0) +  IFERROR( Q280*INDEX(F!$P$21:$AB$33, MATCH(O280/$AH280, F!$O$21:$O$33,1), MATCH(E280, F!$P$20:$AB$20,1)), 0) + IFERROR( U280*INDEX(F!$P$21:$AB$33, MATCH(S280/$AH280, F!$O$21:$O$33,1), MATCH(E280, F!$P$20:$AB$20,1)),0)  + IFERROR(Y280*INDEX(F!$P$21:$AB$33, MATCH(W280/$AH280, F!$O$21:$O$33,1), MATCH(E280, F!$P$20:$AB$20,1)),0)  + IFERROR( AC280*INDEX(F!$P$21:$AB$33, MATCH(AA280/$AH280, F!$O$21:$O$33,1), MATCH(E280, F!$P$20:$AB$20,1)),)</f>
        <v>0</v>
      </c>
      <c r="AL280" s="59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ht="15.75" hidden="1" customHeight="1">
      <c r="A281" s="98"/>
      <c r="B281" s="188"/>
      <c r="C281" s="189"/>
      <c r="D281" s="190"/>
      <c r="E281" s="102">
        <f>ROUND(IFERROR(SUMPRODUCT(AJ273:AJ280,E273:E280)/AJ281,0),3)</f>
        <v>0</v>
      </c>
      <c r="F281" s="191"/>
      <c r="G281" s="201"/>
      <c r="H281" s="193"/>
      <c r="I281" s="193"/>
      <c r="J281" s="194"/>
      <c r="K281" s="201"/>
      <c r="L281" s="193"/>
      <c r="M281" s="193"/>
      <c r="N281" s="194"/>
      <c r="O281" s="201"/>
      <c r="P281" s="193"/>
      <c r="Q281" s="193"/>
      <c r="R281" s="194"/>
      <c r="S281" s="201"/>
      <c r="T281" s="193"/>
      <c r="U281" s="193"/>
      <c r="V281" s="194"/>
      <c r="W281" s="201"/>
      <c r="X281" s="193"/>
      <c r="Y281" s="193"/>
      <c r="Z281" s="194"/>
      <c r="AA281" s="201"/>
      <c r="AB281" s="193"/>
      <c r="AC281" s="193"/>
      <c r="AD281" s="194"/>
      <c r="AE281" s="107">
        <f>SUM(AE273:AE280)</f>
        <v>0</v>
      </c>
      <c r="AF281" s="108">
        <f t="shared" si="422"/>
        <v>0</v>
      </c>
      <c r="AG281" s="109">
        <f>IFERROR(  SUMPRODUCT(AG273:AG280,AJ273:AJ280)/AJ281,0)</f>
        <v>0</v>
      </c>
      <c r="AH281" s="157"/>
      <c r="AI281" s="111">
        <f t="shared" ref="AI281:AJ281" si="527">SUM(AI273:AI280)</f>
        <v>0</v>
      </c>
      <c r="AJ281" s="111">
        <f t="shared" si="527"/>
        <v>0</v>
      </c>
      <c r="AK281" s="112">
        <f>IF(SUM(AK273:AK280)=0,TIME(,0,),TIME(,SUM(AK273:AK280)+F!$V$37,))</f>
        <v>0</v>
      </c>
      <c r="AL281" s="98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ht="15.75" hidden="1" customHeight="1">
      <c r="A282" s="204">
        <f>A226</f>
        <v>7</v>
      </c>
      <c r="B282" s="205"/>
      <c r="C282" s="205"/>
      <c r="D282" s="205"/>
      <c r="E282" s="7">
        <f>IF(AJ282=0,0,(E292*AJ292 + E301*AJ301 + E310*AJ310 + E319*AJ319 + E328*AJ328 + E337*AJ337   ) /AJ282 )</f>
        <v>0</v>
      </c>
      <c r="F282" s="206" t="s">
        <v>0</v>
      </c>
      <c r="G282" s="9"/>
      <c r="H282" s="9"/>
      <c r="I282" s="9"/>
      <c r="J282" s="9"/>
      <c r="K282" s="9"/>
      <c r="L282" s="9"/>
      <c r="M282" s="10"/>
      <c r="N282" s="221">
        <f>N226+1</f>
        <v>6</v>
      </c>
      <c r="O282" s="222"/>
      <c r="P282" s="222"/>
      <c r="Q282" s="222"/>
      <c r="R282" s="222"/>
      <c r="S282" s="222"/>
      <c r="T282" s="222"/>
      <c r="U282" s="222"/>
      <c r="V282" s="222"/>
      <c r="W282" s="222"/>
      <c r="X282" s="222"/>
      <c r="Y282" s="222"/>
      <c r="Z282" s="222"/>
      <c r="AA282" s="222"/>
      <c r="AB282" s="222"/>
      <c r="AC282" s="222"/>
      <c r="AD282" s="223"/>
      <c r="AE282" s="224">
        <f>AE292+AE301+AE310+AE319+AE328+AE337</f>
        <v>0</v>
      </c>
      <c r="AF282" s="225">
        <f t="shared" si="422"/>
        <v>0</v>
      </c>
      <c r="AG282" s="226">
        <f>IF(AJ282=0,0,(AG292*AJ292 + AG301*AJ301 + AG310*AJ310 + AG319*AJ319 + AG328*AJ328 + AG337*AJ337   ) /AJ282 )</f>
        <v>0</v>
      </c>
      <c r="AH282" s="210">
        <f>AH226</f>
        <v>0.02</v>
      </c>
      <c r="AI282" s="224">
        <f t="shared" ref="AI282:AK282" si="528">AI292+AI301+AI310+AI319+AI328+AI337</f>
        <v>0</v>
      </c>
      <c r="AJ282" s="224">
        <f t="shared" si="528"/>
        <v>0</v>
      </c>
      <c r="AK282" s="227">
        <f t="shared" si="528"/>
        <v>0</v>
      </c>
      <c r="AL282" s="212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ht="15.0" hidden="1" customHeight="1">
      <c r="A283" s="19" t="s">
        <v>1</v>
      </c>
      <c r="B283" s="20" t="s">
        <v>2</v>
      </c>
      <c r="C283" s="20" t="s">
        <v>3</v>
      </c>
      <c r="D283" s="20" t="s">
        <v>4</v>
      </c>
      <c r="E283" s="20" t="s">
        <v>5</v>
      </c>
      <c r="F283" s="20" t="s">
        <v>6</v>
      </c>
      <c r="G283" s="20" t="s">
        <v>7</v>
      </c>
      <c r="H283" s="20" t="s">
        <v>8</v>
      </c>
      <c r="I283" s="20" t="s">
        <v>9</v>
      </c>
      <c r="J283" s="20" t="s">
        <v>10</v>
      </c>
      <c r="K283" s="20" t="s">
        <v>7</v>
      </c>
      <c r="L283" s="20" t="s">
        <v>8</v>
      </c>
      <c r="M283" s="20" t="s">
        <v>9</v>
      </c>
      <c r="N283" s="20" t="s">
        <v>10</v>
      </c>
      <c r="O283" s="20" t="s">
        <v>7</v>
      </c>
      <c r="P283" s="20" t="s">
        <v>8</v>
      </c>
      <c r="Q283" s="20" t="s">
        <v>9</v>
      </c>
      <c r="R283" s="20" t="s">
        <v>10</v>
      </c>
      <c r="S283" s="20" t="s">
        <v>7</v>
      </c>
      <c r="T283" s="20" t="s">
        <v>8</v>
      </c>
      <c r="U283" s="20" t="s">
        <v>9</v>
      </c>
      <c r="V283" s="20" t="s">
        <v>10</v>
      </c>
      <c r="W283" s="20" t="s">
        <v>7</v>
      </c>
      <c r="X283" s="20" t="s">
        <v>8</v>
      </c>
      <c r="Y283" s="20" t="s">
        <v>9</v>
      </c>
      <c r="Z283" s="20" t="s">
        <v>10</v>
      </c>
      <c r="AA283" s="20" t="s">
        <v>7</v>
      </c>
      <c r="AB283" s="20" t="s">
        <v>8</v>
      </c>
      <c r="AC283" s="20" t="s">
        <v>9</v>
      </c>
      <c r="AD283" s="21" t="s">
        <v>10</v>
      </c>
      <c r="AE283" s="20" t="s">
        <v>11</v>
      </c>
      <c r="AF283" s="20" t="s">
        <v>12</v>
      </c>
      <c r="AG283" s="20" t="s">
        <v>13</v>
      </c>
      <c r="AH283" s="213" t="s">
        <v>14</v>
      </c>
      <c r="AI283" s="23" t="s">
        <v>15</v>
      </c>
      <c r="AJ283" s="20" t="s">
        <v>16</v>
      </c>
      <c r="AK283" s="21" t="s">
        <v>17</v>
      </c>
      <c r="AL283" s="214" t="s">
        <v>18</v>
      </c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ht="15.75" hidden="1" customHeight="1">
      <c r="A284" s="25">
        <f>A285</f>
        <v>43815</v>
      </c>
      <c r="B284" s="26" t="str">
        <f t="shared" ref="B284:F284" si="529">IF(B228="","",B228)</f>
        <v>Средняя</v>
      </c>
      <c r="C284" s="27" t="str">
        <f t="shared" si="529"/>
        <v>ПР</v>
      </c>
      <c r="D284" s="28" t="str">
        <f t="shared" si="529"/>
        <v>Присед</v>
      </c>
      <c r="E284" s="29">
        <f t="shared" si="529"/>
        <v>1.2</v>
      </c>
      <c r="F284" s="30" t="str">
        <f t="shared" si="529"/>
        <v/>
      </c>
      <c r="G284" s="31" t="str">
        <f t="shared" ref="G284:G291" si="531">IF(J284&lt;&gt;0, IFERROR(IF( $F284=2,  MROUND($AH284*J284,1),    IF( OR($F284="",$F284=1),   MROUND($AH284*J284,2.5),  MROUND($AH284*J284, 0.1))), "" ), "")</f>
        <v/>
      </c>
      <c r="H284" s="232"/>
      <c r="I284" s="232"/>
      <c r="J284" s="233"/>
      <c r="K284" s="31" t="str">
        <f t="shared" ref="K284:K291" si="532">IF(N284&lt;&gt;0, IFERROR(IF( $F284=2,  MROUND($AH284*N284,1),    IF( OR($F284="",$F284=1),   MROUND($AH284*N284,2.5),  MROUND($AH284*N284, 0.1))), "" ), "")</f>
        <v/>
      </c>
      <c r="L284" s="234"/>
      <c r="M284" s="234"/>
      <c r="N284" s="235"/>
      <c r="O284" s="31" t="str">
        <f t="shared" ref="O284:O291" si="533">IF(R284&lt;&gt;0, IFERROR(IF( $F284=2,  MROUND($AH284*R284,1),    IF( OR($F284="",$F284=1),   MROUND($AH284*R284,2.5),  MROUND($AH284*R284, 0.1))), "" ), "")</f>
        <v/>
      </c>
      <c r="P284" s="234"/>
      <c r="Q284" s="234"/>
      <c r="R284" s="235"/>
      <c r="S284" s="31" t="str">
        <f t="shared" ref="S284:S291" si="534">IF(V284&lt;&gt;0, IFERROR(IF( $F284=2,  MROUND($AH284*V284,1),    IF( OR($F284="",$F284=1),   MROUND($AH284*V284,2.5),  MROUND($AH284*V284, 0.1))), "" ), "")</f>
        <v/>
      </c>
      <c r="T284" s="234"/>
      <c r="U284" s="234"/>
      <c r="V284" s="235"/>
      <c r="W284" s="31" t="str">
        <f t="shared" ref="W284:W291" si="535">IF(Z284&lt;&gt;0, IFERROR(IF( $F284=2,  MROUND($AH284*Z284,1),    IF( OR($F284="",$F284=1),   MROUND($AH284*Z284,2.5),  MROUND($AH284*Z284, 0.1))), "" ), "")</f>
        <v/>
      </c>
      <c r="X284" s="234"/>
      <c r="Y284" s="234"/>
      <c r="Z284" s="235"/>
      <c r="AA284" s="31" t="str">
        <f t="shared" ref="AA284:AA291" si="536">IF(AD284&lt;&gt;0, IFERROR(IF( $F284=2,  MROUND($AH284*AD284,1),    IF( OR($F284="",$F284=1),   MROUND($AH284*AD284,2.5),  MROUND($AH284*AD284, 0.1))), "" ), "")</f>
        <v/>
      </c>
      <c r="AB284" s="234"/>
      <c r="AC284" s="234"/>
      <c r="AD284" s="235"/>
      <c r="AE284" s="35">
        <f t="shared" ref="AE284:AE291" si="537">(IF(ISNUMBER(G284),G284,0)*H284*I284+IF(ISNUMBER(K284),K284,1)*L284*M284+IF(ISNUMBER(O284),O284,1)*P284*Q284+IF(ISNUMBER(S284),S284,1)*T284*U284+IF(ISNUMBER(W284),W284,1)*X284*Y284+IF(ISNUMBER(AA284),AA284,1)*AB284*AC284)*IF(ISNUMBER(F284),F284,1)</f>
        <v>0</v>
      </c>
      <c r="AF284" s="36">
        <f t="shared" ref="AF284:AF338" si="538">IFERROR(AE284/AJ284,0)</f>
        <v>0</v>
      </c>
      <c r="AG284" s="195">
        <f t="shared" ref="AG284:AG291" si="539">IFERROR((AF284/(AH284*IF(ISNUMBER(F284),F284,1))),0)</f>
        <v>0</v>
      </c>
      <c r="AH284" s="169">
        <f t="shared" ref="AH284:AH291" si="540">IF(ISNUMBER(AH228), AH228+(AH228*$AH$282),"")</f>
        <v>149.0509084</v>
      </c>
      <c r="AI284" s="70">
        <f> ( IF(ISNUMBER(G284), VLOOKUP(G284/$AH284,F!$A1:$B101,2,1)*G284*$H284*$I284,0)+IF(ISNUMBER(K284), VLOOKUP(K284/$AH284,F!$A1:$B101,2,1)*K284*$L284*$M284,0)+IF(ISNUMBER(O284), VLOOKUP(O284/$AH284,F!$A1:$B101,2,1)*O284*$P284*$Q284,0)+IF(ISNUMBER(S284), VLOOKUP(S284/$AH284,F!$A1:$B101,2,1)*S284*$T284*$U284,0)+IF(ISNUMBER(W284), VLOOKUP(W284/$AH284,F!$A1:$B101,2,1)*W284*$X284*$Y284,0)+IF(ISNUMBER(AA284), VLOOKUP(AA284/$AH284,F!$A1:$B101,2,1)*AA284*$AB284*$AC284,0))*IF(ISNUMBER(F284),F284,1)*IF(ISNUMBER(E284),E284,1)</f>
        <v>0</v>
      </c>
      <c r="AJ284" s="40">
        <f t="shared" ref="AJ284:AJ291" si="541">H284*I284+L284*M284+P284*Q284+T284*U284+X284*Y284+AB284*AC284</f>
        <v>0</v>
      </c>
      <c r="AK284" s="41">
        <f t="array" ref="AK284">IFERROR(I284*INDEX(F!$P$21:$AB$33, MATCH(G284/$AH284, F!$O$21:$O$33,1), MATCH(E284, F!$P$20:$AB$20,1)), 0 ) +IFERROR( M284*INDEX(F!$P$21:$AB$33, MATCH(K284/$AH284, F!$O$21:$O$33,1), MATCH(E284, F!$P$20:$AB$20,1)),0) +  IFERROR( Q284*INDEX(F!$P$21:$AB$33, MATCH(O284/$AH284, F!$O$21:$O$33,1), MATCH(E284, F!$P$20:$AB$20,1)), 0) + IFERROR( U284*INDEX(F!$P$21:$AB$33, MATCH(S284/$AH284, F!$O$21:$O$33,1), MATCH(E284, F!$P$20:$AB$20,1)),0)  + IFERROR(Y284*INDEX(F!$P$21:$AB$33, MATCH(W284/$AH284, F!$O$21:$O$33,1), MATCH(E284, F!$P$20:$AB$20,1)),0)  + IFERROR( AC284*INDEX(F!$P$21:$AB$33, MATCH(AA284/$AH284, F!$O$21:$O$33,1), MATCH(E284, F!$P$20:$AB$20,1)),)</f>
        <v>0</v>
      </c>
      <c r="AL284" s="42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ht="15.75" hidden="1" customHeight="1">
      <c r="A285" s="44">
        <f>A229+A226</f>
        <v>43815</v>
      </c>
      <c r="B285" s="45" t="str">
        <f t="shared" ref="B285:F285" si="530">IF(B229="","",B229)</f>
        <v>Средняя</v>
      </c>
      <c r="C285" s="46" t="str">
        <f t="shared" si="530"/>
        <v>ЖМ</v>
      </c>
      <c r="D285" s="47" t="str">
        <f t="shared" si="530"/>
        <v>Жим лежа</v>
      </c>
      <c r="E285" s="48">
        <f t="shared" si="530"/>
        <v>1</v>
      </c>
      <c r="F285" s="49" t="str">
        <f t="shared" si="530"/>
        <v/>
      </c>
      <c r="G285" s="50" t="str">
        <f t="shared" si="531"/>
        <v/>
      </c>
      <c r="H285" s="236"/>
      <c r="I285" s="236"/>
      <c r="J285" s="237"/>
      <c r="K285" s="50" t="str">
        <f t="shared" si="532"/>
        <v/>
      </c>
      <c r="L285" s="236"/>
      <c r="M285" s="236"/>
      <c r="N285" s="237"/>
      <c r="O285" s="50" t="str">
        <f t="shared" si="533"/>
        <v/>
      </c>
      <c r="P285" s="236"/>
      <c r="Q285" s="236"/>
      <c r="R285" s="237"/>
      <c r="S285" s="50" t="str">
        <f t="shared" si="534"/>
        <v/>
      </c>
      <c r="T285" s="236"/>
      <c r="U285" s="236"/>
      <c r="V285" s="237"/>
      <c r="W285" s="50" t="str">
        <f t="shared" si="535"/>
        <v/>
      </c>
      <c r="X285" s="236"/>
      <c r="Y285" s="236"/>
      <c r="Z285" s="237"/>
      <c r="AA285" s="50" t="str">
        <f t="shared" si="536"/>
        <v/>
      </c>
      <c r="AB285" s="236"/>
      <c r="AC285" s="236"/>
      <c r="AD285" s="237"/>
      <c r="AE285" s="53">
        <f t="shared" si="537"/>
        <v>0</v>
      </c>
      <c r="AF285" s="54">
        <f t="shared" si="538"/>
        <v>0</v>
      </c>
      <c r="AG285" s="75">
        <f t="shared" si="539"/>
        <v>0</v>
      </c>
      <c r="AH285" s="76">
        <f t="shared" si="540"/>
        <v>104.8876763</v>
      </c>
      <c r="AI285" s="77">
        <f> ( IF(ISNUMBER(G285), VLOOKUP(G285/$AH285,F!$A1:$B101,2,1)*G285*$H285*$I285,0)+IF(ISNUMBER(K285), VLOOKUP(K285/$AH285,F!$A1:$B101,2,1)*K285*$L285*$M285,0)+IF(ISNUMBER(O285), VLOOKUP(O285/$AH285,F!$A1:$B101,2,1)*O285*$P285*$Q285,0)+IF(ISNUMBER(S285), VLOOKUP(S285/$AH285,F!$A1:$B101,2,1)*S285*$T285*$U285,0)+IF(ISNUMBER(W285), VLOOKUP(W285/$AH285,F!$A1:$B101,2,1)*W285*$X285*$Y285,0)+IF(ISNUMBER(AA285), VLOOKUP(AA285/$AH285,F!$A1:$B101,2,1)*AA285*$AB285*$AC285,0))*IF(ISNUMBER(F285),F285,1)*IF(ISNUMBER(E285),E285,1)</f>
        <v>0</v>
      </c>
      <c r="AJ285" s="57">
        <f t="shared" si="541"/>
        <v>0</v>
      </c>
      <c r="AK285" s="58">
        <f t="array" ref="AK285">IFERROR(I285*INDEX(F!$P$21:$AB$33, MATCH(G285/$AH285, F!$O$21:$O$33,1), MATCH(E285, F!$P$20:$AB$20,1)), 0 ) +IFERROR( M285*INDEX(F!$P$21:$AB$33, MATCH(K285/$AH285, F!$O$21:$O$33,1), MATCH(E285, F!$P$20:$AB$20,1)),0) +  IFERROR( Q285*INDEX(F!$P$21:$AB$33, MATCH(O285/$AH285, F!$O$21:$O$33,1), MATCH(E285, F!$P$20:$AB$20,1)), 0) + IFERROR( U285*INDEX(F!$P$21:$AB$33, MATCH(S285/$AH285, F!$O$21:$O$33,1), MATCH(E285, F!$P$20:$AB$20,1)),0)  + IFERROR(Y285*INDEX(F!$P$21:$AB$33, MATCH(W285/$AH285, F!$O$21:$O$33,1), MATCH(E285, F!$P$20:$AB$20,1)),0)  + IFERROR( AC285*INDEX(F!$P$21:$AB$33, MATCH(AA285/$AH285, F!$O$21:$O$33,1), MATCH(E285, F!$P$20:$AB$20,1)),)</f>
        <v>0</v>
      </c>
      <c r="AL285" s="59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ht="15.75" hidden="1" customHeight="1">
      <c r="A286" s="59"/>
      <c r="B286" s="60" t="str">
        <f t="shared" ref="B286:F286" si="542">IF(B230="","",B230)</f>
        <v>Тяжелая</v>
      </c>
      <c r="C286" s="61" t="str">
        <f t="shared" si="542"/>
        <v>ПР</v>
      </c>
      <c r="D286" s="62" t="str">
        <f t="shared" si="542"/>
        <v>Присед</v>
      </c>
      <c r="E286" s="48">
        <f t="shared" si="542"/>
        <v>1.2</v>
      </c>
      <c r="F286" s="63" t="str">
        <f t="shared" si="542"/>
        <v/>
      </c>
      <c r="G286" s="64" t="str">
        <f t="shared" si="531"/>
        <v/>
      </c>
      <c r="H286" s="234"/>
      <c r="I286" s="234"/>
      <c r="J286" s="235"/>
      <c r="K286" s="64" t="str">
        <f t="shared" si="532"/>
        <v/>
      </c>
      <c r="L286" s="234"/>
      <c r="M286" s="234"/>
      <c r="N286" s="235"/>
      <c r="O286" s="64" t="str">
        <f t="shared" si="533"/>
        <v/>
      </c>
      <c r="P286" s="234"/>
      <c r="Q286" s="234"/>
      <c r="R286" s="235"/>
      <c r="S286" s="64" t="str">
        <f t="shared" si="534"/>
        <v/>
      </c>
      <c r="T286" s="234"/>
      <c r="U286" s="234"/>
      <c r="V286" s="235"/>
      <c r="W286" s="64" t="str">
        <f t="shared" si="535"/>
        <v/>
      </c>
      <c r="X286" s="234"/>
      <c r="Y286" s="234"/>
      <c r="Z286" s="235"/>
      <c r="AA286" s="64" t="str">
        <f t="shared" si="536"/>
        <v/>
      </c>
      <c r="AB286" s="234"/>
      <c r="AC286" s="234"/>
      <c r="AD286" s="235"/>
      <c r="AE286" s="66">
        <f t="shared" si="537"/>
        <v>0</v>
      </c>
      <c r="AF286" s="67">
        <f t="shared" si="538"/>
        <v>0</v>
      </c>
      <c r="AG286" s="68">
        <f t="shared" si="539"/>
        <v>0</v>
      </c>
      <c r="AH286" s="76">
        <f t="shared" si="540"/>
        <v>149.0509084</v>
      </c>
      <c r="AI286" s="70">
        <f> ( IF(ISNUMBER(G286), VLOOKUP(G286/$AH286,F!$A1:$B101,2,1)*G286*$H286*$I286,0)+IF(ISNUMBER(K286), VLOOKUP(K286/$AH286,F!$A1:$B101,2,1)*K286*$L286*$M286,0)+IF(ISNUMBER(O286), VLOOKUP(O286/$AH286,F!$A1:$B101,2,1)*O286*$P286*$Q286,0)+IF(ISNUMBER(S286), VLOOKUP(S286/$AH286,F!$A1:$B101,2,1)*S286*$T286*$U286,0)+IF(ISNUMBER(W286), VLOOKUP(W286/$AH286,F!$A1:$B101,2,1)*W286*$X286*$Y286,0)+IF(ISNUMBER(AA286), VLOOKUP(AA286/$AH286,F!$A1:$B101,2,1)*AA286*$AB286*$AC286,0))*IF(ISNUMBER(F286),F286,1)*IF(ISNUMBER(E286),E286,1)</f>
        <v>0</v>
      </c>
      <c r="AJ286" s="71">
        <f t="shared" si="541"/>
        <v>0</v>
      </c>
      <c r="AK286" s="72">
        <f t="array" ref="AK286">IFERROR(I286*INDEX(F!$P$21:$AB$33, MATCH(G286/$AH286, F!$O$21:$O$33,1), MATCH(E286, F!$P$20:$AB$20,1)), 0 ) +IFERROR( M286*INDEX(F!$P$21:$AB$33, MATCH(K286/$AH286, F!$O$21:$O$33,1), MATCH(E286, F!$P$20:$AB$20,1)),0) +  IFERROR( Q286*INDEX(F!$P$21:$AB$33, MATCH(O286/$AH286, F!$O$21:$O$33,1), MATCH(E286, F!$P$20:$AB$20,1)), 0) + IFERROR( U286*INDEX(F!$P$21:$AB$33, MATCH(S286/$AH286, F!$O$21:$O$33,1), MATCH(E286, F!$P$20:$AB$20,1)),0)  + IFERROR(Y286*INDEX(F!$P$21:$AB$33, MATCH(W286/$AH286, F!$O$21:$O$33,1), MATCH(E286, F!$P$20:$AB$20,1)),0)  + IFERROR( AC286*INDEX(F!$P$21:$AB$33, MATCH(AA286/$AH286, F!$O$21:$O$33,1), MATCH(E286, F!$P$20:$AB$20,1)),)</f>
        <v>0</v>
      </c>
      <c r="AL286" s="59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ht="15.75" hidden="1" customHeight="1">
      <c r="A287" s="59"/>
      <c r="B287" s="215" t="str">
        <f t="shared" ref="B287:F287" si="543">IF(B231="","",B231)</f>
        <v>Средняя</v>
      </c>
      <c r="C287" s="73" t="str">
        <f t="shared" si="543"/>
        <v>ЖМ</v>
      </c>
      <c r="D287" s="47" t="str">
        <f t="shared" si="543"/>
        <v>Жим гантелей</v>
      </c>
      <c r="E287" s="48">
        <f t="shared" si="543"/>
        <v>1</v>
      </c>
      <c r="F287" s="74">
        <f t="shared" si="543"/>
        <v>2</v>
      </c>
      <c r="G287" s="50" t="str">
        <f t="shared" si="531"/>
        <v/>
      </c>
      <c r="H287" s="236"/>
      <c r="I287" s="236"/>
      <c r="J287" s="237"/>
      <c r="K287" s="50" t="str">
        <f t="shared" si="532"/>
        <v/>
      </c>
      <c r="L287" s="236"/>
      <c r="M287" s="236"/>
      <c r="N287" s="237"/>
      <c r="O287" s="50" t="str">
        <f t="shared" si="533"/>
        <v/>
      </c>
      <c r="P287" s="236"/>
      <c r="Q287" s="236"/>
      <c r="R287" s="237"/>
      <c r="S287" s="50" t="str">
        <f t="shared" si="534"/>
        <v/>
      </c>
      <c r="T287" s="236"/>
      <c r="U287" s="236"/>
      <c r="V287" s="237"/>
      <c r="W287" s="50" t="str">
        <f t="shared" si="535"/>
        <v/>
      </c>
      <c r="X287" s="236"/>
      <c r="Y287" s="236"/>
      <c r="Z287" s="237"/>
      <c r="AA287" s="50" t="str">
        <f t="shared" si="536"/>
        <v/>
      </c>
      <c r="AB287" s="236"/>
      <c r="AC287" s="236"/>
      <c r="AD287" s="237"/>
      <c r="AE287" s="53">
        <f t="shared" si="537"/>
        <v>0</v>
      </c>
      <c r="AF287" s="54">
        <f t="shared" si="538"/>
        <v>0</v>
      </c>
      <c r="AG287" s="75">
        <f t="shared" si="539"/>
        <v>0</v>
      </c>
      <c r="AH287" s="76">
        <f t="shared" si="540"/>
        <v>33.56405642</v>
      </c>
      <c r="AI287" s="77">
        <f> ( IF(ISNUMBER(G287), VLOOKUP(G287/$AH287,F!$A1:$B101,2,1)*G287*$H287*$I287,0)+IF(ISNUMBER(K287), VLOOKUP(K287/$AH287,F!$A1:$B101,2,1)*K287*$L287*$M287,0)+IF(ISNUMBER(O287), VLOOKUP(O287/$AH287,F!$A1:$B101,2,1)*O287*$P287*$Q287,0)+IF(ISNUMBER(S287), VLOOKUP(S287/$AH287,F!$A1:$B101,2,1)*S287*$T287*$U287,0)+IF(ISNUMBER(W287), VLOOKUP(W287/$AH287,F!$A1:$B101,2,1)*W287*$X287*$Y287,0)+IF(ISNUMBER(AA287), VLOOKUP(AA287/$AH287,F!$A1:$B101,2,1)*AA287*$AB287*$AC287,0))*IF(ISNUMBER(F287),F287,1)*IF(ISNUMBER(E287),E287,1)</f>
        <v>0</v>
      </c>
      <c r="AJ287" s="57">
        <f t="shared" si="541"/>
        <v>0</v>
      </c>
      <c r="AK287" s="58">
        <f t="array" ref="AK287">IFERROR(I287*INDEX(F!$P$21:$AB$33, MATCH(G287/$AH287, F!$O$21:$O$33,1), MATCH(E287, F!$P$20:$AB$20,1)), 0 ) +IFERROR( M287*INDEX(F!$P$21:$AB$33, MATCH(K287/$AH287, F!$O$21:$O$33,1), MATCH(E287, F!$P$20:$AB$20,1)),0) +  IFERROR( Q287*INDEX(F!$P$21:$AB$33, MATCH(O287/$AH287, F!$O$21:$O$33,1), MATCH(E287, F!$P$20:$AB$20,1)), 0) + IFERROR( U287*INDEX(F!$P$21:$AB$33, MATCH(S287/$AH287, F!$O$21:$O$33,1), MATCH(E287, F!$P$20:$AB$20,1)),0)  + IFERROR(Y287*INDEX(F!$P$21:$AB$33, MATCH(W287/$AH287, F!$O$21:$O$33,1), MATCH(E287, F!$P$20:$AB$20,1)),0)  + IFERROR( AC287*INDEX(F!$P$21:$AB$33, MATCH(AA287/$AH287, F!$O$21:$O$33,1), MATCH(E287, F!$P$20:$AB$20,1)),)</f>
        <v>0</v>
      </c>
      <c r="AL287" s="59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ht="15.75" hidden="1" customHeight="1">
      <c r="A288" s="59"/>
      <c r="B288" s="216" t="str">
        <f t="shared" ref="B288:F288" si="544">IF(B232="","",B232)</f>
        <v>Средняя</v>
      </c>
      <c r="C288" s="78" t="str">
        <f t="shared" si="544"/>
        <v>ОФП</v>
      </c>
      <c r="D288" s="62" t="str">
        <f t="shared" si="544"/>
        <v>Французский жим</v>
      </c>
      <c r="E288" s="48">
        <f t="shared" si="544"/>
        <v>0.4</v>
      </c>
      <c r="F288" s="79" t="str">
        <f t="shared" si="544"/>
        <v/>
      </c>
      <c r="G288" s="64" t="str">
        <f t="shared" si="531"/>
        <v/>
      </c>
      <c r="H288" s="234"/>
      <c r="I288" s="234"/>
      <c r="J288" s="235"/>
      <c r="K288" s="64" t="str">
        <f t="shared" si="532"/>
        <v/>
      </c>
      <c r="L288" s="234"/>
      <c r="M288" s="234"/>
      <c r="N288" s="235"/>
      <c r="O288" s="64" t="str">
        <f t="shared" si="533"/>
        <v/>
      </c>
      <c r="P288" s="234"/>
      <c r="Q288" s="234"/>
      <c r="R288" s="235"/>
      <c r="S288" s="64" t="str">
        <f t="shared" si="534"/>
        <v/>
      </c>
      <c r="T288" s="234"/>
      <c r="U288" s="234"/>
      <c r="V288" s="235"/>
      <c r="W288" s="64" t="str">
        <f t="shared" si="535"/>
        <v/>
      </c>
      <c r="X288" s="234"/>
      <c r="Y288" s="234"/>
      <c r="Z288" s="235"/>
      <c r="AA288" s="64" t="str">
        <f t="shared" si="536"/>
        <v/>
      </c>
      <c r="AB288" s="234"/>
      <c r="AC288" s="234"/>
      <c r="AD288" s="235"/>
      <c r="AE288" s="66">
        <f t="shared" si="537"/>
        <v>0</v>
      </c>
      <c r="AF288" s="67">
        <f t="shared" si="538"/>
        <v>0</v>
      </c>
      <c r="AG288" s="68">
        <f t="shared" si="539"/>
        <v>0</v>
      </c>
      <c r="AH288" s="76">
        <f t="shared" si="540"/>
        <v>48.2483311</v>
      </c>
      <c r="AI288" s="70">
        <f> ( IF(ISNUMBER(G288), VLOOKUP(G288/$AH288,F!$A1:$B101,2,1)*G288*$H288*$I288,0)+IF(ISNUMBER(K288), VLOOKUP(K288/$AH288,F!$A1:$B101,2,1)*K288*$L288*$M288,0)+IF(ISNUMBER(O288), VLOOKUP(O288/$AH288,F!$A1:$B101,2,1)*O288*$P288*$Q288,0)+IF(ISNUMBER(S288), VLOOKUP(S288/$AH288,F!$A1:$B101,2,1)*S288*$T288*$U288,0)+IF(ISNUMBER(W288), VLOOKUP(W288/$AH288,F!$A1:$B101,2,1)*W288*$X288*$Y288,0)+IF(ISNUMBER(AA288), VLOOKUP(AA288/$AH288,F!$A1:$B101,2,1)*AA288*$AB288*$AC288,0))*IF(ISNUMBER(F288),F288,1)*IF(ISNUMBER(E288),E288,1)</f>
        <v>0</v>
      </c>
      <c r="AJ288" s="71">
        <f t="shared" si="541"/>
        <v>0</v>
      </c>
      <c r="AK288" s="72">
        <f t="array" ref="AK288">IFERROR(I288*INDEX(F!$P$21:$AB$33, MATCH(G288/$AH288, F!$O$21:$O$33,1), MATCH(E288, F!$P$20:$AB$20,1)), 0 ) +IFERROR( M288*INDEX(F!$P$21:$AB$33, MATCH(K288/$AH288, F!$O$21:$O$33,1), MATCH(E288, F!$P$20:$AB$20,1)),0) +  IFERROR( Q288*INDEX(F!$P$21:$AB$33, MATCH(O288/$AH288, F!$O$21:$O$33,1), MATCH(E288, F!$P$20:$AB$20,1)), 0) + IFERROR( U288*INDEX(F!$P$21:$AB$33, MATCH(S288/$AH288, F!$O$21:$O$33,1), MATCH(E288, F!$P$20:$AB$20,1)),0)  + IFERROR(Y288*INDEX(F!$P$21:$AB$33, MATCH(W288/$AH288, F!$O$21:$O$33,1), MATCH(E288, F!$P$20:$AB$20,1)),0)  + IFERROR( AC288*INDEX(F!$P$21:$AB$33, MATCH(AA288/$AH288, F!$O$21:$O$33,1), MATCH(E288, F!$P$20:$AB$20,1)),)</f>
        <v>0</v>
      </c>
      <c r="AL288" s="59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ht="15.75" hidden="1" customHeight="1">
      <c r="A289" s="59"/>
      <c r="B289" s="45" t="str">
        <f t="shared" ref="B289:F289" si="545">IF(B233="","",B233)</f>
        <v/>
      </c>
      <c r="C289" s="46" t="str">
        <f t="shared" si="545"/>
        <v/>
      </c>
      <c r="D289" s="197" t="str">
        <f t="shared" si="545"/>
        <v/>
      </c>
      <c r="E289" s="48" t="str">
        <f t="shared" si="545"/>
        <v/>
      </c>
      <c r="F289" s="83" t="str">
        <f t="shared" si="545"/>
        <v/>
      </c>
      <c r="G289" s="50" t="str">
        <f t="shared" si="531"/>
        <v/>
      </c>
      <c r="H289" s="236"/>
      <c r="I289" s="236"/>
      <c r="J289" s="237"/>
      <c r="K289" s="50" t="str">
        <f t="shared" si="532"/>
        <v/>
      </c>
      <c r="L289" s="236"/>
      <c r="M289" s="236"/>
      <c r="N289" s="237"/>
      <c r="O289" s="50" t="str">
        <f t="shared" si="533"/>
        <v/>
      </c>
      <c r="P289" s="236"/>
      <c r="Q289" s="236"/>
      <c r="R289" s="237"/>
      <c r="S289" s="50" t="str">
        <f t="shared" si="534"/>
        <v/>
      </c>
      <c r="T289" s="236"/>
      <c r="U289" s="236"/>
      <c r="V289" s="237"/>
      <c r="W289" s="50" t="str">
        <f t="shared" si="535"/>
        <v/>
      </c>
      <c r="X289" s="236"/>
      <c r="Y289" s="236"/>
      <c r="Z289" s="237"/>
      <c r="AA289" s="50" t="str">
        <f t="shared" si="536"/>
        <v/>
      </c>
      <c r="AB289" s="236"/>
      <c r="AC289" s="236"/>
      <c r="AD289" s="237"/>
      <c r="AE289" s="53">
        <f t="shared" si="537"/>
        <v>0</v>
      </c>
      <c r="AF289" s="54">
        <f t="shared" si="538"/>
        <v>0</v>
      </c>
      <c r="AG289" s="75">
        <f t="shared" si="539"/>
        <v>0</v>
      </c>
      <c r="AH289" s="76" t="str">
        <f t="shared" si="540"/>
        <v/>
      </c>
      <c r="AI289" s="77">
        <f> ( IF(ISNUMBER(G289), VLOOKUP(G289/$AH289,F!$A1:$B101,2,1)*G289*$H289*$I289,0)+IF(ISNUMBER(K289), VLOOKUP(K289/$AH289,F!$A1:$B101,2,1)*K289*$L289*$M289,0)+IF(ISNUMBER(O289), VLOOKUP(O289/$AH289,F!$A1:$B101,2,1)*O289*$P289*$Q289,0)+IF(ISNUMBER(S289), VLOOKUP(S289/$AH289,F!$A1:$B101,2,1)*S289*$T289*$U289,0)+IF(ISNUMBER(W289), VLOOKUP(W289/$AH289,F!$A1:$B101,2,1)*W289*$X289*$Y289,0)+IF(ISNUMBER(AA289), VLOOKUP(AA289/$AH289,F!$A1:$B101,2,1)*AA289*$AB289*$AC289,0))*IF(ISNUMBER(F289),F289,1)*IF(ISNUMBER(E289),E289,1)</f>
        <v>0</v>
      </c>
      <c r="AJ289" s="86">
        <f t="shared" si="541"/>
        <v>0</v>
      </c>
      <c r="AK289" s="58">
        <f t="array" ref="AK289">IFERROR(I289*INDEX(F!$P$21:$AB$33, MATCH(G289/$AH289, F!$O$21:$O$33,1), MATCH(E289, F!$P$20:$AB$20,1)), 0 ) +IFERROR( M289*INDEX(F!$P$21:$AB$33, MATCH(K289/$AH289, F!$O$21:$O$33,1), MATCH(E289, F!$P$20:$AB$20,1)),0) +  IFERROR( Q289*INDEX(F!$P$21:$AB$33, MATCH(O289/$AH289, F!$O$21:$O$33,1), MATCH(E289, F!$P$20:$AB$20,1)), 0) + IFERROR( U289*INDEX(F!$P$21:$AB$33, MATCH(S289/$AH289, F!$O$21:$O$33,1), MATCH(E289, F!$P$20:$AB$20,1)),0)  + IFERROR(Y289*INDEX(F!$P$21:$AB$33, MATCH(W289/$AH289, F!$O$21:$O$33,1), MATCH(E289, F!$P$20:$AB$20,1)),0)  + IFERROR( AC289*INDEX(F!$P$21:$AB$33, MATCH(AA289/$AH289, F!$O$21:$O$33,1), MATCH(E289, F!$P$20:$AB$20,1)),)</f>
        <v>0</v>
      </c>
      <c r="AL289" s="59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ht="15.0" hidden="1" customHeight="1">
      <c r="A290" s="59"/>
      <c r="B290" s="60" t="str">
        <f t="shared" ref="B290:F290" si="546">IF(B234="","",B234)</f>
        <v/>
      </c>
      <c r="C290" s="61" t="str">
        <f t="shared" si="546"/>
        <v/>
      </c>
      <c r="D290" s="198" t="str">
        <f t="shared" si="546"/>
        <v/>
      </c>
      <c r="E290" s="48" t="str">
        <f t="shared" si="546"/>
        <v/>
      </c>
      <c r="F290" s="79" t="str">
        <f t="shared" si="546"/>
        <v/>
      </c>
      <c r="G290" s="64" t="str">
        <f t="shared" si="531"/>
        <v/>
      </c>
      <c r="H290" s="234"/>
      <c r="I290" s="234"/>
      <c r="J290" s="235"/>
      <c r="K290" s="64" t="str">
        <f t="shared" si="532"/>
        <v/>
      </c>
      <c r="L290" s="234"/>
      <c r="M290" s="234"/>
      <c r="N290" s="235"/>
      <c r="O290" s="64" t="str">
        <f t="shared" si="533"/>
        <v/>
      </c>
      <c r="P290" s="234"/>
      <c r="Q290" s="234"/>
      <c r="R290" s="235"/>
      <c r="S290" s="64" t="str">
        <f t="shared" si="534"/>
        <v/>
      </c>
      <c r="T290" s="234"/>
      <c r="U290" s="234"/>
      <c r="V290" s="235"/>
      <c r="W290" s="64" t="str">
        <f t="shared" si="535"/>
        <v/>
      </c>
      <c r="X290" s="234"/>
      <c r="Y290" s="234"/>
      <c r="Z290" s="235"/>
      <c r="AA290" s="64" t="str">
        <f t="shared" si="536"/>
        <v/>
      </c>
      <c r="AB290" s="234"/>
      <c r="AC290" s="234"/>
      <c r="AD290" s="235"/>
      <c r="AE290" s="66">
        <f t="shared" si="537"/>
        <v>0</v>
      </c>
      <c r="AF290" s="67">
        <f t="shared" si="538"/>
        <v>0</v>
      </c>
      <c r="AG290" s="68">
        <f t="shared" si="539"/>
        <v>0</v>
      </c>
      <c r="AH290" s="76" t="str">
        <f t="shared" si="540"/>
        <v/>
      </c>
      <c r="AI290" s="90">
        <f> ( IF(ISNUMBER(G290), VLOOKUP(G290/$AH290,F!$A1:$B101,2,1)*G290*$H290*$I290,0)+IF(ISNUMBER(K290), VLOOKUP(K290/$AH290,F!$A1:$B101,2,1)*K290*$L290*$M290,0)+IF(ISNUMBER(O290), VLOOKUP(O290/$AH290,F!$A1:$B101,2,1)*O290*$P290*$Q290,0)+IF(ISNUMBER(S290), VLOOKUP(S290/$AH290,F!$A1:$B101,2,1)*S290*$T290*$U290,0)+IF(ISNUMBER(W290), VLOOKUP(W290/$AH290,F!$A1:$B101,2,1)*W290*$X290*$Y290,0)+IF(ISNUMBER(AA290), VLOOKUP(AA290/$AH290,F!$A1:$B101,2,1)*AA290*$AB290*$AC290,0))*IF(ISNUMBER(F290),F290,1)*IF(ISNUMBER(E290),E290,1)</f>
        <v>0</v>
      </c>
      <c r="AJ290" s="34">
        <f t="shared" si="541"/>
        <v>0</v>
      </c>
      <c r="AK290" s="91">
        <f t="array" ref="AK290">IFERROR(I290*INDEX(F!$P$21:$AB$33, MATCH(G290/$AH290, F!$O$21:$O$33,1), MATCH(E290, F!$P$20:$AB$20,1)), 0 ) +IFERROR( M290*INDEX(F!$P$21:$AB$33, MATCH(K290/$AH290, F!$O$21:$O$33,1), MATCH(E290, F!$P$20:$AB$20,1)),0) +  IFERROR( Q290*INDEX(F!$P$21:$AB$33, MATCH(O290/$AH290, F!$O$21:$O$33,1), MATCH(E290, F!$P$20:$AB$20,1)), 0) + IFERROR( U290*INDEX(F!$P$21:$AB$33, MATCH(S290/$AH290, F!$O$21:$O$33,1), MATCH(E290, F!$P$20:$AB$20,1)),0)  + IFERROR(Y290*INDEX(F!$P$21:$AB$33, MATCH(W290/$AH290, F!$O$21:$O$33,1), MATCH(E290, F!$P$20:$AB$20,1)),0)  + IFERROR( AC290*INDEX(F!$P$21:$AB$33, MATCH(AA290/$AH290, F!$O$21:$O$33,1), MATCH(E290, F!$P$20:$AB$20,1)),)</f>
        <v>0</v>
      </c>
      <c r="AL290" s="59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ht="15.0" hidden="1" customHeight="1">
      <c r="A291" s="59"/>
      <c r="B291" s="45" t="str">
        <f t="shared" ref="B291:F291" si="547">IF(B235="","",B235)</f>
        <v/>
      </c>
      <c r="C291" s="46" t="str">
        <f t="shared" si="547"/>
        <v/>
      </c>
      <c r="D291" s="92" t="str">
        <f t="shared" si="547"/>
        <v/>
      </c>
      <c r="E291" s="48" t="str">
        <f t="shared" si="547"/>
        <v/>
      </c>
      <c r="F291" s="74" t="str">
        <f t="shared" si="547"/>
        <v/>
      </c>
      <c r="G291" s="50" t="str">
        <f t="shared" si="531"/>
        <v/>
      </c>
      <c r="H291" s="236"/>
      <c r="I291" s="236"/>
      <c r="J291" s="237"/>
      <c r="K291" s="50" t="str">
        <f t="shared" si="532"/>
        <v/>
      </c>
      <c r="L291" s="236"/>
      <c r="M291" s="236"/>
      <c r="N291" s="237"/>
      <c r="O291" s="50" t="str">
        <f t="shared" si="533"/>
        <v/>
      </c>
      <c r="P291" s="236"/>
      <c r="Q291" s="236"/>
      <c r="R291" s="237"/>
      <c r="S291" s="50" t="str">
        <f t="shared" si="534"/>
        <v/>
      </c>
      <c r="T291" s="236"/>
      <c r="U291" s="236"/>
      <c r="V291" s="237"/>
      <c r="W291" s="50" t="str">
        <f t="shared" si="535"/>
        <v/>
      </c>
      <c r="X291" s="236"/>
      <c r="Y291" s="236"/>
      <c r="Z291" s="237"/>
      <c r="AA291" s="50" t="str">
        <f t="shared" si="536"/>
        <v/>
      </c>
      <c r="AB291" s="236"/>
      <c r="AC291" s="236"/>
      <c r="AD291" s="237"/>
      <c r="AE291" s="53">
        <f t="shared" si="537"/>
        <v>0</v>
      </c>
      <c r="AF291" s="93">
        <f t="shared" si="538"/>
        <v>0</v>
      </c>
      <c r="AG291" s="94">
        <f t="shared" si="539"/>
        <v>0</v>
      </c>
      <c r="AH291" s="76" t="str">
        <f t="shared" si="540"/>
        <v/>
      </c>
      <c r="AI291" s="95">
        <f> ( IF(ISNUMBER(G291), VLOOKUP(G291/$AH291,F!$A1:$B101,2,1)*G291*$H291*$I291,0)+IF(ISNUMBER(K291), VLOOKUP(K291/$AH291,F!$A1:$B101,2,1)*K291*$L291*$M291,0)+IF(ISNUMBER(O291), VLOOKUP(O291/$AH291,F!$A1:$B101,2,1)*O291*$P291*$Q291,0)+IF(ISNUMBER(S291), VLOOKUP(S291/$AH291,F!$A1:$B101,2,1)*S291*$T291*$U291,0)+IF(ISNUMBER(W291), VLOOKUP(W291/$AH291,F!$A1:$B101,2,1)*W291*$X291*$Y291,0)+IF(ISNUMBER(AA291), VLOOKUP(AA291/$AH291,F!$A1:$B101,2,1)*AA291*$AB291*$AC291,0))*IF(ISNUMBER(F291),F291,1)*IF(ISNUMBER(E291),E291,1)</f>
        <v>0</v>
      </c>
      <c r="AJ291" s="96">
        <f t="shared" si="541"/>
        <v>0</v>
      </c>
      <c r="AK291" s="97">
        <f t="array" ref="AK291">IFERROR(I291*INDEX(F!$P$21:$AB$33, MATCH(G291/$AH291, F!$O$21:$O$33,1), MATCH(E291, F!$P$20:$AB$20,1)), 0 ) +IFERROR( M291*INDEX(F!$P$21:$AB$33, MATCH(K291/$AH291, F!$O$21:$O$33,1), MATCH(E291, F!$P$20:$AB$20,1)),0) +  IFERROR( Q291*INDEX(F!$P$21:$AB$33, MATCH(O291/$AH291, F!$O$21:$O$33,1), MATCH(E291, F!$P$20:$AB$20,1)), 0) + IFERROR( U291*INDEX(F!$P$21:$AB$33, MATCH(S291/$AH291, F!$O$21:$O$33,1), MATCH(E291, F!$P$20:$AB$20,1)),0)  + IFERROR(Y291*INDEX(F!$P$21:$AB$33, MATCH(W291/$AH291, F!$O$21:$O$33,1), MATCH(E291, F!$P$20:$AB$20,1)),0)  + IFERROR( AC291*INDEX(F!$P$21:$AB$33, MATCH(AA291/$AH291, F!$O$21:$O$33,1), MATCH(E291, F!$P$20:$AB$20,1)),)</f>
        <v>0</v>
      </c>
      <c r="AL291" s="59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ht="15.75" hidden="1" customHeight="1">
      <c r="A292" s="98"/>
      <c r="B292" s="99"/>
      <c r="C292" s="100"/>
      <c r="D292" s="101"/>
      <c r="E292" s="102">
        <f>ROUND(IFERROR(SUMPRODUCT(AJ284:AJ291,E284:E291)/AJ292,0),3)</f>
        <v>0</v>
      </c>
      <c r="F292" s="199"/>
      <c r="G292" s="104"/>
      <c r="H292" s="238"/>
      <c r="I292" s="238"/>
      <c r="J292" s="239"/>
      <c r="K292" s="104"/>
      <c r="L292" s="238"/>
      <c r="M292" s="238"/>
      <c r="N292" s="239"/>
      <c r="O292" s="104"/>
      <c r="P292" s="238"/>
      <c r="Q292" s="238"/>
      <c r="R292" s="239"/>
      <c r="S292" s="104"/>
      <c r="T292" s="238"/>
      <c r="U292" s="238"/>
      <c r="V292" s="239"/>
      <c r="W292" s="104"/>
      <c r="X292" s="238"/>
      <c r="Y292" s="238"/>
      <c r="Z292" s="239"/>
      <c r="AA292" s="104"/>
      <c r="AB292" s="238"/>
      <c r="AC292" s="238"/>
      <c r="AD292" s="239"/>
      <c r="AE292" s="107">
        <f>SUM(AE284:AE291)</f>
        <v>0</v>
      </c>
      <c r="AF292" s="108">
        <f t="shared" si="538"/>
        <v>0</v>
      </c>
      <c r="AG292" s="109">
        <f>IFERROR(  SUMPRODUCT(AG284:AG291,AJ284:AJ291)/AJ292,0)</f>
        <v>0</v>
      </c>
      <c r="AH292" s="157"/>
      <c r="AI292" s="111">
        <f t="shared" ref="AI292:AJ292" si="548">SUM(AI284:AI291)</f>
        <v>0</v>
      </c>
      <c r="AJ292" s="111">
        <f t="shared" si="548"/>
        <v>0</v>
      </c>
      <c r="AK292" s="112">
        <f>IF(SUM(AK284:AK291)=0,TIME(,0,),TIME(,SUM(AK284:AK291)+F!$V$37,))</f>
        <v>0</v>
      </c>
      <c r="AL292" s="98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ht="15.75" hidden="1" customHeight="1">
      <c r="A293" s="113">
        <f>A294</f>
        <v>43817</v>
      </c>
      <c r="B293" s="114" t="str">
        <f t="shared" ref="B293:F293" si="549">IF(B237="","",B237)</f>
        <v>Тяжелая</v>
      </c>
      <c r="C293" s="115" t="str">
        <f t="shared" si="549"/>
        <v>ТГ</v>
      </c>
      <c r="D293" s="116" t="str">
        <f t="shared" si="549"/>
        <v>Становая тяга</v>
      </c>
      <c r="E293" s="29">
        <f t="shared" si="549"/>
        <v>1.4</v>
      </c>
      <c r="F293" s="117" t="str">
        <f t="shared" si="549"/>
        <v/>
      </c>
      <c r="G293" s="118" t="str">
        <f t="shared" ref="G293:G300" si="551">IF(J293&lt;&gt;0, IFERROR(IF( $F293=2,  MROUND($AH293*J293,1),    IF( OR($F293="",$F293=1),   MROUND($AH293*J293,2.5),  MROUND($AH293*J293, 0.1))), "" ), "")</f>
        <v/>
      </c>
      <c r="H293" s="119"/>
      <c r="I293" s="119"/>
      <c r="J293" s="120"/>
      <c r="K293" s="118" t="str">
        <f t="shared" ref="K293:K300" si="552">IF(N293&lt;&gt;0, IFERROR(IF( $F293=2,  MROUND($AH293*N293,1),    IF( OR($F293="",$F293=1),   MROUND($AH293*N293,2.5),  MROUND($AH293*N293, 0.1))), "" ), "")</f>
        <v/>
      </c>
      <c r="L293" s="119"/>
      <c r="M293" s="119"/>
      <c r="N293" s="120"/>
      <c r="O293" s="118" t="str">
        <f t="shared" ref="O293:O300" si="553">IF(R293&lt;&gt;0, IFERROR(IF( $F293=2,  MROUND($AH293*R293,1),    IF( OR($F293="",$F293=1),   MROUND($AH293*R293,2.5),  MROUND($AH293*R293, 0.1))), "" ), "")</f>
        <v/>
      </c>
      <c r="P293" s="119"/>
      <c r="Q293" s="119"/>
      <c r="R293" s="120"/>
      <c r="S293" s="118" t="str">
        <f t="shared" ref="S293:S300" si="554">IF(V293&lt;&gt;0, IFERROR(IF( $F293=2,  MROUND($AH293*V293,1),    IF( OR($F293="",$F293=1),   MROUND($AH293*V293,2.5),  MROUND($AH293*V293, 0.1))), "" ), "")</f>
        <v/>
      </c>
      <c r="T293" s="119"/>
      <c r="U293" s="119"/>
      <c r="V293" s="120"/>
      <c r="W293" s="118" t="str">
        <f t="shared" ref="W293:W300" si="555">IF(Z293&lt;&gt;0, IFERROR(IF( $F293=2,  MROUND($AH293*Z293,1),    IF( OR($F293="",$F293=1),   MROUND($AH293*Z293,2.5),  MROUND($AH293*Z293, 0.1))), "" ), "")</f>
        <v/>
      </c>
      <c r="X293" s="119"/>
      <c r="Y293" s="119"/>
      <c r="Z293" s="120"/>
      <c r="AA293" s="118" t="str">
        <f t="shared" ref="AA293:AA300" si="556">IF(AD293&lt;&gt;0, IFERROR(IF( $F293=2,  MROUND($AH293*AD293,1),    IF( OR($F293="",$F293=1),   MROUND($AH293*AD293,2.5),  MROUND($AH293*AD293, 0.1))), "" ), "")</f>
        <v/>
      </c>
      <c r="AB293" s="119"/>
      <c r="AC293" s="119"/>
      <c r="AD293" s="120"/>
      <c r="AE293" s="121">
        <f t="shared" ref="AE293:AE300" si="557">(IF(ISNUMBER(G293),G293,0)*H293*I293+IF(ISNUMBER(K293),K293,1)*L293*M293+IF(ISNUMBER(O293),O293,1)*P293*Q293+IF(ISNUMBER(S293),S293,1)*T293*U293+IF(ISNUMBER(W293),W293,1)*X293*Y293+IF(ISNUMBER(AA293),AA293,1)*AB293*AC293)*IF(ISNUMBER(F293),F293,1)</f>
        <v>0</v>
      </c>
      <c r="AF293" s="122">
        <f t="shared" si="538"/>
        <v>0</v>
      </c>
      <c r="AG293" s="200">
        <f t="shared" ref="AG293:AG300" si="558">IFERROR((AF293/(AH293*IF(ISNUMBER(F293),F293,1))),0)</f>
        <v>0</v>
      </c>
      <c r="AH293" s="169">
        <f t="shared" ref="AH293:AH300" si="559">IF(ISNUMBER(AH237), AH237+(AH237*$AH$282),"")</f>
        <v>204.2549486</v>
      </c>
      <c r="AI293" s="122">
        <f> ( IF(ISNUMBER(G293), VLOOKUP(G293/$AH293,F!$A1:$B101,2,1)*G293*$H293*$I293,0)+IF(ISNUMBER(K293), VLOOKUP(K293/$AH293,F!$A1:$B101,2,1)*K293*$L293*$M293,0)+IF(ISNUMBER(O293), VLOOKUP(O293/$AH293,F!$A1:$B101,2,1)*O293*$P293*$Q293,0)+IF(ISNUMBER(S293), VLOOKUP(S293/$AH293,F!$A1:$B101,2,1)*S293*$T293*$U293,0)+IF(ISNUMBER(W293), VLOOKUP(W293/$AH293,F!$A1:$B101,2,1)*W293*$X293*$Y293,0)+IF(ISNUMBER(AA293), VLOOKUP(AA293/$AH293,F!$A1:$B101,2,1)*AA293*$AB293*$AC293,0))*IF(ISNUMBER(F293),F293,1)*IF(ISNUMBER(E293),E293,1)</f>
        <v>0</v>
      </c>
      <c r="AJ293" s="119">
        <f t="shared" ref="AJ293:AJ300" si="560">H293*I293+L293*M293+P293*Q293+T293*U293+X293*Y293+AB293*AC293</f>
        <v>0</v>
      </c>
      <c r="AK293" s="125">
        <f t="array" ref="AK293">IFERROR(I293*INDEX(F!$P$21:$AB$33, MATCH(G293/$AH293, F!$O$21:$O$33,1), MATCH(E293, F!$P$20:$AB$20,1)), 0 ) +IFERROR( M293*INDEX(F!$P$21:$AB$33, MATCH(K293/$AH293, F!$O$21:$O$33,1), MATCH(E293, F!$P$20:$AB$20,1)),0) +  IFERROR( Q293*INDEX(F!$P$21:$AB$33, MATCH(O293/$AH293, F!$O$21:$O$33,1), MATCH(E293, F!$P$20:$AB$20,1)), 0) + IFERROR( U293*INDEX(F!$P$21:$AB$33, MATCH(S293/$AH293, F!$O$21:$O$33,1), MATCH(E293, F!$P$20:$AB$20,1)),0)  + IFERROR(Y293*INDEX(F!$P$21:$AB$33, MATCH(W293/$AH293, F!$O$21:$O$33,1), MATCH(E293, F!$P$20:$AB$20,1)),0)  + IFERROR( AC293*INDEX(F!$P$21:$AB$33, MATCH(AA293/$AH293, F!$O$21:$O$33,1), MATCH(E293, F!$P$20:$AB$20,1)),)</f>
        <v>0</v>
      </c>
      <c r="AL293" s="42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ht="15.75" hidden="1" customHeight="1">
      <c r="A294" s="44">
        <f>A238+A226</f>
        <v>43817</v>
      </c>
      <c r="B294" s="126" t="str">
        <f t="shared" ref="B294:F294" si="550">IF(B238="","",B238)</f>
        <v>Средняя</v>
      </c>
      <c r="C294" s="127" t="str">
        <f t="shared" si="550"/>
        <v>ЖМ</v>
      </c>
      <c r="D294" s="128" t="str">
        <f t="shared" si="550"/>
        <v>Жим лежа</v>
      </c>
      <c r="E294" s="48">
        <f t="shared" si="550"/>
        <v>1</v>
      </c>
      <c r="F294" s="129" t="str">
        <f t="shared" si="550"/>
        <v/>
      </c>
      <c r="G294" s="130" t="str">
        <f t="shared" si="551"/>
        <v/>
      </c>
      <c r="H294" s="34"/>
      <c r="I294" s="34"/>
      <c r="J294" s="65"/>
      <c r="K294" s="130" t="str">
        <f t="shared" si="552"/>
        <v/>
      </c>
      <c r="L294" s="34"/>
      <c r="M294" s="34"/>
      <c r="N294" s="65"/>
      <c r="O294" s="130" t="str">
        <f t="shared" si="553"/>
        <v/>
      </c>
      <c r="P294" s="34"/>
      <c r="Q294" s="34"/>
      <c r="R294" s="65"/>
      <c r="S294" s="130" t="str">
        <f t="shared" si="554"/>
        <v/>
      </c>
      <c r="T294" s="34"/>
      <c r="U294" s="34"/>
      <c r="V294" s="65"/>
      <c r="W294" s="130" t="str">
        <f t="shared" si="555"/>
        <v/>
      </c>
      <c r="X294" s="34"/>
      <c r="Y294" s="34"/>
      <c r="Z294" s="65"/>
      <c r="AA294" s="130" t="str">
        <f t="shared" si="556"/>
        <v/>
      </c>
      <c r="AB294" s="34"/>
      <c r="AC294" s="34"/>
      <c r="AD294" s="65"/>
      <c r="AE294" s="131">
        <f t="shared" si="557"/>
        <v>0</v>
      </c>
      <c r="AF294" s="132">
        <f t="shared" si="538"/>
        <v>0</v>
      </c>
      <c r="AG294" s="133">
        <f t="shared" si="558"/>
        <v>0</v>
      </c>
      <c r="AH294" s="76">
        <f t="shared" si="559"/>
        <v>104.8876763</v>
      </c>
      <c r="AI294" s="132">
        <f> ( IF(ISNUMBER(G294), VLOOKUP(G294/$AH294,F!$A1:$B101,2,1)*G294*$H294*$I294,0)+IF(ISNUMBER(K294), VLOOKUP(K294/$AH294,F!$A1:$B101,2,1)*K294*$L294*$M294,0)+IF(ISNUMBER(O294), VLOOKUP(O294/$AH294,F!$A1:$B101,2,1)*O294*$P294*$Q294,0)+IF(ISNUMBER(S294), VLOOKUP(S294/$AH294,F!$A1:$B101,2,1)*S294*$T294*$U294,0)+IF(ISNUMBER(W294), VLOOKUP(W294/$AH294,F!$A1:$B101,2,1)*W294*$X294*$Y294,0)+IF(ISNUMBER(AA294), VLOOKUP(AA294/$AH294,F!$A1:$B101,2,1)*AA294*$AB294*$AC294,0))*IF(ISNUMBER(F294),F294,1)*IF(ISNUMBER(E294),E294,1)</f>
        <v>0</v>
      </c>
      <c r="AJ294" s="34">
        <f t="shared" si="560"/>
        <v>0</v>
      </c>
      <c r="AK294" s="134">
        <f t="array" ref="AK294">IFERROR(I294*INDEX(F!$P$21:$AB$33, MATCH(G294/$AH294, F!$O$21:$O$33,1), MATCH(E294, F!$P$20:$AB$20,1)), 0 ) +IFERROR( M294*INDEX(F!$P$21:$AB$33, MATCH(K294/$AH294, F!$O$21:$O$33,1), MATCH(E294, F!$P$20:$AB$20,1)),0) +  IFERROR( Q294*INDEX(F!$P$21:$AB$33, MATCH(O294/$AH294, F!$O$21:$O$33,1), MATCH(E294, F!$P$20:$AB$20,1)), 0) + IFERROR( U294*INDEX(F!$P$21:$AB$33, MATCH(S294/$AH294, F!$O$21:$O$33,1), MATCH(E294, F!$P$20:$AB$20,1)),0)  + IFERROR(Y294*INDEX(F!$P$21:$AB$33, MATCH(W294/$AH294, F!$O$21:$O$33,1), MATCH(E294, F!$P$20:$AB$20,1)),0)  + IFERROR( AC294*INDEX(F!$P$21:$AB$33, MATCH(AA294/$AH294, F!$O$21:$O$33,1), MATCH(E294, F!$P$20:$AB$20,1)),)</f>
        <v>0</v>
      </c>
      <c r="AL294" s="59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ht="15.75" hidden="1" customHeight="1">
      <c r="A295" s="59"/>
      <c r="B295" s="135" t="str">
        <f t="shared" ref="B295:F295" si="561">IF(B239="","",B239)</f>
        <v>Легкая</v>
      </c>
      <c r="C295" s="136" t="str">
        <f t="shared" si="561"/>
        <v>ОФП</v>
      </c>
      <c r="D295" s="137" t="str">
        <f t="shared" si="561"/>
        <v>Наклоны со штангой</v>
      </c>
      <c r="E295" s="48">
        <f t="shared" si="561"/>
        <v>0.8</v>
      </c>
      <c r="F295" s="138" t="str">
        <f t="shared" si="561"/>
        <v/>
      </c>
      <c r="G295" s="139" t="str">
        <f t="shared" si="551"/>
        <v/>
      </c>
      <c r="H295" s="140"/>
      <c r="I295" s="140"/>
      <c r="J295" s="141"/>
      <c r="K295" s="139" t="str">
        <f t="shared" si="552"/>
        <v/>
      </c>
      <c r="L295" s="140"/>
      <c r="M295" s="140"/>
      <c r="N295" s="141"/>
      <c r="O295" s="139" t="str">
        <f t="shared" si="553"/>
        <v/>
      </c>
      <c r="P295" s="140"/>
      <c r="Q295" s="140"/>
      <c r="R295" s="141"/>
      <c r="S295" s="139" t="str">
        <f t="shared" si="554"/>
        <v/>
      </c>
      <c r="T295" s="140"/>
      <c r="U295" s="140"/>
      <c r="V295" s="141"/>
      <c r="W295" s="139" t="str">
        <f t="shared" si="555"/>
        <v/>
      </c>
      <c r="X295" s="140"/>
      <c r="Y295" s="140"/>
      <c r="Z295" s="141"/>
      <c r="AA295" s="139" t="str">
        <f t="shared" si="556"/>
        <v/>
      </c>
      <c r="AB295" s="140"/>
      <c r="AC295" s="140"/>
      <c r="AD295" s="141"/>
      <c r="AE295" s="142">
        <f t="shared" si="557"/>
        <v>0</v>
      </c>
      <c r="AF295" s="143">
        <f t="shared" si="538"/>
        <v>0</v>
      </c>
      <c r="AG295" s="144">
        <f t="shared" si="558"/>
        <v>0</v>
      </c>
      <c r="AH295" s="76">
        <f t="shared" si="559"/>
        <v>112.3402217</v>
      </c>
      <c r="AI295" s="143">
        <f> ( IF(ISNUMBER(G295), VLOOKUP(G295/$AH295,F!$A1:$B101,2,1)*G295*$H295*$I295,0)+IF(ISNUMBER(K295), VLOOKUP(K295/$AH295,F!$A1:$B101,2,1)*K295*$L295*$M295,0)+IF(ISNUMBER(O295), VLOOKUP(O295/$AH295,F!$A1:$B101,2,1)*O295*$P295*$Q295,0)+IF(ISNUMBER(S295), VLOOKUP(S295/$AH295,F!$A1:$B101,2,1)*S295*$T295*$U295,0)+IF(ISNUMBER(W295), VLOOKUP(W295/$AH295,F!$A1:$B101,2,1)*W295*$X295*$Y295,0)+IF(ISNUMBER(AA295), VLOOKUP(AA295/$AH295,F!$A1:$B101,2,1)*AA295*$AB295*$AC295,0))*IF(ISNUMBER(F295),F295,1)*IF(ISNUMBER(E295),E295,1)</f>
        <v>0</v>
      </c>
      <c r="AJ295" s="140">
        <f t="shared" si="560"/>
        <v>0</v>
      </c>
      <c r="AK295" s="145">
        <f t="array" ref="AK295">IFERROR(I295*INDEX(F!$P$21:$AB$33, MATCH(G295/$AH295, F!$O$21:$O$33,1), MATCH(E295, F!$P$20:$AB$20,1)), 0 ) +IFERROR( M295*INDEX(F!$P$21:$AB$33, MATCH(K295/$AH295, F!$O$21:$O$33,1), MATCH(E295, F!$P$20:$AB$20,1)),0) +  IFERROR( Q295*INDEX(F!$P$21:$AB$33, MATCH(O295/$AH295, F!$O$21:$O$33,1), MATCH(E295, F!$P$20:$AB$20,1)), 0) + IFERROR( U295*INDEX(F!$P$21:$AB$33, MATCH(S295/$AH295, F!$O$21:$O$33,1), MATCH(E295, F!$P$20:$AB$20,1)),0)  + IFERROR(Y295*INDEX(F!$P$21:$AB$33, MATCH(W295/$AH295, F!$O$21:$O$33,1), MATCH(E295, F!$P$20:$AB$20,1)),0)  + IFERROR( AC295*INDEX(F!$P$21:$AB$33, MATCH(AA295/$AH295, F!$O$21:$O$33,1), MATCH(E295, F!$P$20:$AB$20,1)),)</f>
        <v>0</v>
      </c>
      <c r="AL295" s="59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ht="15.75" hidden="1" customHeight="1">
      <c r="A296" s="59"/>
      <c r="B296" s="126" t="str">
        <f t="shared" ref="B296:F296" si="562">IF(B240="","",B240)</f>
        <v>Средняя</v>
      </c>
      <c r="C296" s="127" t="str">
        <f t="shared" si="562"/>
        <v>ОФП</v>
      </c>
      <c r="D296" s="128" t="str">
        <f t="shared" si="562"/>
        <v>Жим стоя</v>
      </c>
      <c r="E296" s="48">
        <f t="shared" si="562"/>
        <v>1</v>
      </c>
      <c r="F296" s="129" t="str">
        <f t="shared" si="562"/>
        <v/>
      </c>
      <c r="G296" s="130" t="str">
        <f t="shared" si="551"/>
        <v/>
      </c>
      <c r="H296" s="34"/>
      <c r="I296" s="34"/>
      <c r="J296" s="65"/>
      <c r="K296" s="130" t="str">
        <f t="shared" si="552"/>
        <v/>
      </c>
      <c r="L296" s="34"/>
      <c r="M296" s="34"/>
      <c r="N296" s="65"/>
      <c r="O296" s="130" t="str">
        <f t="shared" si="553"/>
        <v/>
      </c>
      <c r="P296" s="34"/>
      <c r="Q296" s="34"/>
      <c r="R296" s="65"/>
      <c r="S296" s="130" t="str">
        <f t="shared" si="554"/>
        <v/>
      </c>
      <c r="T296" s="34"/>
      <c r="U296" s="34"/>
      <c r="V296" s="65"/>
      <c r="W296" s="130" t="str">
        <f t="shared" si="555"/>
        <v/>
      </c>
      <c r="X296" s="34"/>
      <c r="Y296" s="34"/>
      <c r="Z296" s="65"/>
      <c r="AA296" s="130" t="str">
        <f t="shared" si="556"/>
        <v/>
      </c>
      <c r="AB296" s="34"/>
      <c r="AC296" s="34"/>
      <c r="AD296" s="65"/>
      <c r="AE296" s="131">
        <f t="shared" si="557"/>
        <v>0</v>
      </c>
      <c r="AF296" s="132">
        <f t="shared" si="538"/>
        <v>0</v>
      </c>
      <c r="AG296" s="133">
        <f t="shared" si="558"/>
        <v>0</v>
      </c>
      <c r="AH296" s="76">
        <f t="shared" si="559"/>
        <v>62.93260578</v>
      </c>
      <c r="AI296" s="132">
        <f> ( IF(ISNUMBER(G296), VLOOKUP(G296/$AH296,F!$A1:$B101,2,1)*G296*$H296*$I296,0)+IF(ISNUMBER(K296), VLOOKUP(K296/$AH296,F!$A1:$B101,2,1)*K296*$L296*$M296,0)+IF(ISNUMBER(O296), VLOOKUP(O296/$AH296,F!$A1:$B101,2,1)*O296*$P296*$Q296,0)+IF(ISNUMBER(S296), VLOOKUP(S296/$AH296,F!$A1:$B101,2,1)*S296*$T296*$U296,0)+IF(ISNUMBER(W296), VLOOKUP(W296/$AH296,F!$A1:$B101,2,1)*W296*$X296*$Y296,0)+IF(ISNUMBER(AA296), VLOOKUP(AA296/$AH296,F!$A1:$B101,2,1)*AA296*$AB296*$AC296,0))*IF(ISNUMBER(F296),F296,1)*IF(ISNUMBER(E296),E296,1)</f>
        <v>0</v>
      </c>
      <c r="AJ296" s="34">
        <f t="shared" si="560"/>
        <v>0</v>
      </c>
      <c r="AK296" s="134">
        <f t="array" ref="AK296">IFERROR(I296*INDEX(F!$P$21:$AB$33, MATCH(G296/$AH296, F!$O$21:$O$33,1), MATCH(E296, F!$P$20:$AB$20,1)), 0 ) +IFERROR( M296*INDEX(F!$P$21:$AB$33, MATCH(K296/$AH296, F!$O$21:$O$33,1), MATCH(E296, F!$P$20:$AB$20,1)),0) +  IFERROR( Q296*INDEX(F!$P$21:$AB$33, MATCH(O296/$AH296, F!$O$21:$O$33,1), MATCH(E296, F!$P$20:$AB$20,1)), 0) + IFERROR( U296*INDEX(F!$P$21:$AB$33, MATCH(S296/$AH296, F!$O$21:$O$33,1), MATCH(E296, F!$P$20:$AB$20,1)),0)  + IFERROR(Y296*INDEX(F!$P$21:$AB$33, MATCH(W296/$AH296, F!$O$21:$O$33,1), MATCH(E296, F!$P$20:$AB$20,1)),0)  + IFERROR( AC296*INDEX(F!$P$21:$AB$33, MATCH(AA296/$AH296, F!$O$21:$O$33,1), MATCH(E296, F!$P$20:$AB$20,1)),)</f>
        <v>0</v>
      </c>
      <c r="AL296" s="59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ht="15.0" hidden="1" customHeight="1">
      <c r="A297" s="59"/>
      <c r="B297" s="135" t="str">
        <f t="shared" ref="B297:F297" si="563">IF(B241="","",B241)</f>
        <v>Средняя</v>
      </c>
      <c r="C297" s="136" t="str">
        <f t="shared" si="563"/>
        <v>ЖМ</v>
      </c>
      <c r="D297" s="137" t="str">
        <f t="shared" si="563"/>
        <v>Жим средним хватом</v>
      </c>
      <c r="E297" s="48">
        <f t="shared" si="563"/>
        <v>1</v>
      </c>
      <c r="F297" s="138" t="str">
        <f t="shared" si="563"/>
        <v/>
      </c>
      <c r="G297" s="139" t="str">
        <f t="shared" si="551"/>
        <v/>
      </c>
      <c r="H297" s="140"/>
      <c r="I297" s="140"/>
      <c r="J297" s="141"/>
      <c r="K297" s="139" t="str">
        <f t="shared" si="552"/>
        <v/>
      </c>
      <c r="L297" s="140"/>
      <c r="M297" s="140"/>
      <c r="N297" s="141"/>
      <c r="O297" s="139" t="str">
        <f t="shared" si="553"/>
        <v/>
      </c>
      <c r="P297" s="140"/>
      <c r="Q297" s="140"/>
      <c r="R297" s="141"/>
      <c r="S297" s="139" t="str">
        <f t="shared" si="554"/>
        <v/>
      </c>
      <c r="T297" s="140"/>
      <c r="U297" s="140"/>
      <c r="V297" s="141"/>
      <c r="W297" s="139" t="str">
        <f t="shared" si="555"/>
        <v/>
      </c>
      <c r="X297" s="140"/>
      <c r="Y297" s="140"/>
      <c r="Z297" s="141"/>
      <c r="AA297" s="139" t="str">
        <f t="shared" si="556"/>
        <v/>
      </c>
      <c r="AB297" s="140"/>
      <c r="AC297" s="140"/>
      <c r="AD297" s="141"/>
      <c r="AE297" s="142">
        <f t="shared" si="557"/>
        <v>0</v>
      </c>
      <c r="AF297" s="143">
        <f t="shared" si="538"/>
        <v>0</v>
      </c>
      <c r="AG297" s="144">
        <f t="shared" si="558"/>
        <v>0</v>
      </c>
      <c r="AH297" s="76">
        <f t="shared" si="559"/>
        <v>89.15452486</v>
      </c>
      <c r="AI297" s="143">
        <f> ( IF(ISNUMBER(G297), VLOOKUP(G297/$AH297,F!$A1:$B101,2,1)*G297*$H297*$I297,0)+IF(ISNUMBER(K297), VLOOKUP(K297/$AH297,F!$A1:$B101,2,1)*K297*$L297*$M297,0)+IF(ISNUMBER(O297), VLOOKUP(O297/$AH297,F!$A1:$B101,2,1)*O297*$P297*$Q297,0)+IF(ISNUMBER(S297), VLOOKUP(S297/$AH297,F!$A1:$B101,2,1)*S297*$T297*$U297,0)+IF(ISNUMBER(W297), VLOOKUP(W297/$AH297,F!$A1:$B101,2,1)*W297*$X297*$Y297,0)+IF(ISNUMBER(AA297), VLOOKUP(AA297/$AH297,F!$A1:$B101,2,1)*AA297*$AB297*$AC297,0))*IF(ISNUMBER(F297),F297,1)*IF(ISNUMBER(E297),E297,1)</f>
        <v>0</v>
      </c>
      <c r="AJ297" s="140">
        <f t="shared" si="560"/>
        <v>0</v>
      </c>
      <c r="AK297" s="145">
        <f t="array" ref="AK297">IFERROR(I297*INDEX(F!$P$21:$AB$33, MATCH(G297/$AH297, F!$O$21:$O$33,1), MATCH(E297, F!$P$20:$AB$20,1)), 0 ) +IFERROR( M297*INDEX(F!$P$21:$AB$33, MATCH(K297/$AH297, F!$O$21:$O$33,1), MATCH(E297, F!$P$20:$AB$20,1)),0) +  IFERROR( Q297*INDEX(F!$P$21:$AB$33, MATCH(O297/$AH297, F!$O$21:$O$33,1), MATCH(E297, F!$P$20:$AB$20,1)), 0) + IFERROR( U297*INDEX(F!$P$21:$AB$33, MATCH(S297/$AH297, F!$O$21:$O$33,1), MATCH(E297, F!$P$20:$AB$20,1)),0)  + IFERROR(Y297*INDEX(F!$P$21:$AB$33, MATCH(W297/$AH297, F!$O$21:$O$33,1), MATCH(E297, F!$P$20:$AB$20,1)),0)  + IFERROR( AC297*INDEX(F!$P$21:$AB$33, MATCH(AA297/$AH297, F!$O$21:$O$33,1), MATCH(E297, F!$P$20:$AB$20,1)),)</f>
        <v>0</v>
      </c>
      <c r="AL297" s="59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ht="15.75" hidden="1" customHeight="1">
      <c r="A298" s="59"/>
      <c r="B298" s="126" t="str">
        <f t="shared" ref="B298:F298" si="564">IF(B242="","",B242)</f>
        <v/>
      </c>
      <c r="C298" s="127" t="str">
        <f t="shared" si="564"/>
        <v/>
      </c>
      <c r="D298" s="128" t="str">
        <f t="shared" si="564"/>
        <v/>
      </c>
      <c r="E298" s="48" t="str">
        <f t="shared" si="564"/>
        <v/>
      </c>
      <c r="F298" s="129" t="str">
        <f t="shared" si="564"/>
        <v/>
      </c>
      <c r="G298" s="130" t="str">
        <f t="shared" si="551"/>
        <v/>
      </c>
      <c r="H298" s="34"/>
      <c r="I298" s="34"/>
      <c r="J298" s="65"/>
      <c r="K298" s="130" t="str">
        <f t="shared" si="552"/>
        <v/>
      </c>
      <c r="L298" s="34"/>
      <c r="M298" s="34"/>
      <c r="N298" s="65"/>
      <c r="O298" s="130" t="str">
        <f t="shared" si="553"/>
        <v/>
      </c>
      <c r="P298" s="34"/>
      <c r="Q298" s="34"/>
      <c r="R298" s="65"/>
      <c r="S298" s="130" t="str">
        <f t="shared" si="554"/>
        <v/>
      </c>
      <c r="T298" s="34"/>
      <c r="U298" s="34"/>
      <c r="V298" s="65"/>
      <c r="W298" s="130" t="str">
        <f t="shared" si="555"/>
        <v/>
      </c>
      <c r="X298" s="34"/>
      <c r="Y298" s="34"/>
      <c r="Z298" s="65"/>
      <c r="AA298" s="130" t="str">
        <f t="shared" si="556"/>
        <v/>
      </c>
      <c r="AB298" s="34"/>
      <c r="AC298" s="34"/>
      <c r="AD298" s="65"/>
      <c r="AE298" s="131">
        <f t="shared" si="557"/>
        <v>0</v>
      </c>
      <c r="AF298" s="132">
        <f t="shared" si="538"/>
        <v>0</v>
      </c>
      <c r="AG298" s="133">
        <f t="shared" si="558"/>
        <v>0</v>
      </c>
      <c r="AH298" s="76" t="str">
        <f t="shared" si="559"/>
        <v/>
      </c>
      <c r="AI298" s="132">
        <f> ( IF(ISNUMBER(G298), VLOOKUP(G298/$AH298,F!$A1:$B101,2,1)*G298*$H298*$I298,0)+IF(ISNUMBER(K298), VLOOKUP(K298/$AH298,F!$A1:$B101,2,1)*K298*$L298*$M298,0)+IF(ISNUMBER(O298), VLOOKUP(O298/$AH298,F!$A1:$B101,2,1)*O298*$P298*$Q298,0)+IF(ISNUMBER(S298), VLOOKUP(S298/$AH298,F!$A1:$B101,2,1)*S298*$T298*$U298,0)+IF(ISNUMBER(W298), VLOOKUP(W298/$AH298,F!$A1:$B101,2,1)*W298*$X298*$Y298,0)+IF(ISNUMBER(AA298), VLOOKUP(AA298/$AH298,F!$A1:$B101,2,1)*AA298*$AB298*$AC298,0))*IF(ISNUMBER(F298),F298,1)*IF(ISNUMBER(E298),E298,1)</f>
        <v>0</v>
      </c>
      <c r="AJ298" s="34">
        <f t="shared" si="560"/>
        <v>0</v>
      </c>
      <c r="AK298" s="134">
        <f t="array" ref="AK298">IFERROR(I298*INDEX(F!$P$21:$AB$33, MATCH(G298/$AH298, F!$O$21:$O$33,1), MATCH(E298, F!$P$20:$AB$20,1)), 0 ) +IFERROR( M298*INDEX(F!$P$21:$AB$33, MATCH(K298/$AH298, F!$O$21:$O$33,1), MATCH(E298, F!$P$20:$AB$20,1)),0) +  IFERROR( Q298*INDEX(F!$P$21:$AB$33, MATCH(O298/$AH298, F!$O$21:$O$33,1), MATCH(E298, F!$P$20:$AB$20,1)), 0) + IFERROR( U298*INDEX(F!$P$21:$AB$33, MATCH(S298/$AH298, F!$O$21:$O$33,1), MATCH(E298, F!$P$20:$AB$20,1)),0)  + IFERROR(Y298*INDEX(F!$P$21:$AB$33, MATCH(W298/$AH298, F!$O$21:$O$33,1), MATCH(E298, F!$P$20:$AB$20,1)),0)  + IFERROR( AC298*INDEX(F!$P$21:$AB$33, MATCH(AA298/$AH298, F!$O$21:$O$33,1), MATCH(E298, F!$P$20:$AB$20,1)),)</f>
        <v>0</v>
      </c>
      <c r="AL298" s="59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ht="15.75" hidden="1" customHeight="1">
      <c r="A299" s="59"/>
      <c r="B299" s="135" t="str">
        <f t="shared" ref="B299:F299" si="565">IF(B243="","",B243)</f>
        <v/>
      </c>
      <c r="C299" s="136" t="str">
        <f t="shared" si="565"/>
        <v/>
      </c>
      <c r="D299" s="137" t="str">
        <f t="shared" si="565"/>
        <v/>
      </c>
      <c r="E299" s="48" t="str">
        <f t="shared" si="565"/>
        <v/>
      </c>
      <c r="F299" s="138" t="str">
        <f t="shared" si="565"/>
        <v/>
      </c>
      <c r="G299" s="139" t="str">
        <f t="shared" si="551"/>
        <v/>
      </c>
      <c r="H299" s="140"/>
      <c r="I299" s="140"/>
      <c r="J299" s="141"/>
      <c r="K299" s="139" t="str">
        <f t="shared" si="552"/>
        <v/>
      </c>
      <c r="L299" s="140"/>
      <c r="M299" s="140"/>
      <c r="N299" s="141"/>
      <c r="O299" s="139" t="str">
        <f t="shared" si="553"/>
        <v/>
      </c>
      <c r="P299" s="140"/>
      <c r="Q299" s="140"/>
      <c r="R299" s="141"/>
      <c r="S299" s="139" t="str">
        <f t="shared" si="554"/>
        <v/>
      </c>
      <c r="T299" s="140"/>
      <c r="U299" s="140"/>
      <c r="V299" s="141"/>
      <c r="W299" s="139" t="str">
        <f t="shared" si="555"/>
        <v/>
      </c>
      <c r="X299" s="140"/>
      <c r="Y299" s="140"/>
      <c r="Z299" s="141"/>
      <c r="AA299" s="139" t="str">
        <f t="shared" si="556"/>
        <v/>
      </c>
      <c r="AB299" s="140"/>
      <c r="AC299" s="140"/>
      <c r="AD299" s="141"/>
      <c r="AE299" s="142">
        <f t="shared" si="557"/>
        <v>0</v>
      </c>
      <c r="AF299" s="143">
        <f t="shared" si="538"/>
        <v>0</v>
      </c>
      <c r="AG299" s="144">
        <f t="shared" si="558"/>
        <v>0</v>
      </c>
      <c r="AH299" s="76" t="str">
        <f t="shared" si="559"/>
        <v/>
      </c>
      <c r="AI299" s="143">
        <f> ( IF(ISNUMBER(G299), VLOOKUP(G299/$AH299,F!$A1:$B101,2,1)*G299*$H299*$I299,0)+IF(ISNUMBER(K299), VLOOKUP(K299/$AH299,F!$A1:$B101,2,1)*K299*$L299*$M299,0)+IF(ISNUMBER(O299), VLOOKUP(O299/$AH299,F!$A1:$B101,2,1)*O299*$P299*$Q299,0)+IF(ISNUMBER(S299), VLOOKUP(S299/$AH299,F!$A1:$B101,2,1)*S299*$T299*$U299,0)+IF(ISNUMBER(W299), VLOOKUP(W299/$AH299,F!$A1:$B101,2,1)*W299*$X299*$Y299,0)+IF(ISNUMBER(AA299), VLOOKUP(AA299/$AH299,F!$A1:$B101,2,1)*AA299*$AB299*$AC299,0))*IF(ISNUMBER(F299),F299,1)*IF(ISNUMBER(E299),E299,1)</f>
        <v>0</v>
      </c>
      <c r="AJ299" s="140">
        <f t="shared" si="560"/>
        <v>0</v>
      </c>
      <c r="AK299" s="145">
        <f t="array" ref="AK299">IFERROR(I299*INDEX(F!$P$21:$AB$33, MATCH(G299/$AH299, F!$O$21:$O$33,1), MATCH(E299, F!$P$20:$AB$20,1)), 0 ) +IFERROR( M299*INDEX(F!$P$21:$AB$33, MATCH(K299/$AH299, F!$O$21:$O$33,1), MATCH(E299, F!$P$20:$AB$20,1)),0) +  IFERROR( Q299*INDEX(F!$P$21:$AB$33, MATCH(O299/$AH299, F!$O$21:$O$33,1), MATCH(E299, F!$P$20:$AB$20,1)), 0) + IFERROR( U299*INDEX(F!$P$21:$AB$33, MATCH(S299/$AH299, F!$O$21:$O$33,1), MATCH(E299, F!$P$20:$AB$20,1)),0)  + IFERROR(Y299*INDEX(F!$P$21:$AB$33, MATCH(W299/$AH299, F!$O$21:$O$33,1), MATCH(E299, F!$P$20:$AB$20,1)),0)  + IFERROR( AC299*INDEX(F!$P$21:$AB$33, MATCH(AA299/$AH299, F!$O$21:$O$33,1), MATCH(E299, F!$P$20:$AB$20,1)),)</f>
        <v>0</v>
      </c>
      <c r="AL299" s="5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ht="15.75" hidden="1" customHeight="1">
      <c r="A300" s="59"/>
      <c r="B300" s="126" t="str">
        <f t="shared" ref="B300:F300" si="566">IF(B244="","",B244)</f>
        <v/>
      </c>
      <c r="C300" s="127" t="str">
        <f t="shared" si="566"/>
        <v/>
      </c>
      <c r="D300" s="128" t="str">
        <f t="shared" si="566"/>
        <v/>
      </c>
      <c r="E300" s="48" t="str">
        <f t="shared" si="566"/>
        <v/>
      </c>
      <c r="F300" s="129" t="str">
        <f t="shared" si="566"/>
        <v/>
      </c>
      <c r="G300" s="130" t="str">
        <f t="shared" si="551"/>
        <v/>
      </c>
      <c r="H300" s="34"/>
      <c r="I300" s="34"/>
      <c r="J300" s="65"/>
      <c r="K300" s="130" t="str">
        <f t="shared" si="552"/>
        <v/>
      </c>
      <c r="L300" s="34"/>
      <c r="M300" s="34"/>
      <c r="N300" s="65"/>
      <c r="O300" s="130" t="str">
        <f t="shared" si="553"/>
        <v/>
      </c>
      <c r="P300" s="34"/>
      <c r="Q300" s="34"/>
      <c r="R300" s="65"/>
      <c r="S300" s="130" t="str">
        <f t="shared" si="554"/>
        <v/>
      </c>
      <c r="T300" s="34"/>
      <c r="U300" s="34"/>
      <c r="V300" s="65"/>
      <c r="W300" s="130" t="str">
        <f t="shared" si="555"/>
        <v/>
      </c>
      <c r="X300" s="34"/>
      <c r="Y300" s="34"/>
      <c r="Z300" s="65"/>
      <c r="AA300" s="130" t="str">
        <f t="shared" si="556"/>
        <v/>
      </c>
      <c r="AB300" s="34"/>
      <c r="AC300" s="34"/>
      <c r="AD300" s="65"/>
      <c r="AE300" s="131">
        <f t="shared" si="557"/>
        <v>0</v>
      </c>
      <c r="AF300" s="132">
        <f t="shared" si="538"/>
        <v>0</v>
      </c>
      <c r="AG300" s="133">
        <f t="shared" si="558"/>
        <v>0</v>
      </c>
      <c r="AH300" s="76" t="str">
        <f t="shared" si="559"/>
        <v/>
      </c>
      <c r="AI300" s="132">
        <f> ( IF(ISNUMBER(G300), VLOOKUP(G300/$AH300,F!$A1:$B101,2,1)*G300*$H300*$I300,0)+IF(ISNUMBER(K300), VLOOKUP(K300/$AH300,F!$A1:$B101,2,1)*K300*$L300*$M300,0)+IF(ISNUMBER(O300), VLOOKUP(O300/$AH300,F!$A1:$B101,2,1)*O300*$P300*$Q300,0)+IF(ISNUMBER(S300), VLOOKUP(S300/$AH300,F!$A1:$B101,2,1)*S300*$T300*$U300,0)+IF(ISNUMBER(W300), VLOOKUP(W300/$AH300,F!$A1:$B101,2,1)*W300*$X300*$Y300,0)+IF(ISNUMBER(AA300), VLOOKUP(AA300/$AH300,F!$A1:$B101,2,1)*AA300*$AB300*$AC300,0))*IF(ISNUMBER(F300),F300,1)*IF(ISNUMBER(E300),E300,1)</f>
        <v>0</v>
      </c>
      <c r="AJ300" s="34">
        <f t="shared" si="560"/>
        <v>0</v>
      </c>
      <c r="AK300" s="134">
        <f t="array" ref="AK300">IFERROR(I300*INDEX(F!$P$21:$AB$33, MATCH(G300/$AH300, F!$O$21:$O$33,1), MATCH(E300, F!$P$20:$AB$20,1)), 0 ) +IFERROR( M300*INDEX(F!$P$21:$AB$33, MATCH(K300/$AH300, F!$O$21:$O$33,1), MATCH(E300, F!$P$20:$AB$20,1)),0) +  IFERROR( Q300*INDEX(F!$P$21:$AB$33, MATCH(O300/$AH300, F!$O$21:$O$33,1), MATCH(E300, F!$P$20:$AB$20,1)), 0) + IFERROR( U300*INDEX(F!$P$21:$AB$33, MATCH(S300/$AH300, F!$O$21:$O$33,1), MATCH(E300, F!$P$20:$AB$20,1)),0)  + IFERROR(Y300*INDEX(F!$P$21:$AB$33, MATCH(W300/$AH300, F!$O$21:$O$33,1), MATCH(E300, F!$P$20:$AB$20,1)),0)  + IFERROR( AC300*INDEX(F!$P$21:$AB$33, MATCH(AA300/$AH300, F!$O$21:$O$33,1), MATCH(E300, F!$P$20:$AB$20,1)),)</f>
        <v>0</v>
      </c>
      <c r="AL300" s="59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ht="15.75" hidden="1" customHeight="1">
      <c r="A301" s="98"/>
      <c r="B301" s="150"/>
      <c r="C301" s="151"/>
      <c r="D301" s="152"/>
      <c r="E301" s="102">
        <f>ROUND(IFERROR(SUMPRODUCT(AJ293:AJ300,E293:E300)/AJ301,0),3)</f>
        <v>0</v>
      </c>
      <c r="F301" s="153"/>
      <c r="G301" s="154"/>
      <c r="H301" s="155"/>
      <c r="I301" s="155"/>
      <c r="J301" s="156"/>
      <c r="K301" s="154"/>
      <c r="L301" s="155"/>
      <c r="M301" s="155"/>
      <c r="N301" s="156"/>
      <c r="O301" s="154"/>
      <c r="P301" s="155"/>
      <c r="Q301" s="155"/>
      <c r="R301" s="156"/>
      <c r="S301" s="154"/>
      <c r="T301" s="155"/>
      <c r="U301" s="155"/>
      <c r="V301" s="156"/>
      <c r="W301" s="154"/>
      <c r="X301" s="155"/>
      <c r="Y301" s="155"/>
      <c r="Z301" s="156"/>
      <c r="AA301" s="154"/>
      <c r="AB301" s="155"/>
      <c r="AC301" s="155"/>
      <c r="AD301" s="156"/>
      <c r="AE301" s="107">
        <f>SUM(AE293:AE300)</f>
        <v>0</v>
      </c>
      <c r="AF301" s="108">
        <f t="shared" si="538"/>
        <v>0</v>
      </c>
      <c r="AG301" s="109">
        <f>IFERROR(  SUMPRODUCT(AG293:AG300,AJ293:AJ300)/AJ301,0)</f>
        <v>0</v>
      </c>
      <c r="AH301" s="157"/>
      <c r="AI301" s="111">
        <f t="shared" ref="AI301:AJ301" si="567">SUM(AI293:AI300)</f>
        <v>0</v>
      </c>
      <c r="AJ301" s="111">
        <f t="shared" si="567"/>
        <v>0</v>
      </c>
      <c r="AK301" s="112">
        <f>IF(SUM(AK293:AK300)=0,TIME(,0,),TIME(,SUM(AK293:AK300)+F!$V$37,))</f>
        <v>0</v>
      </c>
      <c r="AL301" s="98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ht="15.75" hidden="1" customHeight="1">
      <c r="A302" s="158">
        <f>A303</f>
        <v>43819</v>
      </c>
      <c r="B302" s="159" t="str">
        <f t="shared" ref="B302:F302" si="568">IF(B246="","",B246)</f>
        <v>Тяжелая</v>
      </c>
      <c r="C302" s="160" t="str">
        <f t="shared" si="568"/>
        <v>ПР</v>
      </c>
      <c r="D302" s="161" t="str">
        <f t="shared" si="568"/>
        <v>Присед</v>
      </c>
      <c r="E302" s="29">
        <f t="shared" si="568"/>
        <v>1.2</v>
      </c>
      <c r="F302" s="162" t="str">
        <f t="shared" si="568"/>
        <v/>
      </c>
      <c r="G302" s="163" t="str">
        <f t="shared" ref="G302:G309" si="570">IF(J302&lt;&gt;0, IFERROR(IF( $F302=2,  MROUND($AH302*J302,1),    IF( OR($F302="",$F302=1),   MROUND($AH302*J302,2.5),  MROUND($AH302*J302, 0.1))), "" ), "")</f>
        <v/>
      </c>
      <c r="H302" s="164"/>
      <c r="I302" s="164"/>
      <c r="J302" s="165"/>
      <c r="K302" s="163" t="str">
        <f t="shared" ref="K302:K309" si="571">IF(N302&lt;&gt;0, IFERROR(IF( $F302=2,  MROUND($AH302*N302,1),    IF( OR($F302="",$F302=1),   MROUND($AH302*N302,2.5),  MROUND($AH302*N302, 0.1))), "" ), "")</f>
        <v/>
      </c>
      <c r="L302" s="164"/>
      <c r="M302" s="164"/>
      <c r="N302" s="165"/>
      <c r="O302" s="163" t="str">
        <f t="shared" ref="O302:O309" si="572">IF(R302&lt;&gt;0, IFERROR(IF( $F302=2,  MROUND($AH302*R302,1),    IF( OR($F302="",$F302=1),   MROUND($AH302*R302,2.5),  MROUND($AH302*R302, 0.1))), "" ), "")</f>
        <v/>
      </c>
      <c r="P302" s="164"/>
      <c r="Q302" s="164"/>
      <c r="R302" s="165"/>
      <c r="S302" s="163" t="str">
        <f t="shared" ref="S302:S309" si="573">IF(V302&lt;&gt;0, IFERROR(IF( $F302=2,  MROUND($AH302*V302,1),    IF( OR($F302="",$F302=1),   MROUND($AH302*V302,2.5),  MROUND($AH302*V302, 0.1))), "" ), "")</f>
        <v/>
      </c>
      <c r="T302" s="164"/>
      <c r="U302" s="164"/>
      <c r="V302" s="165"/>
      <c r="W302" s="163" t="str">
        <f t="shared" ref="W302:W309" si="574">IF(Z302&lt;&gt;0, IFERROR(IF( $F302=2,  MROUND($AH302*Z302,1),    IF( OR($F302="",$F302=1),   MROUND($AH302*Z302,2.5),  MROUND($AH302*Z302, 0.1))), "" ), "")</f>
        <v/>
      </c>
      <c r="X302" s="164"/>
      <c r="Y302" s="164"/>
      <c r="Z302" s="165"/>
      <c r="AA302" s="163" t="str">
        <f t="shared" ref="AA302:AA309" si="575">IF(AD302&lt;&gt;0, IFERROR(IF( $F302=2,  MROUND($AH302*AD302,1),    IF( OR($F302="",$F302=1),   MROUND($AH302*AD302,2.5),  MROUND($AH302*AD302, 0.1))), "" ), "")</f>
        <v/>
      </c>
      <c r="AB302" s="164"/>
      <c r="AC302" s="164"/>
      <c r="AD302" s="165"/>
      <c r="AE302" s="166">
        <f t="shared" ref="AE302:AE309" si="576">(IF(ISNUMBER(G302),G302,0)*H302*I302+IF(ISNUMBER(K302),K302,1)*L302*M302+IF(ISNUMBER(O302),O302,1)*P302*Q302+IF(ISNUMBER(S302),S302,1)*T302*U302+IF(ISNUMBER(W302),W302,1)*X302*Y302+IF(ISNUMBER(AA302),AA302,1)*AB302*AC302)*IF(ISNUMBER(F302),F302,1)</f>
        <v>0</v>
      </c>
      <c r="AF302" s="167">
        <f t="shared" si="538"/>
        <v>0</v>
      </c>
      <c r="AG302" s="168">
        <f t="shared" ref="AG302:AG309" si="577">IFERROR((AF302/(AH302*IF(ISNUMBER(F302),F302,1))),0)</f>
        <v>0</v>
      </c>
      <c r="AH302" s="169">
        <f t="shared" ref="AH302:AH309" si="578">IF(ISNUMBER(AH246), AH246+(AH246*$AH$282),"")</f>
        <v>149.0509084</v>
      </c>
      <c r="AI302" s="167">
        <f> ( IF(ISNUMBER(G302), VLOOKUP(G302/$AH302,F!$A1:$B101,2,1)*G302*$H302*$I302,0)+IF(ISNUMBER(K302), VLOOKUP(K302/$AH302,F!$A1:$B101,2,1)*K302*$L302*$M302,0)+IF(ISNUMBER(O302), VLOOKUP(O302/$AH302,F!$A1:$B101,2,1)*O302*$P302*$Q302,0)+IF(ISNUMBER(S302), VLOOKUP(S302/$AH302,F!$A1:$B101,2,1)*S302*$T302*$U302,0)+IF(ISNUMBER(W302), VLOOKUP(W302/$AH302,F!$A1:$B101,2,1)*W302*$X302*$Y302,0)+IF(ISNUMBER(AA302), VLOOKUP(AA302/$AH302,F!$A1:$B101,2,1)*AA302*$AB302*$AC302,0))*IF(ISNUMBER(F302),F302,1)*IF(ISNUMBER(E302),E302,1)</f>
        <v>0</v>
      </c>
      <c r="AJ302" s="164">
        <f t="shared" ref="AJ302:AJ309" si="579">H302*I302+L302*M302+P302*Q302+T302*U302+X302*Y302+AB302*AC302</f>
        <v>0</v>
      </c>
      <c r="AK302" s="170">
        <f t="array" ref="AK302">IFERROR(I302*INDEX(F!$P$21:$AB$33, MATCH(G302/$AH302, F!$O$21:$O$33,1), MATCH(E302, F!$P$20:$AB$20,1)), 0 ) +IFERROR( M302*INDEX(F!$P$21:$AB$33, MATCH(K302/$AH302, F!$O$21:$O$33,1), MATCH(E302, F!$P$20:$AB$20,1)),0) +  IFERROR( Q302*INDEX(F!$P$21:$AB$33, MATCH(O302/$AH302, F!$O$21:$O$33,1), MATCH(E302, F!$P$20:$AB$20,1)), 0) + IFERROR( U302*INDEX(F!$P$21:$AB$33, MATCH(S302/$AH302, F!$O$21:$O$33,1), MATCH(E302, F!$P$20:$AB$20,1)),0)  + IFERROR(Y302*INDEX(F!$P$21:$AB$33, MATCH(W302/$AH302, F!$O$21:$O$33,1), MATCH(E302, F!$P$20:$AB$20,1)),0)  + IFERROR( AC302*INDEX(F!$P$21:$AB$33, MATCH(AA302/$AH302, F!$O$21:$O$33,1), MATCH(E302, F!$P$20:$AB$20,1)),)</f>
        <v>0</v>
      </c>
      <c r="AL302" s="42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ht="15.75" hidden="1" customHeight="1">
      <c r="A303" s="44">
        <f>A247+A226</f>
        <v>43819</v>
      </c>
      <c r="B303" s="135" t="str">
        <f t="shared" ref="B303:F303" si="569">IF(B247="","",B247)</f>
        <v>Тяжелая</v>
      </c>
      <c r="C303" s="136" t="str">
        <f t="shared" si="569"/>
        <v>ЖМ</v>
      </c>
      <c r="D303" s="137" t="str">
        <f t="shared" si="569"/>
        <v>Жим лежа</v>
      </c>
      <c r="E303" s="48">
        <f t="shared" si="569"/>
        <v>1</v>
      </c>
      <c r="F303" s="138" t="str">
        <f t="shared" si="569"/>
        <v/>
      </c>
      <c r="G303" s="139" t="str">
        <f t="shared" si="570"/>
        <v/>
      </c>
      <c r="H303" s="140"/>
      <c r="I303" s="140"/>
      <c r="J303" s="141"/>
      <c r="K303" s="139" t="str">
        <f t="shared" si="571"/>
        <v/>
      </c>
      <c r="L303" s="140"/>
      <c r="M303" s="140"/>
      <c r="N303" s="141"/>
      <c r="O303" s="139" t="str">
        <f t="shared" si="572"/>
        <v/>
      </c>
      <c r="P303" s="140"/>
      <c r="Q303" s="140"/>
      <c r="R303" s="141"/>
      <c r="S303" s="139" t="str">
        <f t="shared" si="573"/>
        <v/>
      </c>
      <c r="T303" s="140"/>
      <c r="U303" s="140"/>
      <c r="V303" s="141"/>
      <c r="W303" s="139" t="str">
        <f t="shared" si="574"/>
        <v/>
      </c>
      <c r="X303" s="140"/>
      <c r="Y303" s="140"/>
      <c r="Z303" s="141"/>
      <c r="AA303" s="139" t="str">
        <f t="shared" si="575"/>
        <v/>
      </c>
      <c r="AB303" s="140"/>
      <c r="AC303" s="140"/>
      <c r="AD303" s="141"/>
      <c r="AE303" s="142">
        <f t="shared" si="576"/>
        <v>0</v>
      </c>
      <c r="AF303" s="143">
        <f t="shared" si="538"/>
        <v>0</v>
      </c>
      <c r="AG303" s="144">
        <f t="shared" si="577"/>
        <v>0</v>
      </c>
      <c r="AH303" s="76">
        <f t="shared" si="578"/>
        <v>104.8876763</v>
      </c>
      <c r="AI303" s="143">
        <f> ( IF(ISNUMBER(G303), VLOOKUP(G303/$AH303,F!$A1:$B101,2,1)*G303*$H303*$I303,0)+IF(ISNUMBER(K303), VLOOKUP(K303/$AH303,F!$A1:$B101,2,1)*K303*$L303*$M303,0)+IF(ISNUMBER(O303), VLOOKUP(O303/$AH303,F!$A1:$B101,2,1)*O303*$P303*$Q303,0)+IF(ISNUMBER(S303), VLOOKUP(S303/$AH303,F!$A1:$B101,2,1)*S303*$T303*$U303,0)+IF(ISNUMBER(W303), VLOOKUP(W303/$AH303,F!$A1:$B101,2,1)*W303*$X303*$Y303,0)+IF(ISNUMBER(AA303), VLOOKUP(AA303/$AH303,F!$A1:$B101,2,1)*AA303*$AB303*$AC303,0))*IF(ISNUMBER(F303),F303,1)*IF(ISNUMBER(E303),E303,1)</f>
        <v>0</v>
      </c>
      <c r="AJ303" s="140">
        <f t="shared" si="579"/>
        <v>0</v>
      </c>
      <c r="AK303" s="145">
        <f t="array" ref="AK303">IFERROR(I303*INDEX(F!$P$21:$AB$33, MATCH(G303/$AH303, F!$O$21:$O$33,1), MATCH(E303, F!$P$20:$AB$20,1)), 0 ) +IFERROR( M303*INDEX(F!$P$21:$AB$33, MATCH(K303/$AH303, F!$O$21:$O$33,1), MATCH(E303, F!$P$20:$AB$20,1)),0) +  IFERROR( Q303*INDEX(F!$P$21:$AB$33, MATCH(O303/$AH303, F!$O$21:$O$33,1), MATCH(E303, F!$P$20:$AB$20,1)), 0) + IFERROR( U303*INDEX(F!$P$21:$AB$33, MATCH(S303/$AH303, F!$O$21:$O$33,1), MATCH(E303, F!$P$20:$AB$20,1)),0)  + IFERROR(Y303*INDEX(F!$P$21:$AB$33, MATCH(W303/$AH303, F!$O$21:$O$33,1), MATCH(E303, F!$P$20:$AB$20,1)),0)  + IFERROR( AC303*INDEX(F!$P$21:$AB$33, MATCH(AA303/$AH303, F!$O$21:$O$33,1), MATCH(E303, F!$P$20:$AB$20,1)),)</f>
        <v>0</v>
      </c>
      <c r="AL303" s="59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ht="15.0" hidden="1" customHeight="1">
      <c r="A304" s="59"/>
      <c r="B304" s="173" t="str">
        <f t="shared" ref="B304:F304" si="580">IF(B248="","",B248)</f>
        <v>Средняя</v>
      </c>
      <c r="C304" s="174" t="str">
        <f t="shared" si="580"/>
        <v>ПР</v>
      </c>
      <c r="D304" s="175" t="str">
        <f t="shared" si="580"/>
        <v>Присед</v>
      </c>
      <c r="E304" s="48">
        <f t="shared" si="580"/>
        <v>1.2</v>
      </c>
      <c r="F304" s="176" t="str">
        <f t="shared" si="580"/>
        <v/>
      </c>
      <c r="G304" s="177" t="str">
        <f t="shared" si="570"/>
        <v/>
      </c>
      <c r="H304" s="178"/>
      <c r="I304" s="178"/>
      <c r="J304" s="179"/>
      <c r="K304" s="177" t="str">
        <f t="shared" si="571"/>
        <v/>
      </c>
      <c r="L304" s="178"/>
      <c r="M304" s="178"/>
      <c r="N304" s="179"/>
      <c r="O304" s="177" t="str">
        <f t="shared" si="572"/>
        <v/>
      </c>
      <c r="P304" s="178"/>
      <c r="Q304" s="178"/>
      <c r="R304" s="179"/>
      <c r="S304" s="177" t="str">
        <f t="shared" si="573"/>
        <v/>
      </c>
      <c r="T304" s="178"/>
      <c r="U304" s="178"/>
      <c r="V304" s="179"/>
      <c r="W304" s="177" t="str">
        <f t="shared" si="574"/>
        <v/>
      </c>
      <c r="X304" s="178"/>
      <c r="Y304" s="178"/>
      <c r="Z304" s="179"/>
      <c r="AA304" s="177" t="str">
        <f t="shared" si="575"/>
        <v/>
      </c>
      <c r="AB304" s="178"/>
      <c r="AC304" s="178"/>
      <c r="AD304" s="179"/>
      <c r="AE304" s="180">
        <f t="shared" si="576"/>
        <v>0</v>
      </c>
      <c r="AF304" s="181">
        <f t="shared" si="538"/>
        <v>0</v>
      </c>
      <c r="AG304" s="182">
        <f t="shared" si="577"/>
        <v>0</v>
      </c>
      <c r="AH304" s="76">
        <f t="shared" si="578"/>
        <v>149.0509084</v>
      </c>
      <c r="AI304" s="181">
        <f> ( IF(ISNUMBER(G304), VLOOKUP(G304/$AH304,F!$A1:$B101,2,1)*G304*$H304*$I304,0)+IF(ISNUMBER(K304), VLOOKUP(K304/$AH304,F!$A1:$B101,2,1)*K304*$L304*$M304,0)+IF(ISNUMBER(O304), VLOOKUP(O304/$AH304,F!$A1:$B101,2,1)*O304*$P304*$Q304,0)+IF(ISNUMBER(S304), VLOOKUP(S304/$AH304,F!$A1:$B101,2,1)*S304*$T304*$U304,0)+IF(ISNUMBER(W304), VLOOKUP(W304/$AH304,F!$A1:$B101,2,1)*W304*$X304*$Y304,0)+IF(ISNUMBER(AA304), VLOOKUP(AA304/$AH304,F!$A1:$B101,2,1)*AA304*$AB304*$AC304,0))*IF(ISNUMBER(F304),F304,1)*IF(ISNUMBER(E304),E304,1)</f>
        <v>0</v>
      </c>
      <c r="AJ304" s="178">
        <f t="shared" si="579"/>
        <v>0</v>
      </c>
      <c r="AK304" s="183">
        <f t="array" ref="AK304">IFERROR(I304*INDEX(F!$P$21:$AB$33, MATCH(G304/$AH304, F!$O$21:$O$33,1), MATCH(E304, F!$P$20:$AB$20,1)), 0 ) +IFERROR( M304*INDEX(F!$P$21:$AB$33, MATCH(K304/$AH304, F!$O$21:$O$33,1), MATCH(E304, F!$P$20:$AB$20,1)),0) +  IFERROR( Q304*INDEX(F!$P$21:$AB$33, MATCH(O304/$AH304, F!$O$21:$O$33,1), MATCH(E304, F!$P$20:$AB$20,1)), 0) + IFERROR( U304*INDEX(F!$P$21:$AB$33, MATCH(S304/$AH304, F!$O$21:$O$33,1), MATCH(E304, F!$P$20:$AB$20,1)),0)  + IFERROR(Y304*INDEX(F!$P$21:$AB$33, MATCH(W304/$AH304, F!$O$21:$O$33,1), MATCH(E304, F!$P$20:$AB$20,1)),0)  + IFERROR( AC304*INDEX(F!$P$21:$AB$33, MATCH(AA304/$AH304, F!$O$21:$O$33,1), MATCH(E304, F!$P$20:$AB$20,1)),)</f>
        <v>0</v>
      </c>
      <c r="AL304" s="59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ht="15.75" hidden="1" customHeight="1">
      <c r="A305" s="59"/>
      <c r="B305" s="135" t="str">
        <f t="shared" ref="B305:F305" si="581">IF(B249="","",B249)</f>
        <v>Средняя</v>
      </c>
      <c r="C305" s="136" t="str">
        <f t="shared" si="581"/>
        <v>ЖМ</v>
      </c>
      <c r="D305" s="137" t="str">
        <f t="shared" si="581"/>
        <v>Жим на наклонной скамье</v>
      </c>
      <c r="E305" s="48">
        <f t="shared" si="581"/>
        <v>1</v>
      </c>
      <c r="F305" s="138" t="str">
        <f t="shared" si="581"/>
        <v/>
      </c>
      <c r="G305" s="139" t="str">
        <f t="shared" si="570"/>
        <v/>
      </c>
      <c r="H305" s="140"/>
      <c r="I305" s="140"/>
      <c r="J305" s="141"/>
      <c r="K305" s="139" t="str">
        <f t="shared" si="571"/>
        <v/>
      </c>
      <c r="L305" s="140"/>
      <c r="M305" s="140"/>
      <c r="N305" s="141"/>
      <c r="O305" s="139" t="str">
        <f t="shared" si="572"/>
        <v/>
      </c>
      <c r="P305" s="140"/>
      <c r="Q305" s="140"/>
      <c r="R305" s="141"/>
      <c r="S305" s="139" t="str">
        <f t="shared" si="573"/>
        <v/>
      </c>
      <c r="T305" s="140"/>
      <c r="U305" s="140"/>
      <c r="V305" s="141"/>
      <c r="W305" s="139" t="str">
        <f t="shared" si="574"/>
        <v/>
      </c>
      <c r="X305" s="140"/>
      <c r="Y305" s="140"/>
      <c r="Z305" s="141"/>
      <c r="AA305" s="139" t="str">
        <f t="shared" si="575"/>
        <v/>
      </c>
      <c r="AB305" s="140"/>
      <c r="AC305" s="140"/>
      <c r="AD305" s="141"/>
      <c r="AE305" s="142">
        <f t="shared" si="576"/>
        <v>0</v>
      </c>
      <c r="AF305" s="143">
        <f t="shared" si="538"/>
        <v>0</v>
      </c>
      <c r="AG305" s="144">
        <f t="shared" si="577"/>
        <v>0</v>
      </c>
      <c r="AH305" s="76">
        <f t="shared" si="578"/>
        <v>83.91014104</v>
      </c>
      <c r="AI305" s="143">
        <f> ( IF(ISNUMBER(G305), VLOOKUP(G305/$AH305,F!$A1:$B101,2,1)*G305*$H305*$I305,0)+IF(ISNUMBER(K305), VLOOKUP(K305/$AH305,F!$A1:$B101,2,1)*K305*$L305*$M305,0)+IF(ISNUMBER(O305), VLOOKUP(O305/$AH305,F!$A1:$B101,2,1)*O305*$P305*$Q305,0)+IF(ISNUMBER(S305), VLOOKUP(S305/$AH305,F!$A1:$B101,2,1)*S305*$T305*$U305,0)+IF(ISNUMBER(W305), VLOOKUP(W305/$AH305,F!$A1:$B101,2,1)*W305*$X305*$Y305,0)+IF(ISNUMBER(AA305), VLOOKUP(AA305/$AH305,F!$A1:$B101,2,1)*AA305*$AB305*$AC305,0))*IF(ISNUMBER(F305),F305,1)*IF(ISNUMBER(E305),E305,1)</f>
        <v>0</v>
      </c>
      <c r="AJ305" s="140">
        <f t="shared" si="579"/>
        <v>0</v>
      </c>
      <c r="AK305" s="145">
        <f t="array" ref="AK305">IFERROR(I305*INDEX(F!$P$21:$AB$33, MATCH(G305/$AH305, F!$O$21:$O$33,1), MATCH(E305, F!$P$20:$AB$20,1)), 0 ) +IFERROR( M305*INDEX(F!$P$21:$AB$33, MATCH(K305/$AH305, F!$O$21:$O$33,1), MATCH(E305, F!$P$20:$AB$20,1)),0) +  IFERROR( Q305*INDEX(F!$P$21:$AB$33, MATCH(O305/$AH305, F!$O$21:$O$33,1), MATCH(E305, F!$P$20:$AB$20,1)), 0) + IFERROR( U305*INDEX(F!$P$21:$AB$33, MATCH(S305/$AH305, F!$O$21:$O$33,1), MATCH(E305, F!$P$20:$AB$20,1)),0)  + IFERROR(Y305*INDEX(F!$P$21:$AB$33, MATCH(W305/$AH305, F!$O$21:$O$33,1), MATCH(E305, F!$P$20:$AB$20,1)),0)  + IFERROR( AC305*INDEX(F!$P$21:$AB$33, MATCH(AA305/$AH305, F!$O$21:$O$33,1), MATCH(E305, F!$P$20:$AB$20,1)),)</f>
        <v>0</v>
      </c>
      <c r="AL305" s="59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ht="15.75" hidden="1" customHeight="1">
      <c r="A306" s="59"/>
      <c r="B306" s="173" t="str">
        <f t="shared" ref="B306:F306" si="582">IF(B250="","",B250)</f>
        <v>Средняя</v>
      </c>
      <c r="C306" s="174" t="str">
        <f t="shared" si="582"/>
        <v>ОФП</v>
      </c>
      <c r="D306" s="175" t="str">
        <f t="shared" si="582"/>
        <v>Бицепс стоя</v>
      </c>
      <c r="E306" s="48">
        <f t="shared" si="582"/>
        <v>0.5</v>
      </c>
      <c r="F306" s="176" t="str">
        <f t="shared" si="582"/>
        <v/>
      </c>
      <c r="G306" s="177" t="str">
        <f t="shared" si="570"/>
        <v/>
      </c>
      <c r="H306" s="178"/>
      <c r="I306" s="178"/>
      <c r="J306" s="179"/>
      <c r="K306" s="177" t="str">
        <f t="shared" si="571"/>
        <v/>
      </c>
      <c r="L306" s="178"/>
      <c r="M306" s="178"/>
      <c r="N306" s="179"/>
      <c r="O306" s="177" t="str">
        <f t="shared" si="572"/>
        <v/>
      </c>
      <c r="P306" s="178"/>
      <c r="Q306" s="178"/>
      <c r="R306" s="179"/>
      <c r="S306" s="177" t="str">
        <f t="shared" si="573"/>
        <v/>
      </c>
      <c r="T306" s="178"/>
      <c r="U306" s="178"/>
      <c r="V306" s="179"/>
      <c r="W306" s="177" t="str">
        <f t="shared" si="574"/>
        <v/>
      </c>
      <c r="X306" s="178"/>
      <c r="Y306" s="178"/>
      <c r="Z306" s="179"/>
      <c r="AA306" s="177" t="str">
        <f t="shared" si="575"/>
        <v/>
      </c>
      <c r="AB306" s="178"/>
      <c r="AC306" s="178"/>
      <c r="AD306" s="179"/>
      <c r="AE306" s="180">
        <f t="shared" si="576"/>
        <v>0</v>
      </c>
      <c r="AF306" s="181">
        <f t="shared" si="538"/>
        <v>0</v>
      </c>
      <c r="AG306" s="182">
        <f t="shared" si="577"/>
        <v>0</v>
      </c>
      <c r="AH306" s="76" t="str">
        <f t="shared" si="578"/>
        <v/>
      </c>
      <c r="AI306" s="181">
        <f> ( IF(ISNUMBER(G306), VLOOKUP(G306/$AH306,F!$A1:$B101,2,1)*G306*$H306*$I306,0)+IF(ISNUMBER(K306), VLOOKUP(K306/$AH306,F!$A1:$B101,2,1)*K306*$L306*$M306,0)+IF(ISNUMBER(O306), VLOOKUP(O306/$AH306,F!$A1:$B101,2,1)*O306*$P306*$Q306,0)+IF(ISNUMBER(S306), VLOOKUP(S306/$AH306,F!$A1:$B101,2,1)*S306*$T306*$U306,0)+IF(ISNUMBER(W306), VLOOKUP(W306/$AH306,F!$A1:$B101,2,1)*W306*$X306*$Y306,0)+IF(ISNUMBER(AA306), VLOOKUP(AA306/$AH306,F!$A1:$B101,2,1)*AA306*$AB306*$AC306,0))*IF(ISNUMBER(F306),F306,1)*IF(ISNUMBER(E306),E306,1)</f>
        <v>0</v>
      </c>
      <c r="AJ306" s="178">
        <f t="shared" si="579"/>
        <v>0</v>
      </c>
      <c r="AK306" s="183">
        <f t="array" ref="AK306">IFERROR(I306*INDEX(F!$P$21:$AB$33, MATCH(G306/$AH306, F!$O$21:$O$33,1), MATCH(E306, F!$P$20:$AB$20,1)), 0 ) +IFERROR( M306*INDEX(F!$P$21:$AB$33, MATCH(K306/$AH306, F!$O$21:$O$33,1), MATCH(E306, F!$P$20:$AB$20,1)),0) +  IFERROR( Q306*INDEX(F!$P$21:$AB$33, MATCH(O306/$AH306, F!$O$21:$O$33,1), MATCH(E306, F!$P$20:$AB$20,1)), 0) + IFERROR( U306*INDEX(F!$P$21:$AB$33, MATCH(S306/$AH306, F!$O$21:$O$33,1), MATCH(E306, F!$P$20:$AB$20,1)),0)  + IFERROR(Y306*INDEX(F!$P$21:$AB$33, MATCH(W306/$AH306, F!$O$21:$O$33,1), MATCH(E306, F!$P$20:$AB$20,1)),0)  + IFERROR( AC306*INDEX(F!$P$21:$AB$33, MATCH(AA306/$AH306, F!$O$21:$O$33,1), MATCH(E306, F!$P$20:$AB$20,1)),)</f>
        <v>0</v>
      </c>
      <c r="AL306" s="59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ht="15.75" hidden="1" customHeight="1">
      <c r="A307" s="59"/>
      <c r="B307" s="135" t="str">
        <f t="shared" ref="B307:F307" si="583">IF(B251="","",B251)</f>
        <v/>
      </c>
      <c r="C307" s="136" t="str">
        <f t="shared" si="583"/>
        <v/>
      </c>
      <c r="D307" s="137" t="str">
        <f t="shared" si="583"/>
        <v/>
      </c>
      <c r="E307" s="48" t="str">
        <f t="shared" si="583"/>
        <v/>
      </c>
      <c r="F307" s="138" t="str">
        <f t="shared" si="583"/>
        <v/>
      </c>
      <c r="G307" s="139" t="str">
        <f t="shared" si="570"/>
        <v/>
      </c>
      <c r="H307" s="140"/>
      <c r="I307" s="140"/>
      <c r="J307" s="141"/>
      <c r="K307" s="139" t="str">
        <f t="shared" si="571"/>
        <v/>
      </c>
      <c r="L307" s="140"/>
      <c r="M307" s="140"/>
      <c r="N307" s="141"/>
      <c r="O307" s="139" t="str">
        <f t="shared" si="572"/>
        <v/>
      </c>
      <c r="P307" s="140"/>
      <c r="Q307" s="140"/>
      <c r="R307" s="141"/>
      <c r="S307" s="139" t="str">
        <f t="shared" si="573"/>
        <v/>
      </c>
      <c r="T307" s="140"/>
      <c r="U307" s="140"/>
      <c r="V307" s="141"/>
      <c r="W307" s="139" t="str">
        <f t="shared" si="574"/>
        <v/>
      </c>
      <c r="X307" s="140"/>
      <c r="Y307" s="140"/>
      <c r="Z307" s="141"/>
      <c r="AA307" s="139" t="str">
        <f t="shared" si="575"/>
        <v/>
      </c>
      <c r="AB307" s="140"/>
      <c r="AC307" s="140"/>
      <c r="AD307" s="141"/>
      <c r="AE307" s="142">
        <f t="shared" si="576"/>
        <v>0</v>
      </c>
      <c r="AF307" s="143">
        <f t="shared" si="538"/>
        <v>0</v>
      </c>
      <c r="AG307" s="144">
        <f t="shared" si="577"/>
        <v>0</v>
      </c>
      <c r="AH307" s="76" t="str">
        <f t="shared" si="578"/>
        <v/>
      </c>
      <c r="AI307" s="143">
        <f> ( IF(ISNUMBER(G307), VLOOKUP(G307/$AH307,F!$A1:$B101,2,1)*G307*$H307*$I307,0)+IF(ISNUMBER(K307), VLOOKUP(K307/$AH307,F!$A1:$B101,2,1)*K307*$L307*$M307,0)+IF(ISNUMBER(O307), VLOOKUP(O307/$AH307,F!$A1:$B101,2,1)*O307*$P307*$Q307,0)+IF(ISNUMBER(S307), VLOOKUP(S307/$AH307,F!$A1:$B101,2,1)*S307*$T307*$U307,0)+IF(ISNUMBER(W307), VLOOKUP(W307/$AH307,F!$A1:$B101,2,1)*W307*$X307*$Y307,0)+IF(ISNUMBER(AA307), VLOOKUP(AA307/$AH307,F!$A1:$B101,2,1)*AA307*$AB307*$AC307,0))*IF(ISNUMBER(F307),F307,1)*IF(ISNUMBER(E307),E307,1)</f>
        <v>0</v>
      </c>
      <c r="AJ307" s="140">
        <f t="shared" si="579"/>
        <v>0</v>
      </c>
      <c r="AK307" s="145">
        <f t="array" ref="AK307">IFERROR(I307*INDEX(F!$P$21:$AB$33, MATCH(G307/$AH307, F!$O$21:$O$33,1), MATCH(E307, F!$P$20:$AB$20,1)), 0 ) +IFERROR( M307*INDEX(F!$P$21:$AB$33, MATCH(K307/$AH307, F!$O$21:$O$33,1), MATCH(E307, F!$P$20:$AB$20,1)),0) +  IFERROR( Q307*INDEX(F!$P$21:$AB$33, MATCH(O307/$AH307, F!$O$21:$O$33,1), MATCH(E307, F!$P$20:$AB$20,1)), 0) + IFERROR( U307*INDEX(F!$P$21:$AB$33, MATCH(S307/$AH307, F!$O$21:$O$33,1), MATCH(E307, F!$P$20:$AB$20,1)),0)  + IFERROR(Y307*INDEX(F!$P$21:$AB$33, MATCH(W307/$AH307, F!$O$21:$O$33,1), MATCH(E307, F!$P$20:$AB$20,1)),0)  + IFERROR( AC307*INDEX(F!$P$21:$AB$33, MATCH(AA307/$AH307, F!$O$21:$O$33,1), MATCH(E307, F!$P$20:$AB$20,1)),)</f>
        <v>0</v>
      </c>
      <c r="AL307" s="59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ht="15.75" hidden="1" customHeight="1">
      <c r="A308" s="59"/>
      <c r="B308" s="173" t="str">
        <f t="shared" ref="B308:F308" si="584">IF(B252="","",B252)</f>
        <v/>
      </c>
      <c r="C308" s="174" t="str">
        <f t="shared" si="584"/>
        <v/>
      </c>
      <c r="D308" s="175" t="str">
        <f t="shared" si="584"/>
        <v/>
      </c>
      <c r="E308" s="48" t="str">
        <f t="shared" si="584"/>
        <v/>
      </c>
      <c r="F308" s="176" t="str">
        <f t="shared" si="584"/>
        <v/>
      </c>
      <c r="G308" s="177" t="str">
        <f t="shared" si="570"/>
        <v/>
      </c>
      <c r="H308" s="178"/>
      <c r="I308" s="178"/>
      <c r="J308" s="179"/>
      <c r="K308" s="177" t="str">
        <f t="shared" si="571"/>
        <v/>
      </c>
      <c r="L308" s="178"/>
      <c r="M308" s="178"/>
      <c r="N308" s="179"/>
      <c r="O308" s="177" t="str">
        <f t="shared" si="572"/>
        <v/>
      </c>
      <c r="P308" s="178"/>
      <c r="Q308" s="178"/>
      <c r="R308" s="179"/>
      <c r="S308" s="177" t="str">
        <f t="shared" si="573"/>
        <v/>
      </c>
      <c r="T308" s="178"/>
      <c r="U308" s="178"/>
      <c r="V308" s="179"/>
      <c r="W308" s="177" t="str">
        <f t="shared" si="574"/>
        <v/>
      </c>
      <c r="X308" s="178"/>
      <c r="Y308" s="178"/>
      <c r="Z308" s="179"/>
      <c r="AA308" s="177" t="str">
        <f t="shared" si="575"/>
        <v/>
      </c>
      <c r="AB308" s="178"/>
      <c r="AC308" s="178"/>
      <c r="AD308" s="179"/>
      <c r="AE308" s="180">
        <f t="shared" si="576"/>
        <v>0</v>
      </c>
      <c r="AF308" s="181">
        <f t="shared" si="538"/>
        <v>0</v>
      </c>
      <c r="AG308" s="182">
        <f t="shared" si="577"/>
        <v>0</v>
      </c>
      <c r="AH308" s="76" t="str">
        <f t="shared" si="578"/>
        <v/>
      </c>
      <c r="AI308" s="181">
        <f> ( IF(ISNUMBER(G308), VLOOKUP(G308/$AH308,F!$A1:$B101,2,1)*G308*$H308*$I308,0)+IF(ISNUMBER(K308), VLOOKUP(K308/$AH308,F!$A1:$B101,2,1)*K308*$L308*$M308,0)+IF(ISNUMBER(O308), VLOOKUP(O308/$AH308,F!$A1:$B101,2,1)*O308*$P308*$Q308,0)+IF(ISNUMBER(S308), VLOOKUP(S308/$AH308,F!$A1:$B101,2,1)*S308*$T308*$U308,0)+IF(ISNUMBER(W308), VLOOKUP(W308/$AH308,F!$A1:$B101,2,1)*W308*$X308*$Y308,0)+IF(ISNUMBER(AA308), VLOOKUP(AA308/$AH308,F!$A1:$B101,2,1)*AA308*$AB308*$AC308,0))*IF(ISNUMBER(F308),F308,1)*IF(ISNUMBER(E308),E308,1)</f>
        <v>0</v>
      </c>
      <c r="AJ308" s="178">
        <f t="shared" si="579"/>
        <v>0</v>
      </c>
      <c r="AK308" s="183">
        <f t="array" ref="AK308">IFERROR(I308*INDEX(F!$P$21:$AB$33, MATCH(G308/$AH308, F!$O$21:$O$33,1), MATCH(E308, F!$P$20:$AB$20,1)), 0 ) +IFERROR( M308*INDEX(F!$P$21:$AB$33, MATCH(K308/$AH308, F!$O$21:$O$33,1), MATCH(E308, F!$P$20:$AB$20,1)),0) +  IFERROR( Q308*INDEX(F!$P$21:$AB$33, MATCH(O308/$AH308, F!$O$21:$O$33,1), MATCH(E308, F!$P$20:$AB$20,1)), 0) + IFERROR( U308*INDEX(F!$P$21:$AB$33, MATCH(S308/$AH308, F!$O$21:$O$33,1), MATCH(E308, F!$P$20:$AB$20,1)),0)  + IFERROR(Y308*INDEX(F!$P$21:$AB$33, MATCH(W308/$AH308, F!$O$21:$O$33,1), MATCH(E308, F!$P$20:$AB$20,1)),0)  + IFERROR( AC308*INDEX(F!$P$21:$AB$33, MATCH(AA308/$AH308, F!$O$21:$O$33,1), MATCH(E308, F!$P$20:$AB$20,1)),)</f>
        <v>0</v>
      </c>
      <c r="AL308" s="59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ht="15.75" hidden="1" customHeight="1">
      <c r="A309" s="59"/>
      <c r="B309" s="135" t="str">
        <f t="shared" ref="B309:F309" si="585">IF(B253="","",B253)</f>
        <v/>
      </c>
      <c r="C309" s="136" t="str">
        <f t="shared" si="585"/>
        <v/>
      </c>
      <c r="D309" s="137" t="str">
        <f t="shared" si="585"/>
        <v/>
      </c>
      <c r="E309" s="48" t="str">
        <f t="shared" si="585"/>
        <v/>
      </c>
      <c r="F309" s="138" t="str">
        <f t="shared" si="585"/>
        <v/>
      </c>
      <c r="G309" s="139" t="str">
        <f t="shared" si="570"/>
        <v/>
      </c>
      <c r="H309" s="140"/>
      <c r="I309" s="140"/>
      <c r="J309" s="141"/>
      <c r="K309" s="139" t="str">
        <f t="shared" si="571"/>
        <v/>
      </c>
      <c r="L309" s="140"/>
      <c r="M309" s="140"/>
      <c r="N309" s="141"/>
      <c r="O309" s="139" t="str">
        <f t="shared" si="572"/>
        <v/>
      </c>
      <c r="P309" s="140"/>
      <c r="Q309" s="140"/>
      <c r="R309" s="141"/>
      <c r="S309" s="139" t="str">
        <f t="shared" si="573"/>
        <v/>
      </c>
      <c r="T309" s="140"/>
      <c r="U309" s="140"/>
      <c r="V309" s="141"/>
      <c r="W309" s="139" t="str">
        <f t="shared" si="574"/>
        <v/>
      </c>
      <c r="X309" s="140"/>
      <c r="Y309" s="140"/>
      <c r="Z309" s="141"/>
      <c r="AA309" s="139" t="str">
        <f t="shared" si="575"/>
        <v/>
      </c>
      <c r="AB309" s="140"/>
      <c r="AC309" s="140"/>
      <c r="AD309" s="141"/>
      <c r="AE309" s="142">
        <f t="shared" si="576"/>
        <v>0</v>
      </c>
      <c r="AF309" s="143">
        <f t="shared" si="538"/>
        <v>0</v>
      </c>
      <c r="AG309" s="144">
        <f t="shared" si="577"/>
        <v>0</v>
      </c>
      <c r="AH309" s="76" t="str">
        <f t="shared" si="578"/>
        <v/>
      </c>
      <c r="AI309" s="143">
        <f> ( IF(ISNUMBER(G309), VLOOKUP(G309/$AH309,F!$A1:$B101,2,1)*G309*$H309*$I309,0)+IF(ISNUMBER(K309), VLOOKUP(K309/$AH309,F!$A1:$B101,2,1)*K309*$L309*$M309,0)+IF(ISNUMBER(O309), VLOOKUP(O309/$AH309,F!$A1:$B101,2,1)*O309*$P309*$Q309,0)+IF(ISNUMBER(S309), VLOOKUP(S309/$AH309,F!$A1:$B101,2,1)*S309*$T309*$U309,0)+IF(ISNUMBER(W309), VLOOKUP(W309/$AH309,F!$A1:$B101,2,1)*W309*$X309*$Y309,0)+IF(ISNUMBER(AA309), VLOOKUP(AA309/$AH309,F!$A1:$B101,2,1)*AA309*$AB309*$AC309,0))*IF(ISNUMBER(F309),F309,1)*IF(ISNUMBER(E309),E309,1)</f>
        <v>0</v>
      </c>
      <c r="AJ309" s="140">
        <f t="shared" si="579"/>
        <v>0</v>
      </c>
      <c r="AK309" s="145">
        <f t="array" ref="AK309">IFERROR(I309*INDEX(F!$P$21:$AB$33, MATCH(G309/$AH309, F!$O$21:$O$33,1), MATCH(E309, F!$P$20:$AB$20,1)), 0 ) +IFERROR( M309*INDEX(F!$P$21:$AB$33, MATCH(K309/$AH309, F!$O$21:$O$33,1), MATCH(E309, F!$P$20:$AB$20,1)),0) +  IFERROR( Q309*INDEX(F!$P$21:$AB$33, MATCH(O309/$AH309, F!$O$21:$O$33,1), MATCH(E309, F!$P$20:$AB$20,1)), 0) + IFERROR( U309*INDEX(F!$P$21:$AB$33, MATCH(S309/$AH309, F!$O$21:$O$33,1), MATCH(E309, F!$P$20:$AB$20,1)),0)  + IFERROR(Y309*INDEX(F!$P$21:$AB$33, MATCH(W309/$AH309, F!$O$21:$O$33,1), MATCH(E309, F!$P$20:$AB$20,1)),0)  + IFERROR( AC309*INDEX(F!$P$21:$AB$33, MATCH(AA309/$AH309, F!$O$21:$O$33,1), MATCH(E309, F!$P$20:$AB$20,1)),)</f>
        <v>0</v>
      </c>
      <c r="AL309" s="59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ht="15.75" hidden="1" customHeight="1">
      <c r="A310" s="98"/>
      <c r="B310" s="188"/>
      <c r="C310" s="189"/>
      <c r="D310" s="190"/>
      <c r="E310" s="102">
        <f>ROUND(IFERROR(SUMPRODUCT(AJ302:AJ309,E302:E309)/AJ310,0),3)</f>
        <v>0</v>
      </c>
      <c r="F310" s="191"/>
      <c r="G310" s="192"/>
      <c r="H310" s="193"/>
      <c r="I310" s="193"/>
      <c r="J310" s="194"/>
      <c r="K310" s="192"/>
      <c r="L310" s="193"/>
      <c r="M310" s="193"/>
      <c r="N310" s="194"/>
      <c r="O310" s="192"/>
      <c r="P310" s="193"/>
      <c r="Q310" s="193"/>
      <c r="R310" s="194"/>
      <c r="S310" s="192"/>
      <c r="T310" s="193"/>
      <c r="U310" s="193"/>
      <c r="V310" s="194"/>
      <c r="W310" s="192"/>
      <c r="X310" s="193"/>
      <c r="Y310" s="193"/>
      <c r="Z310" s="194"/>
      <c r="AA310" s="192"/>
      <c r="AB310" s="193"/>
      <c r="AC310" s="193"/>
      <c r="AD310" s="194"/>
      <c r="AE310" s="107">
        <f>SUM(AE302:AE309)</f>
        <v>0</v>
      </c>
      <c r="AF310" s="108">
        <f t="shared" si="538"/>
        <v>0</v>
      </c>
      <c r="AG310" s="109">
        <f>IFERROR(  SUMPRODUCT(AG302:AG309,AJ302:AJ309)/AJ310,0)</f>
        <v>0</v>
      </c>
      <c r="AH310" s="157"/>
      <c r="AI310" s="111">
        <f t="shared" ref="AI310:AJ310" si="586">SUM(AI302:AI309)</f>
        <v>0</v>
      </c>
      <c r="AJ310" s="111">
        <f t="shared" si="586"/>
        <v>0</v>
      </c>
      <c r="AK310" s="112">
        <f>IF(SUM(AK302:AK309)=0,TIME(,0,),TIME(,SUM(AK302:AK309)+F!$V$37,))</f>
        <v>0</v>
      </c>
      <c r="AL310" s="98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ht="15.0" hidden="1" customHeight="1">
      <c r="A311" s="25">
        <f>A312</f>
        <v>43820</v>
      </c>
      <c r="B311" s="26" t="str">
        <f t="shared" ref="B311:F311" si="587">IF(B255="","",B255)</f>
        <v/>
      </c>
      <c r="C311" s="27" t="str">
        <f t="shared" si="587"/>
        <v/>
      </c>
      <c r="D311" s="28" t="str">
        <f t="shared" si="587"/>
        <v/>
      </c>
      <c r="E311" s="29" t="str">
        <f t="shared" si="587"/>
        <v/>
      </c>
      <c r="F311" s="30" t="str">
        <f t="shared" si="587"/>
        <v/>
      </c>
      <c r="G311" s="31" t="str">
        <f t="shared" ref="G311:G318" si="589">IF(J311&lt;&gt;0, IFERROR(IF( $F311=2,  MROUND($AH311*J311,1),    IF( OR($F311="",$F311=1),   MROUND($AH311*J311,2.5),  MROUND($AH311*J311, 0.1))), "" ), "")</f>
        <v/>
      </c>
      <c r="H311" s="32"/>
      <c r="I311" s="32"/>
      <c r="J311" s="33"/>
      <c r="K311" s="31" t="str">
        <f t="shared" ref="K311:K318" si="590">IF(N311&lt;&gt;0, IFERROR(IF( $F311=2,  MROUND($AH311*N311,1),    IF( OR($F311="",$F311=1),   MROUND($AH311*N311,2.5),  MROUND($AH311*N311, 0.1))), "" ), "")</f>
        <v/>
      </c>
      <c r="L311" s="32"/>
      <c r="M311" s="32"/>
      <c r="N311" s="33"/>
      <c r="O311" s="31" t="str">
        <f t="shared" ref="O311:O318" si="591">IF(R311&lt;&gt;0, IFERROR(IF( $F311=2,  MROUND($AH311*R311,1),    IF( OR($F311="",$F311=1),   MROUND($AH311*R311,2.5),  MROUND($AH311*R311, 0.1))), "" ), "")</f>
        <v/>
      </c>
      <c r="P311" s="32"/>
      <c r="Q311" s="32"/>
      <c r="R311" s="33"/>
      <c r="S311" s="31" t="str">
        <f t="shared" ref="S311:S318" si="592">IF(V311&lt;&gt;0, IFERROR(IF( $F311=2,  MROUND($AH311*V311,1),    IF( OR($F311="",$F311=1),   MROUND($AH311*V311,2.5),  MROUND($AH311*V311, 0.1))), "" ), "")</f>
        <v/>
      </c>
      <c r="T311" s="32"/>
      <c r="U311" s="32"/>
      <c r="V311" s="33"/>
      <c r="W311" s="31" t="str">
        <f t="shared" ref="W311:W318" si="593">IF(Z311&lt;&gt;0, IFERROR(IF( $F311=2,  MROUND($AH311*Z311,1),    IF( OR($F311="",$F311=1),   MROUND($AH311*Z311,2.5),  MROUND($AH311*Z311, 0.1))), "" ), "")</f>
        <v/>
      </c>
      <c r="X311" s="32"/>
      <c r="Y311" s="32"/>
      <c r="Z311" s="33"/>
      <c r="AA311" s="31" t="str">
        <f t="shared" ref="AA311:AA318" si="594">IF(AD311&lt;&gt;0, IFERROR(IF( $F311=2,  MROUND($AH311*AD311,1),    IF( OR($F311="",$F311=1),   MROUND($AH311*AD311,2.5),  MROUND($AH311*AD311, 0.1))), "" ), "")</f>
        <v/>
      </c>
      <c r="AB311" s="32"/>
      <c r="AC311" s="32"/>
      <c r="AD311" s="33"/>
      <c r="AE311" s="35">
        <f t="shared" ref="AE311:AE318" si="595">(IF(ISNUMBER(G311),G311,0)*H311*I311+IF(ISNUMBER(K311),K311,1)*L311*M311+IF(ISNUMBER(O311),O311,1)*P311*Q311+IF(ISNUMBER(S311),S311,1)*T311*U311+IF(ISNUMBER(W311),W311,1)*X311*Y311+IF(ISNUMBER(AA311),AA311,1)*AB311*AC311)*IF(ISNUMBER(F311),F311,1)</f>
        <v>0</v>
      </c>
      <c r="AF311" s="36">
        <f t="shared" si="538"/>
        <v>0</v>
      </c>
      <c r="AG311" s="195">
        <f t="shared" ref="AG311:AG318" si="596">IFERROR((AF311/(AH311*IF(ISNUMBER(F311),F311,1))),0)</f>
        <v>0</v>
      </c>
      <c r="AH311" s="169" t="str">
        <f t="shared" ref="AH311:AH318" si="597">IF(ISNUMBER(AH255), AH255+(AH255*$AH$282),"")</f>
        <v/>
      </c>
      <c r="AI311" s="196">
        <f> ( IF(ISNUMBER(G311), VLOOKUP(G311/$AH311,F!$A1:$B101,2,1)*G311*$H311*$I311,0)+IF(ISNUMBER(K311), VLOOKUP(K311/$AH311,F!$A1:$B101,2,1)*K311*$L311*$M311,0)+IF(ISNUMBER(O311), VLOOKUP(O311/$AH311,F!$A1:$B101,2,1)*O311*$P311*$Q311,0)+IF(ISNUMBER(S311), VLOOKUP(S311/$AH311,F!$A1:$B101,2,1)*S311*$T311*$U311,0)+IF(ISNUMBER(W311), VLOOKUP(W311/$AH311,F!$A1:$B101,2,1)*W311*$X311*$Y311,0)+IF(ISNUMBER(AA311), VLOOKUP(AA311/$AH311,F!$A1:$B101,2,1)*AA311*$AB311*$AC311,0))*IF(ISNUMBER(F311),F311,1)*IF(ISNUMBER(E311),E311,1)</f>
        <v>0</v>
      </c>
      <c r="AJ311" s="40">
        <f t="shared" ref="AJ311:AJ318" si="598">H311*I311+L311*M311+P311*Q311+T311*U311+X311*Y311+AB311*AC311</f>
        <v>0</v>
      </c>
      <c r="AK311" s="41">
        <f t="array" ref="AK311">IFERROR(I311*INDEX(F!$P$21:$AB$33, MATCH(G311/$AH311, F!$O$21:$O$33,1), MATCH(E311, F!$P$20:$AB$20,1)), 0 ) +IFERROR( M311*INDEX(F!$P$21:$AB$33, MATCH(K311/$AH311, F!$O$21:$O$33,1), MATCH(E311, F!$P$20:$AB$20,1)),0) +  IFERROR( Q311*INDEX(F!$P$21:$AB$33, MATCH(O311/$AH311, F!$O$21:$O$33,1), MATCH(E311, F!$P$20:$AB$20,1)), 0) + IFERROR( U311*INDEX(F!$P$21:$AB$33, MATCH(S311/$AH311, F!$O$21:$O$33,1), MATCH(E311, F!$P$20:$AB$20,1)),0)  + IFERROR(Y311*INDEX(F!$P$21:$AB$33, MATCH(W311/$AH311, F!$O$21:$O$33,1), MATCH(E311, F!$P$20:$AB$20,1)),0)  + IFERROR( AC311*INDEX(F!$P$21:$AB$33, MATCH(AA311/$AH311, F!$O$21:$O$33,1), MATCH(E311, F!$P$20:$AB$20,1)),)</f>
        <v>0</v>
      </c>
      <c r="AL311" s="42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ht="15.75" hidden="1" customHeight="1">
      <c r="A312" s="44">
        <f>A256+A226</f>
        <v>43820</v>
      </c>
      <c r="B312" s="45" t="str">
        <f t="shared" ref="B312:F312" si="588">IF(B256="","",B256)</f>
        <v/>
      </c>
      <c r="C312" s="46" t="str">
        <f t="shared" si="588"/>
        <v/>
      </c>
      <c r="D312" s="47" t="str">
        <f t="shared" si="588"/>
        <v/>
      </c>
      <c r="E312" s="48" t="str">
        <f t="shared" si="588"/>
        <v/>
      </c>
      <c r="F312" s="49" t="str">
        <f t="shared" si="588"/>
        <v/>
      </c>
      <c r="G312" s="50" t="str">
        <f t="shared" si="589"/>
        <v/>
      </c>
      <c r="H312" s="51"/>
      <c r="I312" s="51"/>
      <c r="J312" s="52"/>
      <c r="K312" s="50" t="str">
        <f t="shared" si="590"/>
        <v/>
      </c>
      <c r="L312" s="51"/>
      <c r="M312" s="51"/>
      <c r="N312" s="52"/>
      <c r="O312" s="50" t="str">
        <f t="shared" si="591"/>
        <v/>
      </c>
      <c r="P312" s="51"/>
      <c r="Q312" s="51"/>
      <c r="R312" s="52"/>
      <c r="S312" s="50" t="str">
        <f t="shared" si="592"/>
        <v/>
      </c>
      <c r="T312" s="51"/>
      <c r="U312" s="51"/>
      <c r="V312" s="52"/>
      <c r="W312" s="50" t="str">
        <f t="shared" si="593"/>
        <v/>
      </c>
      <c r="X312" s="51"/>
      <c r="Y312" s="51"/>
      <c r="Z312" s="52"/>
      <c r="AA312" s="50" t="str">
        <f t="shared" si="594"/>
        <v/>
      </c>
      <c r="AB312" s="51"/>
      <c r="AC312" s="51"/>
      <c r="AD312" s="52"/>
      <c r="AE312" s="53">
        <f t="shared" si="595"/>
        <v>0</v>
      </c>
      <c r="AF312" s="54">
        <f t="shared" si="538"/>
        <v>0</v>
      </c>
      <c r="AG312" s="75">
        <f t="shared" si="596"/>
        <v>0</v>
      </c>
      <c r="AH312" s="76" t="str">
        <f t="shared" si="597"/>
        <v/>
      </c>
      <c r="AI312" s="77">
        <f> ( IF(ISNUMBER(G312), VLOOKUP(G312/$AH312,F!$A1:$B101,2,1)*G312*$H312*$I312,0)+IF(ISNUMBER(K312), VLOOKUP(K312/$AH312,F!$A1:$B101,2,1)*K312*$L312*$M312,0)+IF(ISNUMBER(O312), VLOOKUP(O312/$AH312,F!$A1:$B101,2,1)*O312*$P312*$Q312,0)+IF(ISNUMBER(S312), VLOOKUP(S312/$AH312,F!$A1:$B101,2,1)*S312*$T312*$U312,0)+IF(ISNUMBER(W312), VLOOKUP(W312/$AH312,F!$A1:$B101,2,1)*W312*$X312*$Y312,0)+IF(ISNUMBER(AA312), VLOOKUP(AA312/$AH312,F!$A1:$B101,2,1)*AA312*$AB312*$AC312,0))*IF(ISNUMBER(F312),F312,1)*IF(ISNUMBER(E312),E312,1)</f>
        <v>0</v>
      </c>
      <c r="AJ312" s="57">
        <f t="shared" si="598"/>
        <v>0</v>
      </c>
      <c r="AK312" s="58">
        <f t="array" ref="AK312">IFERROR(I312*INDEX(F!$P$21:$AB$33, MATCH(G312/$AH312, F!$O$21:$O$33,1), MATCH(E312, F!$P$20:$AB$20,1)), 0 ) +IFERROR( M312*INDEX(F!$P$21:$AB$33, MATCH(K312/$AH312, F!$O$21:$O$33,1), MATCH(E312, F!$P$20:$AB$20,1)),0) +  IFERROR( Q312*INDEX(F!$P$21:$AB$33, MATCH(O312/$AH312, F!$O$21:$O$33,1), MATCH(E312, F!$P$20:$AB$20,1)), 0) + IFERROR( U312*INDEX(F!$P$21:$AB$33, MATCH(S312/$AH312, F!$O$21:$O$33,1), MATCH(E312, F!$P$20:$AB$20,1)),0)  + IFERROR(Y312*INDEX(F!$P$21:$AB$33, MATCH(W312/$AH312, F!$O$21:$O$33,1), MATCH(E312, F!$P$20:$AB$20,1)),0)  + IFERROR( AC312*INDEX(F!$P$21:$AB$33, MATCH(AA312/$AH312, F!$O$21:$O$33,1), MATCH(E312, F!$P$20:$AB$20,1)),)</f>
        <v>0</v>
      </c>
      <c r="AL312" s="59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ht="15.75" hidden="1" customHeight="1">
      <c r="A313" s="59"/>
      <c r="B313" s="60" t="str">
        <f t="shared" ref="B313:F313" si="599">IF(B257="","",B257)</f>
        <v/>
      </c>
      <c r="C313" s="61" t="str">
        <f t="shared" si="599"/>
        <v/>
      </c>
      <c r="D313" s="62" t="str">
        <f t="shared" si="599"/>
        <v/>
      </c>
      <c r="E313" s="48" t="str">
        <f t="shared" si="599"/>
        <v/>
      </c>
      <c r="F313" s="63" t="str">
        <f t="shared" si="599"/>
        <v/>
      </c>
      <c r="G313" s="64" t="str">
        <f t="shared" si="589"/>
        <v/>
      </c>
      <c r="H313" s="34"/>
      <c r="I313" s="34"/>
      <c r="J313" s="65"/>
      <c r="K313" s="64" t="str">
        <f t="shared" si="590"/>
        <v/>
      </c>
      <c r="L313" s="34"/>
      <c r="M313" s="34"/>
      <c r="N313" s="65"/>
      <c r="O313" s="64" t="str">
        <f t="shared" si="591"/>
        <v/>
      </c>
      <c r="P313" s="34"/>
      <c r="Q313" s="34"/>
      <c r="R313" s="65"/>
      <c r="S313" s="64" t="str">
        <f t="shared" si="592"/>
        <v/>
      </c>
      <c r="T313" s="34"/>
      <c r="U313" s="34"/>
      <c r="V313" s="65"/>
      <c r="W313" s="64" t="str">
        <f t="shared" si="593"/>
        <v/>
      </c>
      <c r="X313" s="34"/>
      <c r="Y313" s="34"/>
      <c r="Z313" s="65"/>
      <c r="AA313" s="64" t="str">
        <f t="shared" si="594"/>
        <v/>
      </c>
      <c r="AB313" s="34"/>
      <c r="AC313" s="34"/>
      <c r="AD313" s="65"/>
      <c r="AE313" s="66">
        <f t="shared" si="595"/>
        <v>0</v>
      </c>
      <c r="AF313" s="67">
        <f t="shared" si="538"/>
        <v>0</v>
      </c>
      <c r="AG313" s="68">
        <f t="shared" si="596"/>
        <v>0</v>
      </c>
      <c r="AH313" s="76" t="str">
        <f t="shared" si="597"/>
        <v/>
      </c>
      <c r="AI313" s="70">
        <f> ( IF(ISNUMBER(G313), VLOOKUP(G313/$AH313,F!$A1:$B101,2,1)*G313*$H313*$I313,0)+IF(ISNUMBER(K313), VLOOKUP(K313/$AH313,F!$A1:$B101,2,1)*K313*$L313*$M313,0)+IF(ISNUMBER(O313), VLOOKUP(O313/$AH313,F!$A1:$B101,2,1)*O313*$P313*$Q313,0)+IF(ISNUMBER(S313), VLOOKUP(S313/$AH313,F!$A1:$B101,2,1)*S313*$T313*$U313,0)+IF(ISNUMBER(W313), VLOOKUP(W313/$AH313,F!$A1:$B101,2,1)*W313*$X313*$Y313,0)+IF(ISNUMBER(AA313), VLOOKUP(AA313/$AH313,F!$A1:$B101,2,1)*AA313*$AB313*$AC313,0))*IF(ISNUMBER(F313),F313,1)*IF(ISNUMBER(E313),E313,1)</f>
        <v>0</v>
      </c>
      <c r="AJ313" s="71">
        <f t="shared" si="598"/>
        <v>0</v>
      </c>
      <c r="AK313" s="72">
        <f t="array" ref="AK313">IFERROR(I313*INDEX(F!$P$21:$AB$33, MATCH(G313/$AH313, F!$O$21:$O$33,1), MATCH(E313, F!$P$20:$AB$20,1)), 0 ) +IFERROR( M313*INDEX(F!$P$21:$AB$33, MATCH(K313/$AH313, F!$O$21:$O$33,1), MATCH(E313, F!$P$20:$AB$20,1)),0) +  IFERROR( Q313*INDEX(F!$P$21:$AB$33, MATCH(O313/$AH313, F!$O$21:$O$33,1), MATCH(E313, F!$P$20:$AB$20,1)), 0) + IFERROR( U313*INDEX(F!$P$21:$AB$33, MATCH(S313/$AH313, F!$O$21:$O$33,1), MATCH(E313, F!$P$20:$AB$20,1)),0)  + IFERROR(Y313*INDEX(F!$P$21:$AB$33, MATCH(W313/$AH313, F!$O$21:$O$33,1), MATCH(E313, F!$P$20:$AB$20,1)),0)  + IFERROR( AC313*INDEX(F!$P$21:$AB$33, MATCH(AA313/$AH313, F!$O$21:$O$33,1), MATCH(E313, F!$P$20:$AB$20,1)),)</f>
        <v>0</v>
      </c>
      <c r="AL313" s="59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ht="15.75" hidden="1" customHeight="1">
      <c r="A314" s="59"/>
      <c r="B314" s="215" t="str">
        <f t="shared" ref="B314:F314" si="600">IF(B258="","",B258)</f>
        <v/>
      </c>
      <c r="C314" s="73" t="str">
        <f t="shared" si="600"/>
        <v/>
      </c>
      <c r="D314" s="47" t="str">
        <f t="shared" si="600"/>
        <v/>
      </c>
      <c r="E314" s="48" t="str">
        <f t="shared" si="600"/>
        <v/>
      </c>
      <c r="F314" s="74" t="str">
        <f t="shared" si="600"/>
        <v/>
      </c>
      <c r="G314" s="50" t="str">
        <f t="shared" si="589"/>
        <v/>
      </c>
      <c r="H314" s="51"/>
      <c r="I314" s="51"/>
      <c r="J314" s="52"/>
      <c r="K314" s="50" t="str">
        <f t="shared" si="590"/>
        <v/>
      </c>
      <c r="L314" s="51"/>
      <c r="M314" s="51"/>
      <c r="N314" s="52"/>
      <c r="O314" s="50" t="str">
        <f t="shared" si="591"/>
        <v/>
      </c>
      <c r="P314" s="51"/>
      <c r="Q314" s="51"/>
      <c r="R314" s="52"/>
      <c r="S314" s="50" t="str">
        <f t="shared" si="592"/>
        <v/>
      </c>
      <c r="T314" s="51"/>
      <c r="U314" s="51"/>
      <c r="V314" s="52"/>
      <c r="W314" s="50" t="str">
        <f t="shared" si="593"/>
        <v/>
      </c>
      <c r="X314" s="51"/>
      <c r="Y314" s="51"/>
      <c r="Z314" s="52"/>
      <c r="AA314" s="50" t="str">
        <f t="shared" si="594"/>
        <v/>
      </c>
      <c r="AB314" s="51"/>
      <c r="AC314" s="51"/>
      <c r="AD314" s="52"/>
      <c r="AE314" s="53">
        <f t="shared" si="595"/>
        <v>0</v>
      </c>
      <c r="AF314" s="54">
        <f t="shared" si="538"/>
        <v>0</v>
      </c>
      <c r="AG314" s="75">
        <f t="shared" si="596"/>
        <v>0</v>
      </c>
      <c r="AH314" s="76" t="str">
        <f t="shared" si="597"/>
        <v/>
      </c>
      <c r="AI314" s="77">
        <f> ( IF(ISNUMBER(G314), VLOOKUP(G314/$AH314,F!$A1:$B101,2,1)*G314*$H314*$I314,0)+IF(ISNUMBER(K314), VLOOKUP(K314/$AH314,F!$A1:$B101,2,1)*K314*$L314*$M314,0)+IF(ISNUMBER(O314), VLOOKUP(O314/$AH314,F!$A1:$B101,2,1)*O314*$P314*$Q314,0)+IF(ISNUMBER(S314), VLOOKUP(S314/$AH314,F!$A1:$B101,2,1)*S314*$T314*$U314,0)+IF(ISNUMBER(W314), VLOOKUP(W314/$AH314,F!$A1:$B101,2,1)*W314*$X314*$Y314,0)+IF(ISNUMBER(AA314), VLOOKUP(AA314/$AH314,F!$A1:$B101,2,1)*AA314*$AB314*$AC314,0))*IF(ISNUMBER(F314),F314,1)*IF(ISNUMBER(E314),E314,1)</f>
        <v>0</v>
      </c>
      <c r="AJ314" s="57">
        <f t="shared" si="598"/>
        <v>0</v>
      </c>
      <c r="AK314" s="58">
        <f t="array" ref="AK314">IFERROR(I314*INDEX(F!$P$21:$AB$33, MATCH(G314/$AH314, F!$O$21:$O$33,1), MATCH(E314, F!$P$20:$AB$20,1)), 0 ) +IFERROR( M314*INDEX(F!$P$21:$AB$33, MATCH(K314/$AH314, F!$O$21:$O$33,1), MATCH(E314, F!$P$20:$AB$20,1)),0) +  IFERROR( Q314*INDEX(F!$P$21:$AB$33, MATCH(O314/$AH314, F!$O$21:$O$33,1), MATCH(E314, F!$P$20:$AB$20,1)), 0) + IFERROR( U314*INDEX(F!$P$21:$AB$33, MATCH(S314/$AH314, F!$O$21:$O$33,1), MATCH(E314, F!$P$20:$AB$20,1)),0)  + IFERROR(Y314*INDEX(F!$P$21:$AB$33, MATCH(W314/$AH314, F!$O$21:$O$33,1), MATCH(E314, F!$P$20:$AB$20,1)),0)  + IFERROR( AC314*INDEX(F!$P$21:$AB$33, MATCH(AA314/$AH314, F!$O$21:$O$33,1), MATCH(E314, F!$P$20:$AB$20,1)),)</f>
        <v>0</v>
      </c>
      <c r="AL314" s="59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ht="15.75" hidden="1" customHeight="1">
      <c r="A315" s="59"/>
      <c r="B315" s="216" t="str">
        <f t="shared" ref="B315:F315" si="601">IF(B259="","",B259)</f>
        <v/>
      </c>
      <c r="C315" s="78" t="str">
        <f t="shared" si="601"/>
        <v/>
      </c>
      <c r="D315" s="62" t="str">
        <f t="shared" si="601"/>
        <v/>
      </c>
      <c r="E315" s="48" t="str">
        <f t="shared" si="601"/>
        <v/>
      </c>
      <c r="F315" s="79" t="str">
        <f t="shared" si="601"/>
        <v/>
      </c>
      <c r="G315" s="64" t="str">
        <f t="shared" si="589"/>
        <v/>
      </c>
      <c r="H315" s="34"/>
      <c r="I315" s="34"/>
      <c r="J315" s="65"/>
      <c r="K315" s="64" t="str">
        <f t="shared" si="590"/>
        <v/>
      </c>
      <c r="L315" s="34"/>
      <c r="M315" s="34"/>
      <c r="N315" s="65"/>
      <c r="O315" s="64" t="str">
        <f t="shared" si="591"/>
        <v/>
      </c>
      <c r="P315" s="34"/>
      <c r="Q315" s="34"/>
      <c r="R315" s="65"/>
      <c r="S315" s="64" t="str">
        <f t="shared" si="592"/>
        <v/>
      </c>
      <c r="T315" s="34"/>
      <c r="U315" s="34"/>
      <c r="V315" s="65"/>
      <c r="W315" s="64" t="str">
        <f t="shared" si="593"/>
        <v/>
      </c>
      <c r="X315" s="34"/>
      <c r="Y315" s="34"/>
      <c r="Z315" s="65"/>
      <c r="AA315" s="64" t="str">
        <f t="shared" si="594"/>
        <v/>
      </c>
      <c r="AB315" s="34"/>
      <c r="AC315" s="34"/>
      <c r="AD315" s="65"/>
      <c r="AE315" s="66">
        <f t="shared" si="595"/>
        <v>0</v>
      </c>
      <c r="AF315" s="67">
        <f t="shared" si="538"/>
        <v>0</v>
      </c>
      <c r="AG315" s="68">
        <f t="shared" si="596"/>
        <v>0</v>
      </c>
      <c r="AH315" s="76" t="str">
        <f t="shared" si="597"/>
        <v/>
      </c>
      <c r="AI315" s="70">
        <f> ( IF(ISNUMBER(G315), VLOOKUP(G315/$AH315,F!$A1:$B101,2,1)*G315*$H315*$I315,0)+IF(ISNUMBER(K315), VLOOKUP(K315/$AH315,F!$A1:$B101,2,1)*K315*$L315*$M315,0)+IF(ISNUMBER(O315), VLOOKUP(O315/$AH315,F!$A1:$B101,2,1)*O315*$P315*$Q315,0)+IF(ISNUMBER(S315), VLOOKUP(S315/$AH315,F!$A1:$B101,2,1)*S315*$T315*$U315,0)+IF(ISNUMBER(W315), VLOOKUP(W315/$AH315,F!$A1:$B101,2,1)*W315*$X315*$Y315,0)+IF(ISNUMBER(AA315), VLOOKUP(AA315/$AH315,F!$A1:$B101,2,1)*AA315*$AB315*$AC315,0))*IF(ISNUMBER(F315),F315,1)*IF(ISNUMBER(E315),E315,1)</f>
        <v>0</v>
      </c>
      <c r="AJ315" s="71">
        <f t="shared" si="598"/>
        <v>0</v>
      </c>
      <c r="AK315" s="72">
        <f t="array" ref="AK315">IFERROR(I315*INDEX(F!$P$21:$AB$33, MATCH(G315/$AH315, F!$O$21:$O$33,1), MATCH(E315, F!$P$20:$AB$20,1)), 0 ) +IFERROR( M315*INDEX(F!$P$21:$AB$33, MATCH(K315/$AH315, F!$O$21:$O$33,1), MATCH(E315, F!$P$20:$AB$20,1)),0) +  IFERROR( Q315*INDEX(F!$P$21:$AB$33, MATCH(O315/$AH315, F!$O$21:$O$33,1), MATCH(E315, F!$P$20:$AB$20,1)), 0) + IFERROR( U315*INDEX(F!$P$21:$AB$33, MATCH(S315/$AH315, F!$O$21:$O$33,1), MATCH(E315, F!$P$20:$AB$20,1)),0)  + IFERROR(Y315*INDEX(F!$P$21:$AB$33, MATCH(W315/$AH315, F!$O$21:$O$33,1), MATCH(E315, F!$P$20:$AB$20,1)),0)  + IFERROR( AC315*INDEX(F!$P$21:$AB$33, MATCH(AA315/$AH315, F!$O$21:$O$33,1), MATCH(E315, F!$P$20:$AB$20,1)),)</f>
        <v>0</v>
      </c>
      <c r="AL315" s="59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ht="15.75" hidden="1" customHeight="1">
      <c r="A316" s="59"/>
      <c r="B316" s="45" t="str">
        <f t="shared" ref="B316:F316" si="602">IF(B260="","",B260)</f>
        <v/>
      </c>
      <c r="C316" s="46" t="str">
        <f t="shared" si="602"/>
        <v/>
      </c>
      <c r="D316" s="197" t="str">
        <f t="shared" si="602"/>
        <v/>
      </c>
      <c r="E316" s="48" t="str">
        <f t="shared" si="602"/>
        <v/>
      </c>
      <c r="F316" s="83" t="str">
        <f t="shared" si="602"/>
        <v/>
      </c>
      <c r="G316" s="50" t="str">
        <f t="shared" si="589"/>
        <v/>
      </c>
      <c r="H316" s="51"/>
      <c r="I316" s="51"/>
      <c r="J316" s="52"/>
      <c r="K316" s="50" t="str">
        <f t="shared" si="590"/>
        <v/>
      </c>
      <c r="L316" s="51"/>
      <c r="M316" s="51"/>
      <c r="N316" s="52"/>
      <c r="O316" s="50" t="str">
        <f t="shared" si="591"/>
        <v/>
      </c>
      <c r="P316" s="51"/>
      <c r="Q316" s="51"/>
      <c r="R316" s="52"/>
      <c r="S316" s="50" t="str">
        <f t="shared" si="592"/>
        <v/>
      </c>
      <c r="T316" s="51"/>
      <c r="U316" s="51"/>
      <c r="V316" s="52"/>
      <c r="W316" s="50" t="str">
        <f t="shared" si="593"/>
        <v/>
      </c>
      <c r="X316" s="51"/>
      <c r="Y316" s="51"/>
      <c r="Z316" s="52"/>
      <c r="AA316" s="50" t="str">
        <f t="shared" si="594"/>
        <v/>
      </c>
      <c r="AB316" s="51"/>
      <c r="AC316" s="51"/>
      <c r="AD316" s="52"/>
      <c r="AE316" s="53">
        <f t="shared" si="595"/>
        <v>0</v>
      </c>
      <c r="AF316" s="54">
        <f t="shared" si="538"/>
        <v>0</v>
      </c>
      <c r="AG316" s="75">
        <f t="shared" si="596"/>
        <v>0</v>
      </c>
      <c r="AH316" s="76" t="str">
        <f t="shared" si="597"/>
        <v/>
      </c>
      <c r="AI316" s="77">
        <f> ( IF(ISNUMBER(G316), VLOOKUP(G316/$AH316,F!$A1:$B101,2,1)*G316*$H316*$I316,0)+IF(ISNUMBER(K316), VLOOKUP(K316/$AH316,F!$A1:$B101,2,1)*K316*$L316*$M316,0)+IF(ISNUMBER(O316), VLOOKUP(O316/$AH316,F!$A1:$B101,2,1)*O316*$P316*$Q316,0)+IF(ISNUMBER(S316), VLOOKUP(S316/$AH316,F!$A1:$B101,2,1)*S316*$T316*$U316,0)+IF(ISNUMBER(W316), VLOOKUP(W316/$AH316,F!$A1:$B101,2,1)*W316*$X316*$Y316,0)+IF(ISNUMBER(AA316), VLOOKUP(AA316/$AH316,F!$A1:$B101,2,1)*AA316*$AB316*$AC316,0))*IF(ISNUMBER(F316),F316,1)*IF(ISNUMBER(E316),E316,1)</f>
        <v>0</v>
      </c>
      <c r="AJ316" s="86">
        <f t="shared" si="598"/>
        <v>0</v>
      </c>
      <c r="AK316" s="58">
        <f t="array" ref="AK316">IFERROR(I316*INDEX(F!$P$21:$AB$33, MATCH(G316/$AH316, F!$O$21:$O$33,1), MATCH(E316, F!$P$20:$AB$20,1)), 0 ) +IFERROR( M316*INDEX(F!$P$21:$AB$33, MATCH(K316/$AH316, F!$O$21:$O$33,1), MATCH(E316, F!$P$20:$AB$20,1)),0) +  IFERROR( Q316*INDEX(F!$P$21:$AB$33, MATCH(O316/$AH316, F!$O$21:$O$33,1), MATCH(E316, F!$P$20:$AB$20,1)), 0) + IFERROR( U316*INDEX(F!$P$21:$AB$33, MATCH(S316/$AH316, F!$O$21:$O$33,1), MATCH(E316, F!$P$20:$AB$20,1)),0)  + IFERROR(Y316*INDEX(F!$P$21:$AB$33, MATCH(W316/$AH316, F!$O$21:$O$33,1), MATCH(E316, F!$P$20:$AB$20,1)),0)  + IFERROR( AC316*INDEX(F!$P$21:$AB$33, MATCH(AA316/$AH316, F!$O$21:$O$33,1), MATCH(E316, F!$P$20:$AB$20,1)),)</f>
        <v>0</v>
      </c>
      <c r="AL316" s="59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ht="15.75" hidden="1" customHeight="1">
      <c r="A317" s="59"/>
      <c r="B317" s="60" t="str">
        <f t="shared" ref="B317:F317" si="603">IF(B261="","",B261)</f>
        <v/>
      </c>
      <c r="C317" s="61" t="str">
        <f t="shared" si="603"/>
        <v/>
      </c>
      <c r="D317" s="198" t="str">
        <f t="shared" si="603"/>
        <v/>
      </c>
      <c r="E317" s="48" t="str">
        <f t="shared" si="603"/>
        <v/>
      </c>
      <c r="F317" s="79" t="str">
        <f t="shared" si="603"/>
        <v/>
      </c>
      <c r="G317" s="64" t="str">
        <f t="shared" si="589"/>
        <v/>
      </c>
      <c r="H317" s="34"/>
      <c r="I317" s="34"/>
      <c r="J317" s="65"/>
      <c r="K317" s="64" t="str">
        <f t="shared" si="590"/>
        <v/>
      </c>
      <c r="L317" s="34"/>
      <c r="M317" s="34"/>
      <c r="N317" s="65"/>
      <c r="O317" s="64" t="str">
        <f t="shared" si="591"/>
        <v/>
      </c>
      <c r="P317" s="34"/>
      <c r="Q317" s="34"/>
      <c r="R317" s="65"/>
      <c r="S317" s="64" t="str">
        <f t="shared" si="592"/>
        <v/>
      </c>
      <c r="T317" s="34"/>
      <c r="U317" s="34"/>
      <c r="V317" s="65"/>
      <c r="W317" s="64" t="str">
        <f t="shared" si="593"/>
        <v/>
      </c>
      <c r="X317" s="34"/>
      <c r="Y317" s="34"/>
      <c r="Z317" s="65"/>
      <c r="AA317" s="64" t="str">
        <f t="shared" si="594"/>
        <v/>
      </c>
      <c r="AB317" s="34"/>
      <c r="AC317" s="34"/>
      <c r="AD317" s="65"/>
      <c r="AE317" s="66">
        <f t="shared" si="595"/>
        <v>0</v>
      </c>
      <c r="AF317" s="67">
        <f t="shared" si="538"/>
        <v>0</v>
      </c>
      <c r="AG317" s="68">
        <f t="shared" si="596"/>
        <v>0</v>
      </c>
      <c r="AH317" s="76" t="str">
        <f t="shared" si="597"/>
        <v/>
      </c>
      <c r="AI317" s="90">
        <f> ( IF(ISNUMBER(G317), VLOOKUP(G317/$AH317,F!$A1:$B101,2,1)*G317*$H317*$I317,0)+IF(ISNUMBER(K317), VLOOKUP(K317/$AH317,F!$A1:$B101,2,1)*K317*$L317*$M317,0)+IF(ISNUMBER(O317), VLOOKUP(O317/$AH317,F!$A1:$B101,2,1)*O317*$P317*$Q317,0)+IF(ISNUMBER(S317), VLOOKUP(S317/$AH317,F!$A1:$B101,2,1)*S317*$T317*$U317,0)+IF(ISNUMBER(W317), VLOOKUP(W317/$AH317,F!$A1:$B101,2,1)*W317*$X317*$Y317,0)+IF(ISNUMBER(AA317), VLOOKUP(AA317/$AH317,F!$A1:$B101,2,1)*AA317*$AB317*$AC317,0))*IF(ISNUMBER(F317),F317,1)*IF(ISNUMBER(E317),E317,1)</f>
        <v>0</v>
      </c>
      <c r="AJ317" s="34">
        <f t="shared" si="598"/>
        <v>0</v>
      </c>
      <c r="AK317" s="91">
        <f t="array" ref="AK317">IFERROR(I317*INDEX(F!$P$21:$AB$33, MATCH(G317/$AH317, F!$O$21:$O$33,1), MATCH(E317, F!$P$20:$AB$20,1)), 0 ) +IFERROR( M317*INDEX(F!$P$21:$AB$33, MATCH(K317/$AH317, F!$O$21:$O$33,1), MATCH(E317, F!$P$20:$AB$20,1)),0) +  IFERROR( Q317*INDEX(F!$P$21:$AB$33, MATCH(O317/$AH317, F!$O$21:$O$33,1), MATCH(E317, F!$P$20:$AB$20,1)), 0) + IFERROR( U317*INDEX(F!$P$21:$AB$33, MATCH(S317/$AH317, F!$O$21:$O$33,1), MATCH(E317, F!$P$20:$AB$20,1)),0)  + IFERROR(Y317*INDEX(F!$P$21:$AB$33, MATCH(W317/$AH317, F!$O$21:$O$33,1), MATCH(E317, F!$P$20:$AB$20,1)),0)  + IFERROR( AC317*INDEX(F!$P$21:$AB$33, MATCH(AA317/$AH317, F!$O$21:$O$33,1), MATCH(E317, F!$P$20:$AB$20,1)),)</f>
        <v>0</v>
      </c>
      <c r="AL317" s="59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ht="15.75" hidden="1" customHeight="1">
      <c r="A318" s="59"/>
      <c r="B318" s="45" t="str">
        <f t="shared" ref="B318:F318" si="604">IF(B262="","",B262)</f>
        <v/>
      </c>
      <c r="C318" s="46" t="str">
        <f t="shared" si="604"/>
        <v/>
      </c>
      <c r="D318" s="92" t="str">
        <f t="shared" si="604"/>
        <v/>
      </c>
      <c r="E318" s="48" t="str">
        <f t="shared" si="604"/>
        <v/>
      </c>
      <c r="F318" s="74" t="str">
        <f t="shared" si="604"/>
        <v/>
      </c>
      <c r="G318" s="50" t="str">
        <f t="shared" si="589"/>
        <v/>
      </c>
      <c r="H318" s="51"/>
      <c r="I318" s="51"/>
      <c r="J318" s="52"/>
      <c r="K318" s="50" t="str">
        <f t="shared" si="590"/>
        <v/>
      </c>
      <c r="L318" s="51"/>
      <c r="M318" s="51"/>
      <c r="N318" s="52"/>
      <c r="O318" s="50" t="str">
        <f t="shared" si="591"/>
        <v/>
      </c>
      <c r="P318" s="51"/>
      <c r="Q318" s="51"/>
      <c r="R318" s="52"/>
      <c r="S318" s="50" t="str">
        <f t="shared" si="592"/>
        <v/>
      </c>
      <c r="T318" s="51"/>
      <c r="U318" s="51"/>
      <c r="V318" s="52"/>
      <c r="W318" s="50" t="str">
        <f t="shared" si="593"/>
        <v/>
      </c>
      <c r="X318" s="51"/>
      <c r="Y318" s="51"/>
      <c r="Z318" s="52"/>
      <c r="AA318" s="50" t="str">
        <f t="shared" si="594"/>
        <v/>
      </c>
      <c r="AB318" s="51"/>
      <c r="AC318" s="51"/>
      <c r="AD318" s="52"/>
      <c r="AE318" s="53">
        <f t="shared" si="595"/>
        <v>0</v>
      </c>
      <c r="AF318" s="93">
        <f t="shared" si="538"/>
        <v>0</v>
      </c>
      <c r="AG318" s="94">
        <f t="shared" si="596"/>
        <v>0</v>
      </c>
      <c r="AH318" s="76" t="str">
        <f t="shared" si="597"/>
        <v/>
      </c>
      <c r="AI318" s="95">
        <f> ( IF(ISNUMBER(G318), VLOOKUP(G318/$AH318,F!$A1:$B101,2,1)*G318*$H318*$I318,0)+IF(ISNUMBER(K318), VLOOKUP(K318/$AH318,F!$A1:$B101,2,1)*K318*$L318*$M318,0)+IF(ISNUMBER(O318), VLOOKUP(O318/$AH318,F!$A1:$B101,2,1)*O318*$P318*$Q318,0)+IF(ISNUMBER(S318), VLOOKUP(S318/$AH318,F!$A1:$B101,2,1)*S318*$T318*$U318,0)+IF(ISNUMBER(W318), VLOOKUP(W318/$AH318,F!$A1:$B101,2,1)*W318*$X318*$Y318,0)+IF(ISNUMBER(AA318), VLOOKUP(AA318/$AH318,F!$A1:$B101,2,1)*AA318*$AB318*$AC318,0))*IF(ISNUMBER(F318),F318,1)*IF(ISNUMBER(E318),E318,1)</f>
        <v>0</v>
      </c>
      <c r="AJ318" s="96">
        <f t="shared" si="598"/>
        <v>0</v>
      </c>
      <c r="AK318" s="97">
        <f t="array" ref="AK318">IFERROR(I318*INDEX(F!$P$21:$AB$33, MATCH(G318/$AH318, F!$O$21:$O$33,1), MATCH(E318, F!$P$20:$AB$20,1)), 0 ) +IFERROR( M318*INDEX(F!$P$21:$AB$33, MATCH(K318/$AH318, F!$O$21:$O$33,1), MATCH(E318, F!$P$20:$AB$20,1)),0) +  IFERROR( Q318*INDEX(F!$P$21:$AB$33, MATCH(O318/$AH318, F!$O$21:$O$33,1), MATCH(E318, F!$P$20:$AB$20,1)), 0) + IFERROR( U318*INDEX(F!$P$21:$AB$33, MATCH(S318/$AH318, F!$O$21:$O$33,1), MATCH(E318, F!$P$20:$AB$20,1)),0)  + IFERROR(Y318*INDEX(F!$P$21:$AB$33, MATCH(W318/$AH318, F!$O$21:$O$33,1), MATCH(E318, F!$P$20:$AB$20,1)),0)  + IFERROR( AC318*INDEX(F!$P$21:$AB$33, MATCH(AA318/$AH318, F!$O$21:$O$33,1), MATCH(E318, F!$P$20:$AB$20,1)),)</f>
        <v>0</v>
      </c>
      <c r="AL318" s="59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ht="15.75" hidden="1" customHeight="1">
      <c r="A319" s="98"/>
      <c r="B319" s="99"/>
      <c r="C319" s="100"/>
      <c r="D319" s="101"/>
      <c r="E319" s="102">
        <f>ROUND(IFERROR(SUMPRODUCT(AJ311:AJ318,E311:E318)/AJ319,0),3)</f>
        <v>0</v>
      </c>
      <c r="F319" s="199"/>
      <c r="G319" s="104"/>
      <c r="H319" s="105"/>
      <c r="I319" s="105"/>
      <c r="J319" s="106"/>
      <c r="K319" s="104"/>
      <c r="L319" s="105"/>
      <c r="M319" s="105"/>
      <c r="N319" s="106"/>
      <c r="O319" s="104"/>
      <c r="P319" s="105"/>
      <c r="Q319" s="105"/>
      <c r="R319" s="106"/>
      <c r="S319" s="104"/>
      <c r="T319" s="105"/>
      <c r="U319" s="105"/>
      <c r="V319" s="106"/>
      <c r="W319" s="104"/>
      <c r="X319" s="105"/>
      <c r="Y319" s="105"/>
      <c r="Z319" s="106"/>
      <c r="AA319" s="104"/>
      <c r="AB319" s="105"/>
      <c r="AC319" s="105"/>
      <c r="AD319" s="106"/>
      <c r="AE319" s="107">
        <f>SUM(AE311:AE318)</f>
        <v>0</v>
      </c>
      <c r="AF319" s="108">
        <f t="shared" si="538"/>
        <v>0</v>
      </c>
      <c r="AG319" s="109">
        <f>IFERROR(  SUMPRODUCT(AG311:AG318,AJ311:AJ318)/AJ319,0)</f>
        <v>0</v>
      </c>
      <c r="AH319" s="157"/>
      <c r="AI319" s="111">
        <f t="shared" ref="AI319:AJ319" si="605">SUM(AI311:AI318)</f>
        <v>0</v>
      </c>
      <c r="AJ319" s="111">
        <f t="shared" si="605"/>
        <v>0</v>
      </c>
      <c r="AK319" s="112">
        <f>IF(SUM(AK311:AK318)=0,TIME(,0,),TIME(,SUM(AK311:AK318)+F!$V$37,))</f>
        <v>0</v>
      </c>
      <c r="AL319" s="98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ht="15.0" hidden="1" customHeight="1">
      <c r="A320" s="113">
        <f>A321</f>
        <v>43821</v>
      </c>
      <c r="B320" s="114" t="str">
        <f t="shared" ref="B320:F320" si="606">IF(B264="","",B264)</f>
        <v/>
      </c>
      <c r="C320" s="115" t="str">
        <f t="shared" si="606"/>
        <v/>
      </c>
      <c r="D320" s="116" t="str">
        <f t="shared" si="606"/>
        <v/>
      </c>
      <c r="E320" s="29" t="str">
        <f t="shared" si="606"/>
        <v/>
      </c>
      <c r="F320" s="117" t="str">
        <f t="shared" si="606"/>
        <v/>
      </c>
      <c r="G320" s="118" t="str">
        <f t="shared" ref="G320:G327" si="608">IF(J320&lt;&gt;0, IFERROR(IF( $F320=2,  MROUND($AH320*J320,1),    IF( OR($F320="",$F320=1),   MROUND($AH320*J320,2.5),  MROUND($AH320*J320, 0.1))), "" ), "")</f>
        <v/>
      </c>
      <c r="H320" s="119"/>
      <c r="I320" s="119"/>
      <c r="J320" s="120"/>
      <c r="K320" s="118" t="str">
        <f t="shared" ref="K320:K327" si="609">IF(N320&lt;&gt;0, IFERROR(IF( $F320=2,  MROUND($AH320*N320,1),    IF( OR($F320="",$F320=1),   MROUND($AH320*N320,2.5),  MROUND($AH320*N320, 0.1))), "" ), "")</f>
        <v/>
      </c>
      <c r="L320" s="119"/>
      <c r="M320" s="119"/>
      <c r="N320" s="120"/>
      <c r="O320" s="118" t="str">
        <f t="shared" ref="O320:O327" si="610">IF(R320&lt;&gt;0, IFERROR(IF( $F320=2,  MROUND($AH320*R320,1),    IF( OR($F320="",$F320=1),   MROUND($AH320*R320,2.5),  MROUND($AH320*R320, 0.1))), "" ), "")</f>
        <v/>
      </c>
      <c r="P320" s="119"/>
      <c r="Q320" s="119"/>
      <c r="R320" s="120"/>
      <c r="S320" s="118" t="str">
        <f t="shared" ref="S320:S327" si="611">IF(V320&lt;&gt;0, IFERROR(IF( $F320=2,  MROUND($AH320*V320,1),    IF( OR($F320="",$F320=1),   MROUND($AH320*V320,2.5),  MROUND($AH320*V320, 0.1))), "" ), "")</f>
        <v/>
      </c>
      <c r="T320" s="119"/>
      <c r="U320" s="119"/>
      <c r="V320" s="120"/>
      <c r="W320" s="118" t="str">
        <f t="shared" ref="W320:W327" si="612">IF(Z320&lt;&gt;0, IFERROR(IF( $F320=2,  MROUND($AH320*Z320,1),    IF( OR($F320="",$F320=1),   MROUND($AH320*Z320,2.5),  MROUND($AH320*Z320, 0.1))), "" ), "")</f>
        <v/>
      </c>
      <c r="X320" s="119"/>
      <c r="Y320" s="119"/>
      <c r="Z320" s="120"/>
      <c r="AA320" s="118" t="str">
        <f t="shared" ref="AA320:AA327" si="613">IF(AD320&lt;&gt;0, IFERROR(IF( $F320=2,  MROUND($AH320*AD320,1),    IF( OR($F320="",$F320=1),   MROUND($AH320*AD320,2.5),  MROUND($AH320*AD320, 0.1))), "" ), "")</f>
        <v/>
      </c>
      <c r="AB320" s="119"/>
      <c r="AC320" s="119"/>
      <c r="AD320" s="120"/>
      <c r="AE320" s="121">
        <f t="shared" ref="AE320:AE327" si="614">(IF(ISNUMBER(G320),G320,0)*H320*I320+IF(ISNUMBER(K320),K320,1)*L320*M320+IF(ISNUMBER(O320),O320,1)*P320*Q320+IF(ISNUMBER(S320),S320,1)*T320*U320+IF(ISNUMBER(W320),W320,1)*X320*Y320+IF(ISNUMBER(AA320),AA320,1)*AB320*AC320)*IF(ISNUMBER(F320),F320,1)</f>
        <v>0</v>
      </c>
      <c r="AF320" s="122">
        <f t="shared" si="538"/>
        <v>0</v>
      </c>
      <c r="AG320" s="200">
        <f t="shared" ref="AG320:AG327" si="615">IFERROR((AF320/(AH320*IF(ISNUMBER(F320),F320,1))),0)</f>
        <v>0</v>
      </c>
      <c r="AH320" s="169" t="str">
        <f t="shared" ref="AH320:AH327" si="616">IF(ISNUMBER(AH264), AH264+(AH264*$AH$282),"")</f>
        <v/>
      </c>
      <c r="AI320" s="122">
        <f> ( IF(ISNUMBER(G320), VLOOKUP(G320/$AH320,F!$A1:$B101,2,1)*G320*$H320*$I320,0)+IF(ISNUMBER(K320), VLOOKUP(K320/$AH320,F!$A1:$B101,2,1)*K320*$L320*$M320,0)+IF(ISNUMBER(O320), VLOOKUP(O320/$AH320,F!$A1:$B101,2,1)*O320*$P320*$Q320,0)+IF(ISNUMBER(S320), VLOOKUP(S320/$AH320,F!$A1:$B101,2,1)*S320*$T320*$U320,0)+IF(ISNUMBER(W320), VLOOKUP(W320/$AH320,F!$A1:$B101,2,1)*W320*$X320*$Y320,0)+IF(ISNUMBER(AA320), VLOOKUP(AA320/$AH320,F!$A1:$B101,2,1)*AA320*$AB320*$AC320,0))*IF(ISNUMBER(F320),F320,1)*IF(ISNUMBER(E320),E320,1)</f>
        <v>0</v>
      </c>
      <c r="AJ320" s="119">
        <f t="shared" ref="AJ320:AJ327" si="617">H320*I320+L320*M320+P320*Q320+T320*U320+X320*Y320+AB320*AC320</f>
        <v>0</v>
      </c>
      <c r="AK320" s="125">
        <f t="array" ref="AK320">IFERROR(I320*INDEX(F!$P$21:$AB$33, MATCH(G320/$AH320, F!$O$21:$O$33,1), MATCH(E320, F!$P$20:$AB$20,1)), 0 ) +IFERROR( M320*INDEX(F!$P$21:$AB$33, MATCH(K320/$AH320, F!$O$21:$O$33,1), MATCH(E320, F!$P$20:$AB$20,1)),0) +  IFERROR( Q320*INDEX(F!$P$21:$AB$33, MATCH(O320/$AH320, F!$O$21:$O$33,1), MATCH(E320, F!$P$20:$AB$20,1)), 0) + IFERROR( U320*INDEX(F!$P$21:$AB$33, MATCH(S320/$AH320, F!$O$21:$O$33,1), MATCH(E320, F!$P$20:$AB$20,1)),0)  + IFERROR(Y320*INDEX(F!$P$21:$AB$33, MATCH(W320/$AH320, F!$O$21:$O$33,1), MATCH(E320, F!$P$20:$AB$20,1)),0)  + IFERROR( AC320*INDEX(F!$P$21:$AB$33, MATCH(AA320/$AH320, F!$O$21:$O$33,1), MATCH(E320, F!$P$20:$AB$20,1)),)</f>
        <v>0</v>
      </c>
      <c r="AL320" s="42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ht="15.75" hidden="1" customHeight="1">
      <c r="A321" s="44">
        <f>A265+A226</f>
        <v>43821</v>
      </c>
      <c r="B321" s="126" t="str">
        <f t="shared" ref="B321:F321" si="607">IF(B265="","",B265)</f>
        <v/>
      </c>
      <c r="C321" s="127" t="str">
        <f t="shared" si="607"/>
        <v/>
      </c>
      <c r="D321" s="128" t="str">
        <f t="shared" si="607"/>
        <v/>
      </c>
      <c r="E321" s="48" t="str">
        <f t="shared" si="607"/>
        <v/>
      </c>
      <c r="F321" s="129" t="str">
        <f t="shared" si="607"/>
        <v/>
      </c>
      <c r="G321" s="130" t="str">
        <f t="shared" si="608"/>
        <v/>
      </c>
      <c r="H321" s="34"/>
      <c r="I321" s="34"/>
      <c r="J321" s="65"/>
      <c r="K321" s="130" t="str">
        <f t="shared" si="609"/>
        <v/>
      </c>
      <c r="L321" s="34"/>
      <c r="M321" s="34"/>
      <c r="N321" s="65"/>
      <c r="O321" s="130" t="str">
        <f t="shared" si="610"/>
        <v/>
      </c>
      <c r="P321" s="34"/>
      <c r="Q321" s="34"/>
      <c r="R321" s="65"/>
      <c r="S321" s="130" t="str">
        <f t="shared" si="611"/>
        <v/>
      </c>
      <c r="T321" s="34"/>
      <c r="U321" s="34"/>
      <c r="V321" s="65"/>
      <c r="W321" s="130" t="str">
        <f t="shared" si="612"/>
        <v/>
      </c>
      <c r="X321" s="34"/>
      <c r="Y321" s="34"/>
      <c r="Z321" s="65"/>
      <c r="AA321" s="130" t="str">
        <f t="shared" si="613"/>
        <v/>
      </c>
      <c r="AB321" s="34"/>
      <c r="AC321" s="34"/>
      <c r="AD321" s="65"/>
      <c r="AE321" s="131">
        <f t="shared" si="614"/>
        <v>0</v>
      </c>
      <c r="AF321" s="132">
        <f t="shared" si="538"/>
        <v>0</v>
      </c>
      <c r="AG321" s="133">
        <f t="shared" si="615"/>
        <v>0</v>
      </c>
      <c r="AH321" s="76" t="str">
        <f t="shared" si="616"/>
        <v/>
      </c>
      <c r="AI321" s="132">
        <f> ( IF(ISNUMBER(G321), VLOOKUP(G321/$AH321,F!$A1:$B101,2,1)*G321*$H321*$I321,0)+IF(ISNUMBER(K321), VLOOKUP(K321/$AH321,F!$A1:$B101,2,1)*K321*$L321*$M321,0)+IF(ISNUMBER(O321), VLOOKUP(O321/$AH321,F!$A1:$B101,2,1)*O321*$P321*$Q321,0)+IF(ISNUMBER(S321), VLOOKUP(S321/$AH321,F!$A1:$B101,2,1)*S321*$T321*$U321,0)+IF(ISNUMBER(W321), VLOOKUP(W321/$AH321,F!$A1:$B101,2,1)*W321*$X321*$Y321,0)+IF(ISNUMBER(AA321), VLOOKUP(AA321/$AH321,F!$A1:$B101,2,1)*AA321*$AB321*$AC321,0))*IF(ISNUMBER(F321),F321,1)*IF(ISNUMBER(E321),E321,1)</f>
        <v>0</v>
      </c>
      <c r="AJ321" s="34">
        <f t="shared" si="617"/>
        <v>0</v>
      </c>
      <c r="AK321" s="134">
        <f t="array" ref="AK321">IFERROR(I321*INDEX(F!$P$21:$AB$33, MATCH(G321/$AH321, F!$O$21:$O$33,1), MATCH(E321, F!$P$20:$AB$20,1)), 0 ) +IFERROR( M321*INDEX(F!$P$21:$AB$33, MATCH(K321/$AH321, F!$O$21:$O$33,1), MATCH(E321, F!$P$20:$AB$20,1)),0) +  IFERROR( Q321*INDEX(F!$P$21:$AB$33, MATCH(O321/$AH321, F!$O$21:$O$33,1), MATCH(E321, F!$P$20:$AB$20,1)), 0) + IFERROR( U321*INDEX(F!$P$21:$AB$33, MATCH(S321/$AH321, F!$O$21:$O$33,1), MATCH(E321, F!$P$20:$AB$20,1)),0)  + IFERROR(Y321*INDEX(F!$P$21:$AB$33, MATCH(W321/$AH321, F!$O$21:$O$33,1), MATCH(E321, F!$P$20:$AB$20,1)),0)  + IFERROR( AC321*INDEX(F!$P$21:$AB$33, MATCH(AA321/$AH321, F!$O$21:$O$33,1), MATCH(E321, F!$P$20:$AB$20,1)),)</f>
        <v>0</v>
      </c>
      <c r="AL321" s="59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ht="15.75" hidden="1" customHeight="1">
      <c r="A322" s="59"/>
      <c r="B322" s="135" t="str">
        <f t="shared" ref="B322:F322" si="618">IF(B266="","",B266)</f>
        <v/>
      </c>
      <c r="C322" s="136" t="str">
        <f t="shared" si="618"/>
        <v/>
      </c>
      <c r="D322" s="137" t="str">
        <f t="shared" si="618"/>
        <v/>
      </c>
      <c r="E322" s="48" t="str">
        <f t="shared" si="618"/>
        <v/>
      </c>
      <c r="F322" s="138" t="str">
        <f t="shared" si="618"/>
        <v/>
      </c>
      <c r="G322" s="139" t="str">
        <f t="shared" si="608"/>
        <v/>
      </c>
      <c r="H322" s="140"/>
      <c r="I322" s="140"/>
      <c r="J322" s="141"/>
      <c r="K322" s="139" t="str">
        <f t="shared" si="609"/>
        <v/>
      </c>
      <c r="L322" s="140"/>
      <c r="M322" s="140"/>
      <c r="N322" s="141"/>
      <c r="O322" s="139" t="str">
        <f t="shared" si="610"/>
        <v/>
      </c>
      <c r="P322" s="140"/>
      <c r="Q322" s="140"/>
      <c r="R322" s="141"/>
      <c r="S322" s="139" t="str">
        <f t="shared" si="611"/>
        <v/>
      </c>
      <c r="T322" s="140"/>
      <c r="U322" s="140"/>
      <c r="V322" s="141"/>
      <c r="W322" s="139" t="str">
        <f t="shared" si="612"/>
        <v/>
      </c>
      <c r="X322" s="140"/>
      <c r="Y322" s="140"/>
      <c r="Z322" s="141"/>
      <c r="AA322" s="139" t="str">
        <f t="shared" si="613"/>
        <v/>
      </c>
      <c r="AB322" s="140"/>
      <c r="AC322" s="140"/>
      <c r="AD322" s="141"/>
      <c r="AE322" s="142">
        <f t="shared" si="614"/>
        <v>0</v>
      </c>
      <c r="AF322" s="143">
        <f t="shared" si="538"/>
        <v>0</v>
      </c>
      <c r="AG322" s="144">
        <f t="shared" si="615"/>
        <v>0</v>
      </c>
      <c r="AH322" s="76" t="str">
        <f t="shared" si="616"/>
        <v/>
      </c>
      <c r="AI322" s="143">
        <f> ( IF(ISNUMBER(G322), VLOOKUP(G322/$AH322,F!$A1:$B101,2,1)*G322*$H322*$I322,0)+IF(ISNUMBER(K322), VLOOKUP(K322/$AH322,F!$A1:$B101,2,1)*K322*$L322*$M322,0)+IF(ISNUMBER(O322), VLOOKUP(O322/$AH322,F!$A1:$B101,2,1)*O322*$P322*$Q322,0)+IF(ISNUMBER(S322), VLOOKUP(S322/$AH322,F!$A1:$B101,2,1)*S322*$T322*$U322,0)+IF(ISNUMBER(W322), VLOOKUP(W322/$AH322,F!$A1:$B101,2,1)*W322*$X322*$Y322,0)+IF(ISNUMBER(AA322), VLOOKUP(AA322/$AH322,F!$A1:$B101,2,1)*AA322*$AB322*$AC322,0))*IF(ISNUMBER(F322),F322,1)*IF(ISNUMBER(E322),E322,1)</f>
        <v>0</v>
      </c>
      <c r="AJ322" s="140">
        <f t="shared" si="617"/>
        <v>0</v>
      </c>
      <c r="AK322" s="145">
        <f t="array" ref="AK322">IFERROR(I322*INDEX(F!$P$21:$AB$33, MATCH(G322/$AH322, F!$O$21:$O$33,1), MATCH(E322, F!$P$20:$AB$20,1)), 0 ) +IFERROR( M322*INDEX(F!$P$21:$AB$33, MATCH(K322/$AH322, F!$O$21:$O$33,1), MATCH(E322, F!$P$20:$AB$20,1)),0) +  IFERROR( Q322*INDEX(F!$P$21:$AB$33, MATCH(O322/$AH322, F!$O$21:$O$33,1), MATCH(E322, F!$P$20:$AB$20,1)), 0) + IFERROR( U322*INDEX(F!$P$21:$AB$33, MATCH(S322/$AH322, F!$O$21:$O$33,1), MATCH(E322, F!$P$20:$AB$20,1)),0)  + IFERROR(Y322*INDEX(F!$P$21:$AB$33, MATCH(W322/$AH322, F!$O$21:$O$33,1), MATCH(E322, F!$P$20:$AB$20,1)),0)  + IFERROR( AC322*INDEX(F!$P$21:$AB$33, MATCH(AA322/$AH322, F!$O$21:$O$33,1), MATCH(E322, F!$P$20:$AB$20,1)),)</f>
        <v>0</v>
      </c>
      <c r="AL322" s="59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ht="15.75" hidden="1" customHeight="1">
      <c r="A323" s="59"/>
      <c r="B323" s="126" t="str">
        <f t="shared" ref="B323:F323" si="619">IF(B267="","",B267)</f>
        <v/>
      </c>
      <c r="C323" s="127" t="str">
        <f t="shared" si="619"/>
        <v/>
      </c>
      <c r="D323" s="128" t="str">
        <f t="shared" si="619"/>
        <v/>
      </c>
      <c r="E323" s="48" t="str">
        <f t="shared" si="619"/>
        <v/>
      </c>
      <c r="F323" s="129" t="str">
        <f t="shared" si="619"/>
        <v/>
      </c>
      <c r="G323" s="130" t="str">
        <f t="shared" si="608"/>
        <v/>
      </c>
      <c r="H323" s="34"/>
      <c r="I323" s="34"/>
      <c r="J323" s="65"/>
      <c r="K323" s="130" t="str">
        <f t="shared" si="609"/>
        <v/>
      </c>
      <c r="L323" s="34"/>
      <c r="M323" s="34"/>
      <c r="N323" s="65"/>
      <c r="O323" s="130" t="str">
        <f t="shared" si="610"/>
        <v/>
      </c>
      <c r="P323" s="34"/>
      <c r="Q323" s="34"/>
      <c r="R323" s="65"/>
      <c r="S323" s="130" t="str">
        <f t="shared" si="611"/>
        <v/>
      </c>
      <c r="T323" s="34"/>
      <c r="U323" s="34"/>
      <c r="V323" s="65"/>
      <c r="W323" s="130" t="str">
        <f t="shared" si="612"/>
        <v/>
      </c>
      <c r="X323" s="34"/>
      <c r="Y323" s="34"/>
      <c r="Z323" s="65"/>
      <c r="AA323" s="130" t="str">
        <f t="shared" si="613"/>
        <v/>
      </c>
      <c r="AB323" s="34"/>
      <c r="AC323" s="34"/>
      <c r="AD323" s="65"/>
      <c r="AE323" s="131">
        <f t="shared" si="614"/>
        <v>0</v>
      </c>
      <c r="AF323" s="132">
        <f t="shared" si="538"/>
        <v>0</v>
      </c>
      <c r="AG323" s="133">
        <f t="shared" si="615"/>
        <v>0</v>
      </c>
      <c r="AH323" s="76" t="str">
        <f t="shared" si="616"/>
        <v/>
      </c>
      <c r="AI323" s="132">
        <f> ( IF(ISNUMBER(G323), VLOOKUP(G323/$AH323,F!$A1:$B101,2,1)*G323*$H323*$I323,0)+IF(ISNUMBER(K323), VLOOKUP(K323/$AH323,F!$A1:$B101,2,1)*K323*$L323*$M323,0)+IF(ISNUMBER(O323), VLOOKUP(O323/$AH323,F!$A1:$B101,2,1)*O323*$P323*$Q323,0)+IF(ISNUMBER(S323), VLOOKUP(S323/$AH323,F!$A1:$B101,2,1)*S323*$T323*$U323,0)+IF(ISNUMBER(W323), VLOOKUP(W323/$AH323,F!$A1:$B101,2,1)*W323*$X323*$Y323,0)+IF(ISNUMBER(AA323), VLOOKUP(AA323/$AH323,F!$A1:$B101,2,1)*AA323*$AB323*$AC323,0))*IF(ISNUMBER(F323),F323,1)*IF(ISNUMBER(E323),E323,1)</f>
        <v>0</v>
      </c>
      <c r="AJ323" s="34">
        <f t="shared" si="617"/>
        <v>0</v>
      </c>
      <c r="AK323" s="134">
        <f t="array" ref="AK323">IFERROR(I323*INDEX(F!$P$21:$AB$33, MATCH(G323/$AH323, F!$O$21:$O$33,1), MATCH(E323, F!$P$20:$AB$20,1)), 0 ) +IFERROR( M323*INDEX(F!$P$21:$AB$33, MATCH(K323/$AH323, F!$O$21:$O$33,1), MATCH(E323, F!$P$20:$AB$20,1)),0) +  IFERROR( Q323*INDEX(F!$P$21:$AB$33, MATCH(O323/$AH323, F!$O$21:$O$33,1), MATCH(E323, F!$P$20:$AB$20,1)), 0) + IFERROR( U323*INDEX(F!$P$21:$AB$33, MATCH(S323/$AH323, F!$O$21:$O$33,1), MATCH(E323, F!$P$20:$AB$20,1)),0)  + IFERROR(Y323*INDEX(F!$P$21:$AB$33, MATCH(W323/$AH323, F!$O$21:$O$33,1), MATCH(E323, F!$P$20:$AB$20,1)),0)  + IFERROR( AC323*INDEX(F!$P$21:$AB$33, MATCH(AA323/$AH323, F!$O$21:$O$33,1), MATCH(E323, F!$P$20:$AB$20,1)),)</f>
        <v>0</v>
      </c>
      <c r="AL323" s="59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ht="15.75" hidden="1" customHeight="1">
      <c r="A324" s="59"/>
      <c r="B324" s="135" t="str">
        <f t="shared" ref="B324:F324" si="620">IF(B268="","",B268)</f>
        <v/>
      </c>
      <c r="C324" s="136" t="str">
        <f t="shared" si="620"/>
        <v/>
      </c>
      <c r="D324" s="137" t="str">
        <f t="shared" si="620"/>
        <v/>
      </c>
      <c r="E324" s="48" t="str">
        <f t="shared" si="620"/>
        <v/>
      </c>
      <c r="F324" s="138" t="str">
        <f t="shared" si="620"/>
        <v/>
      </c>
      <c r="G324" s="139" t="str">
        <f t="shared" si="608"/>
        <v/>
      </c>
      <c r="H324" s="140"/>
      <c r="I324" s="140"/>
      <c r="J324" s="141"/>
      <c r="K324" s="139" t="str">
        <f t="shared" si="609"/>
        <v/>
      </c>
      <c r="L324" s="140"/>
      <c r="M324" s="140"/>
      <c r="N324" s="141"/>
      <c r="O324" s="139" t="str">
        <f t="shared" si="610"/>
        <v/>
      </c>
      <c r="P324" s="140"/>
      <c r="Q324" s="140"/>
      <c r="R324" s="141"/>
      <c r="S324" s="139" t="str">
        <f t="shared" si="611"/>
        <v/>
      </c>
      <c r="T324" s="140"/>
      <c r="U324" s="140"/>
      <c r="V324" s="141"/>
      <c r="W324" s="139" t="str">
        <f t="shared" si="612"/>
        <v/>
      </c>
      <c r="X324" s="140"/>
      <c r="Y324" s="140"/>
      <c r="Z324" s="141"/>
      <c r="AA324" s="139" t="str">
        <f t="shared" si="613"/>
        <v/>
      </c>
      <c r="AB324" s="140"/>
      <c r="AC324" s="140"/>
      <c r="AD324" s="141"/>
      <c r="AE324" s="142">
        <f t="shared" si="614"/>
        <v>0</v>
      </c>
      <c r="AF324" s="143">
        <f t="shared" si="538"/>
        <v>0</v>
      </c>
      <c r="AG324" s="144">
        <f t="shared" si="615"/>
        <v>0</v>
      </c>
      <c r="AH324" s="76" t="str">
        <f t="shared" si="616"/>
        <v/>
      </c>
      <c r="AI324" s="143">
        <f> ( IF(ISNUMBER(G324), VLOOKUP(G324/$AH324,F!$A1:$B101,2,1)*G324*$H324*$I324,0)+IF(ISNUMBER(K324), VLOOKUP(K324/$AH324,F!$A1:$B101,2,1)*K324*$L324*$M324,0)+IF(ISNUMBER(O324), VLOOKUP(O324/$AH324,F!$A1:$B101,2,1)*O324*$P324*$Q324,0)+IF(ISNUMBER(S324), VLOOKUP(S324/$AH324,F!$A1:$B101,2,1)*S324*$T324*$U324,0)+IF(ISNUMBER(W324), VLOOKUP(W324/$AH324,F!$A1:$B101,2,1)*W324*$X324*$Y324,0)+IF(ISNUMBER(AA324), VLOOKUP(AA324/$AH324,F!$A1:$B101,2,1)*AA324*$AB324*$AC324,0))*IF(ISNUMBER(F324),F324,1)*IF(ISNUMBER(E324),E324,1)</f>
        <v>0</v>
      </c>
      <c r="AJ324" s="140">
        <f t="shared" si="617"/>
        <v>0</v>
      </c>
      <c r="AK324" s="145">
        <f t="array" ref="AK324">IFERROR(I324*INDEX(F!$P$21:$AB$33, MATCH(G324/$AH324, F!$O$21:$O$33,1), MATCH(E324, F!$P$20:$AB$20,1)), 0 ) +IFERROR( M324*INDEX(F!$P$21:$AB$33, MATCH(K324/$AH324, F!$O$21:$O$33,1), MATCH(E324, F!$P$20:$AB$20,1)),0) +  IFERROR( Q324*INDEX(F!$P$21:$AB$33, MATCH(O324/$AH324, F!$O$21:$O$33,1), MATCH(E324, F!$P$20:$AB$20,1)), 0) + IFERROR( U324*INDEX(F!$P$21:$AB$33, MATCH(S324/$AH324, F!$O$21:$O$33,1), MATCH(E324, F!$P$20:$AB$20,1)),0)  + IFERROR(Y324*INDEX(F!$P$21:$AB$33, MATCH(W324/$AH324, F!$O$21:$O$33,1), MATCH(E324, F!$P$20:$AB$20,1)),0)  + IFERROR( AC324*INDEX(F!$P$21:$AB$33, MATCH(AA324/$AH324, F!$O$21:$O$33,1), MATCH(E324, F!$P$20:$AB$20,1)),)</f>
        <v>0</v>
      </c>
      <c r="AL324" s="59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ht="15.75" hidden="1" customHeight="1">
      <c r="A325" s="59"/>
      <c r="B325" s="126" t="str">
        <f t="shared" ref="B325:F325" si="621">IF(B269="","",B269)</f>
        <v/>
      </c>
      <c r="C325" s="127" t="str">
        <f t="shared" si="621"/>
        <v/>
      </c>
      <c r="D325" s="128" t="str">
        <f t="shared" si="621"/>
        <v/>
      </c>
      <c r="E325" s="48" t="str">
        <f t="shared" si="621"/>
        <v/>
      </c>
      <c r="F325" s="129" t="str">
        <f t="shared" si="621"/>
        <v/>
      </c>
      <c r="G325" s="130" t="str">
        <f t="shared" si="608"/>
        <v/>
      </c>
      <c r="H325" s="34"/>
      <c r="I325" s="34"/>
      <c r="J325" s="65"/>
      <c r="K325" s="130" t="str">
        <f t="shared" si="609"/>
        <v/>
      </c>
      <c r="L325" s="34"/>
      <c r="M325" s="34"/>
      <c r="N325" s="65"/>
      <c r="O325" s="130" t="str">
        <f t="shared" si="610"/>
        <v/>
      </c>
      <c r="P325" s="34"/>
      <c r="Q325" s="34"/>
      <c r="R325" s="65"/>
      <c r="S325" s="130" t="str">
        <f t="shared" si="611"/>
        <v/>
      </c>
      <c r="T325" s="34"/>
      <c r="U325" s="34"/>
      <c r="V325" s="65"/>
      <c r="W325" s="130" t="str">
        <f t="shared" si="612"/>
        <v/>
      </c>
      <c r="X325" s="34"/>
      <c r="Y325" s="34"/>
      <c r="Z325" s="65"/>
      <c r="AA325" s="130" t="str">
        <f t="shared" si="613"/>
        <v/>
      </c>
      <c r="AB325" s="34"/>
      <c r="AC325" s="34"/>
      <c r="AD325" s="65"/>
      <c r="AE325" s="131">
        <f t="shared" si="614"/>
        <v>0</v>
      </c>
      <c r="AF325" s="132">
        <f t="shared" si="538"/>
        <v>0</v>
      </c>
      <c r="AG325" s="133">
        <f t="shared" si="615"/>
        <v>0</v>
      </c>
      <c r="AH325" s="76" t="str">
        <f t="shared" si="616"/>
        <v/>
      </c>
      <c r="AI325" s="132">
        <f> ( IF(ISNUMBER(G325), VLOOKUP(G325/$AH325,F!$A1:$B101,2,1)*G325*$H325*$I325,0)+IF(ISNUMBER(K325), VLOOKUP(K325/$AH325,F!$A1:$B101,2,1)*K325*$L325*$M325,0)+IF(ISNUMBER(O325), VLOOKUP(O325/$AH325,F!$A1:$B101,2,1)*O325*$P325*$Q325,0)+IF(ISNUMBER(S325), VLOOKUP(S325/$AH325,F!$A1:$B101,2,1)*S325*$T325*$U325,0)+IF(ISNUMBER(W325), VLOOKUP(W325/$AH325,F!$A1:$B101,2,1)*W325*$X325*$Y325,0)+IF(ISNUMBER(AA325), VLOOKUP(AA325/$AH325,F!$A1:$B101,2,1)*AA325*$AB325*$AC325,0))*IF(ISNUMBER(F325),F325,1)*IF(ISNUMBER(E325),E325,1)</f>
        <v>0</v>
      </c>
      <c r="AJ325" s="34">
        <f t="shared" si="617"/>
        <v>0</v>
      </c>
      <c r="AK325" s="134">
        <f t="array" ref="AK325">IFERROR(I325*INDEX(F!$P$21:$AB$33, MATCH(G325/$AH325, F!$O$21:$O$33,1), MATCH(E325, F!$P$20:$AB$20,1)), 0 ) +IFERROR( M325*INDEX(F!$P$21:$AB$33, MATCH(K325/$AH325, F!$O$21:$O$33,1), MATCH(E325, F!$P$20:$AB$20,1)),0) +  IFERROR( Q325*INDEX(F!$P$21:$AB$33, MATCH(O325/$AH325, F!$O$21:$O$33,1), MATCH(E325, F!$P$20:$AB$20,1)), 0) + IFERROR( U325*INDEX(F!$P$21:$AB$33, MATCH(S325/$AH325, F!$O$21:$O$33,1), MATCH(E325, F!$P$20:$AB$20,1)),0)  + IFERROR(Y325*INDEX(F!$P$21:$AB$33, MATCH(W325/$AH325, F!$O$21:$O$33,1), MATCH(E325, F!$P$20:$AB$20,1)),0)  + IFERROR( AC325*INDEX(F!$P$21:$AB$33, MATCH(AA325/$AH325, F!$O$21:$O$33,1), MATCH(E325, F!$P$20:$AB$20,1)),)</f>
        <v>0</v>
      </c>
      <c r="AL325" s="59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ht="15.75" hidden="1" customHeight="1">
      <c r="A326" s="59"/>
      <c r="B326" s="135" t="str">
        <f t="shared" ref="B326:F326" si="622">IF(B270="","",B270)</f>
        <v/>
      </c>
      <c r="C326" s="136" t="str">
        <f t="shared" si="622"/>
        <v/>
      </c>
      <c r="D326" s="137" t="str">
        <f t="shared" si="622"/>
        <v/>
      </c>
      <c r="E326" s="48" t="str">
        <f t="shared" si="622"/>
        <v/>
      </c>
      <c r="F326" s="138" t="str">
        <f t="shared" si="622"/>
        <v/>
      </c>
      <c r="G326" s="139" t="str">
        <f t="shared" si="608"/>
        <v/>
      </c>
      <c r="H326" s="140"/>
      <c r="I326" s="140"/>
      <c r="J326" s="141"/>
      <c r="K326" s="139" t="str">
        <f t="shared" si="609"/>
        <v/>
      </c>
      <c r="L326" s="140"/>
      <c r="M326" s="140"/>
      <c r="N326" s="141"/>
      <c r="O326" s="139" t="str">
        <f t="shared" si="610"/>
        <v/>
      </c>
      <c r="P326" s="140"/>
      <c r="Q326" s="140"/>
      <c r="R326" s="141"/>
      <c r="S326" s="139" t="str">
        <f t="shared" si="611"/>
        <v/>
      </c>
      <c r="T326" s="140"/>
      <c r="U326" s="140"/>
      <c r="V326" s="141"/>
      <c r="W326" s="139" t="str">
        <f t="shared" si="612"/>
        <v/>
      </c>
      <c r="X326" s="140"/>
      <c r="Y326" s="140"/>
      <c r="Z326" s="141"/>
      <c r="AA326" s="139" t="str">
        <f t="shared" si="613"/>
        <v/>
      </c>
      <c r="AB326" s="140"/>
      <c r="AC326" s="140"/>
      <c r="AD326" s="141"/>
      <c r="AE326" s="142">
        <f t="shared" si="614"/>
        <v>0</v>
      </c>
      <c r="AF326" s="143">
        <f t="shared" si="538"/>
        <v>0</v>
      </c>
      <c r="AG326" s="144">
        <f t="shared" si="615"/>
        <v>0</v>
      </c>
      <c r="AH326" s="76" t="str">
        <f t="shared" si="616"/>
        <v/>
      </c>
      <c r="AI326" s="143">
        <f> ( IF(ISNUMBER(G326), VLOOKUP(G326/$AH326,F!$A1:$B101,2,1)*G326*$H326*$I326,0)+IF(ISNUMBER(K326), VLOOKUP(K326/$AH326,F!$A1:$B101,2,1)*K326*$L326*$M326,0)+IF(ISNUMBER(O326), VLOOKUP(O326/$AH326,F!$A1:$B101,2,1)*O326*$P326*$Q326,0)+IF(ISNUMBER(S326), VLOOKUP(S326/$AH326,F!$A1:$B101,2,1)*S326*$T326*$U326,0)+IF(ISNUMBER(W326), VLOOKUP(W326/$AH326,F!$A1:$B101,2,1)*W326*$X326*$Y326,0)+IF(ISNUMBER(AA326), VLOOKUP(AA326/$AH326,F!$A1:$B101,2,1)*AA326*$AB326*$AC326,0))*IF(ISNUMBER(F326),F326,1)*IF(ISNUMBER(E326),E326,1)</f>
        <v>0</v>
      </c>
      <c r="AJ326" s="140">
        <f t="shared" si="617"/>
        <v>0</v>
      </c>
      <c r="AK326" s="145">
        <f t="array" ref="AK326">IFERROR(I326*INDEX(F!$P$21:$AB$33, MATCH(G326/$AH326, F!$O$21:$O$33,1), MATCH(E326, F!$P$20:$AB$20,1)), 0 ) +IFERROR( M326*INDEX(F!$P$21:$AB$33, MATCH(K326/$AH326, F!$O$21:$O$33,1), MATCH(E326, F!$P$20:$AB$20,1)),0) +  IFERROR( Q326*INDEX(F!$P$21:$AB$33, MATCH(O326/$AH326, F!$O$21:$O$33,1), MATCH(E326, F!$P$20:$AB$20,1)), 0) + IFERROR( U326*INDEX(F!$P$21:$AB$33, MATCH(S326/$AH326, F!$O$21:$O$33,1), MATCH(E326, F!$P$20:$AB$20,1)),0)  + IFERROR(Y326*INDEX(F!$P$21:$AB$33, MATCH(W326/$AH326, F!$O$21:$O$33,1), MATCH(E326, F!$P$20:$AB$20,1)),0)  + IFERROR( AC326*INDEX(F!$P$21:$AB$33, MATCH(AA326/$AH326, F!$O$21:$O$33,1), MATCH(E326, F!$P$20:$AB$20,1)),)</f>
        <v>0</v>
      </c>
      <c r="AL326" s="59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ht="15.0" hidden="1" customHeight="1">
      <c r="A327" s="59"/>
      <c r="B327" s="126" t="str">
        <f t="shared" ref="B327:F327" si="623">IF(B271="","",B271)</f>
        <v/>
      </c>
      <c r="C327" s="127" t="str">
        <f t="shared" si="623"/>
        <v/>
      </c>
      <c r="D327" s="128" t="str">
        <f t="shared" si="623"/>
        <v/>
      </c>
      <c r="E327" s="48" t="str">
        <f t="shared" si="623"/>
        <v/>
      </c>
      <c r="F327" s="129" t="str">
        <f t="shared" si="623"/>
        <v/>
      </c>
      <c r="G327" s="130" t="str">
        <f t="shared" si="608"/>
        <v/>
      </c>
      <c r="H327" s="34"/>
      <c r="I327" s="34"/>
      <c r="J327" s="65"/>
      <c r="K327" s="130" t="str">
        <f t="shared" si="609"/>
        <v/>
      </c>
      <c r="L327" s="34"/>
      <c r="M327" s="34"/>
      <c r="N327" s="65"/>
      <c r="O327" s="130" t="str">
        <f t="shared" si="610"/>
        <v/>
      </c>
      <c r="P327" s="34"/>
      <c r="Q327" s="34"/>
      <c r="R327" s="65"/>
      <c r="S327" s="130" t="str">
        <f t="shared" si="611"/>
        <v/>
      </c>
      <c r="T327" s="34"/>
      <c r="U327" s="34"/>
      <c r="V327" s="65"/>
      <c r="W327" s="130" t="str">
        <f t="shared" si="612"/>
        <v/>
      </c>
      <c r="X327" s="34"/>
      <c r="Y327" s="34"/>
      <c r="Z327" s="65"/>
      <c r="AA327" s="130" t="str">
        <f t="shared" si="613"/>
        <v/>
      </c>
      <c r="AB327" s="34"/>
      <c r="AC327" s="34"/>
      <c r="AD327" s="65"/>
      <c r="AE327" s="131">
        <f t="shared" si="614"/>
        <v>0</v>
      </c>
      <c r="AF327" s="132">
        <f t="shared" si="538"/>
        <v>0</v>
      </c>
      <c r="AG327" s="133">
        <f t="shared" si="615"/>
        <v>0</v>
      </c>
      <c r="AH327" s="76" t="str">
        <f t="shared" si="616"/>
        <v/>
      </c>
      <c r="AI327" s="132">
        <f> ( IF(ISNUMBER(G327), VLOOKUP(G327/$AH327,F!$A1:$B101,2,1)*G327*$H327*$I327,0)+IF(ISNUMBER(K327), VLOOKUP(K327/$AH327,F!$A1:$B101,2,1)*K327*$L327*$M327,0)+IF(ISNUMBER(O327), VLOOKUP(O327/$AH327,F!$A1:$B101,2,1)*O327*$P327*$Q327,0)+IF(ISNUMBER(S327), VLOOKUP(S327/$AH327,F!$A1:$B101,2,1)*S327*$T327*$U327,0)+IF(ISNUMBER(W327), VLOOKUP(W327/$AH327,F!$A1:$B101,2,1)*W327*$X327*$Y327,0)+IF(ISNUMBER(AA327), VLOOKUP(AA327/$AH327,F!$A1:$B101,2,1)*AA327*$AB327*$AC327,0))*IF(ISNUMBER(F327),F327,1)*IF(ISNUMBER(E327),E327,1)</f>
        <v>0</v>
      </c>
      <c r="AJ327" s="34">
        <f t="shared" si="617"/>
        <v>0</v>
      </c>
      <c r="AK327" s="134">
        <f t="array" ref="AK327">IFERROR(I327*INDEX(F!$P$21:$AB$33, MATCH(G327/$AH327, F!$O$21:$O$33,1), MATCH(E327, F!$P$20:$AB$20,1)), 0 ) +IFERROR( M327*INDEX(F!$P$21:$AB$33, MATCH(K327/$AH327, F!$O$21:$O$33,1), MATCH(E327, F!$P$20:$AB$20,1)),0) +  IFERROR( Q327*INDEX(F!$P$21:$AB$33, MATCH(O327/$AH327, F!$O$21:$O$33,1), MATCH(E327, F!$P$20:$AB$20,1)), 0) + IFERROR( U327*INDEX(F!$P$21:$AB$33, MATCH(S327/$AH327, F!$O$21:$O$33,1), MATCH(E327, F!$P$20:$AB$20,1)),0)  + IFERROR(Y327*INDEX(F!$P$21:$AB$33, MATCH(W327/$AH327, F!$O$21:$O$33,1), MATCH(E327, F!$P$20:$AB$20,1)),0)  + IFERROR( AC327*INDEX(F!$P$21:$AB$33, MATCH(AA327/$AH327, F!$O$21:$O$33,1), MATCH(E327, F!$P$20:$AB$20,1)),)</f>
        <v>0</v>
      </c>
      <c r="AL327" s="59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ht="15.75" hidden="1" customHeight="1">
      <c r="A328" s="98"/>
      <c r="B328" s="150"/>
      <c r="C328" s="151"/>
      <c r="D328" s="152"/>
      <c r="E328" s="102">
        <f>ROUND(IFERROR(SUMPRODUCT(AJ320:AJ327,E320:E327)/AJ328,0),3)</f>
        <v>0</v>
      </c>
      <c r="F328" s="153"/>
      <c r="G328" s="154"/>
      <c r="H328" s="155"/>
      <c r="I328" s="155"/>
      <c r="J328" s="156"/>
      <c r="K328" s="154"/>
      <c r="L328" s="155"/>
      <c r="M328" s="155"/>
      <c r="N328" s="156"/>
      <c r="O328" s="154"/>
      <c r="P328" s="155"/>
      <c r="Q328" s="155"/>
      <c r="R328" s="156"/>
      <c r="S328" s="154"/>
      <c r="T328" s="155"/>
      <c r="U328" s="155"/>
      <c r="V328" s="156"/>
      <c r="W328" s="154"/>
      <c r="X328" s="155"/>
      <c r="Y328" s="155"/>
      <c r="Z328" s="156"/>
      <c r="AA328" s="154"/>
      <c r="AB328" s="155"/>
      <c r="AC328" s="155"/>
      <c r="AD328" s="156"/>
      <c r="AE328" s="107">
        <f>SUM(AE320:AE327)</f>
        <v>0</v>
      </c>
      <c r="AF328" s="108">
        <f t="shared" si="538"/>
        <v>0</v>
      </c>
      <c r="AG328" s="109">
        <f>IFERROR(  SUMPRODUCT(AG320:AG327,AJ320:AJ327)/AJ328,0)</f>
        <v>0</v>
      </c>
      <c r="AH328" s="157"/>
      <c r="AI328" s="111">
        <f t="shared" ref="AI328:AJ328" si="624">SUM(AI320:AI327)</f>
        <v>0</v>
      </c>
      <c r="AJ328" s="111">
        <f t="shared" si="624"/>
        <v>0</v>
      </c>
      <c r="AK328" s="112">
        <f>IF(SUM(AK320:AK327)=0,TIME(,0,),TIME(,SUM(AK320:AK327)+F!$V$37,))</f>
        <v>0</v>
      </c>
      <c r="AL328" s="98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ht="15.75" hidden="1" customHeight="1">
      <c r="A329" s="158">
        <f>A330</f>
        <v>43822</v>
      </c>
      <c r="B329" s="159" t="str">
        <f t="shared" ref="B329:F329" si="625">IF(B273="","",B273)</f>
        <v/>
      </c>
      <c r="C329" s="160" t="str">
        <f t="shared" si="625"/>
        <v/>
      </c>
      <c r="D329" s="161" t="str">
        <f t="shared" si="625"/>
        <v/>
      </c>
      <c r="E329" s="29" t="str">
        <f t="shared" si="625"/>
        <v/>
      </c>
      <c r="F329" s="162" t="str">
        <f t="shared" si="625"/>
        <v/>
      </c>
      <c r="G329" s="163" t="str">
        <f t="shared" ref="G329:G336" si="627">IF(J329&lt;&gt;0, IFERROR(IF( $F329=2,  MROUND($AH329*J329,1),    IF( OR($F329="",$F329=1),   MROUND($AH329*J329,2.5),  MROUND($AH329*J329, 0.1))), "" ), "")</f>
        <v/>
      </c>
      <c r="H329" s="164"/>
      <c r="I329" s="164"/>
      <c r="J329" s="165"/>
      <c r="K329" s="163" t="str">
        <f t="shared" ref="K329:K336" si="628">IF(N329&lt;&gt;0, IFERROR(IF( $F329=2,  MROUND($AH329*N329,1),    IF( OR($F329="",$F329=1),   MROUND($AH329*N329,2.5),  MROUND($AH329*N329, 0.1))), "" ), "")</f>
        <v/>
      </c>
      <c r="L329" s="164"/>
      <c r="M329" s="164"/>
      <c r="N329" s="165"/>
      <c r="O329" s="163" t="str">
        <f t="shared" ref="O329:O336" si="629">IF(R329&lt;&gt;0, IFERROR(IF( $F329=2,  MROUND($AH329*R329,1),    IF( OR($F329="",$F329=1),   MROUND($AH329*R329,2.5),  MROUND($AH329*R329, 0.1))), "" ), "")</f>
        <v/>
      </c>
      <c r="P329" s="164"/>
      <c r="Q329" s="164"/>
      <c r="R329" s="165"/>
      <c r="S329" s="163" t="str">
        <f t="shared" ref="S329:S336" si="630">IF(V329&lt;&gt;0, IFERROR(IF( $F329=2,  MROUND($AH329*V329,1),    IF( OR($F329="",$F329=1),   MROUND($AH329*V329,2.5),  MROUND($AH329*V329, 0.1))), "" ), "")</f>
        <v/>
      </c>
      <c r="T329" s="164"/>
      <c r="U329" s="164"/>
      <c r="V329" s="165"/>
      <c r="W329" s="163" t="str">
        <f t="shared" ref="W329:W336" si="631">IF(Z329&lt;&gt;0, IFERROR(IF( $F329=2,  MROUND($AH329*Z329,1),    IF( OR($F329="",$F329=1),   MROUND($AH329*Z329,2.5),  MROUND($AH329*Z329, 0.1))), "" ), "")</f>
        <v/>
      </c>
      <c r="X329" s="164"/>
      <c r="Y329" s="164"/>
      <c r="Z329" s="165"/>
      <c r="AA329" s="163" t="str">
        <f t="shared" ref="AA329:AA336" si="632">IF(AD329&lt;&gt;0, IFERROR(IF( $F329=2,  MROUND($AH329*AD329,1),    IF( OR($F329="",$F329=1),   MROUND($AH329*AD329,2.5),  MROUND($AH329*AD329, 0.1))), "" ), "")</f>
        <v/>
      </c>
      <c r="AB329" s="164"/>
      <c r="AC329" s="164"/>
      <c r="AD329" s="165"/>
      <c r="AE329" s="166">
        <f t="shared" ref="AE329:AE336" si="633">(IF(ISNUMBER(G329),G329,0)*H329*I329+IF(ISNUMBER(K329),K329,1)*L329*M329+IF(ISNUMBER(O329),O329,1)*P329*Q329+IF(ISNUMBER(S329),S329,1)*T329*U329+IF(ISNUMBER(W329),W329,1)*X329*Y329+IF(ISNUMBER(AA329),AA329,1)*AB329*AC329)*IF(ISNUMBER(F329),F329,1)</f>
        <v>0</v>
      </c>
      <c r="AF329" s="167">
        <f t="shared" si="538"/>
        <v>0</v>
      </c>
      <c r="AG329" s="168">
        <f t="shared" ref="AG329:AG336" si="634">IFERROR((AF329/(AH329*IF(ISNUMBER(F329),F329,1))),0)</f>
        <v>0</v>
      </c>
      <c r="AH329" s="169" t="str">
        <f t="shared" ref="AH329:AH336" si="635">IF(ISNUMBER(AH273), AH273+(AH273*$AH$282),"")</f>
        <v/>
      </c>
      <c r="AI329" s="167">
        <f> ( IF(ISNUMBER(G329), VLOOKUP(G329/$AH329,F!$A1:$B101,2,1)*G329*$H329*$I329,0)+IF(ISNUMBER(K329), VLOOKUP(K329/$AH329,F!$A1:$B101,2,1)*K329*$L329*$M329,0)+IF(ISNUMBER(O329), VLOOKUP(O329/$AH329,F!$A1:$B101,2,1)*O329*$P329*$Q329,0)+IF(ISNUMBER(S329), VLOOKUP(S329/$AH329,F!$A1:$B101,2,1)*S329*$T329*$U329,0)+IF(ISNUMBER(W329), VLOOKUP(W329/$AH329,F!$A1:$B101,2,1)*W329*$X329*$Y329,0)+IF(ISNUMBER(AA329), VLOOKUP(AA329/$AH329,F!$A1:$B101,2,1)*AA329*$AB329*$AC329,0))*IF(ISNUMBER(F329),F329,1)*IF(ISNUMBER(E329),E329,1)</f>
        <v>0</v>
      </c>
      <c r="AJ329" s="164">
        <f t="shared" ref="AJ329:AJ336" si="636">H329*I329+L329*M329+P329*Q329+T329*U329+X329*Y329+AB329*AC329</f>
        <v>0</v>
      </c>
      <c r="AK329" s="170">
        <f t="array" ref="AK329">IFERROR(I329*INDEX(F!$P$21:$AB$33, MATCH(G329/$AH329, F!$O$21:$O$33,1), MATCH(E329, F!$P$20:$AB$20,1)), 0 ) +IFERROR( M329*INDEX(F!$P$21:$AB$33, MATCH(K329/$AH329, F!$O$21:$O$33,1), MATCH(E329, F!$P$20:$AB$20,1)),0) +  IFERROR( Q329*INDEX(F!$P$21:$AB$33, MATCH(O329/$AH329, F!$O$21:$O$33,1), MATCH(E329, F!$P$20:$AB$20,1)), 0) + IFERROR( U329*INDEX(F!$P$21:$AB$33, MATCH(S329/$AH329, F!$O$21:$O$33,1), MATCH(E329, F!$P$20:$AB$20,1)),0)  + IFERROR(Y329*INDEX(F!$P$21:$AB$33, MATCH(W329/$AH329, F!$O$21:$O$33,1), MATCH(E329, F!$P$20:$AB$20,1)),0)  + IFERROR( AC329*INDEX(F!$P$21:$AB$33, MATCH(AA329/$AH329, F!$O$21:$O$33,1), MATCH(E329, F!$P$20:$AB$20,1)),)</f>
        <v>0</v>
      </c>
      <c r="AL329" s="42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ht="15.75" hidden="1" customHeight="1">
      <c r="A330" s="44">
        <f>A274+A226</f>
        <v>43822</v>
      </c>
      <c r="B330" s="135" t="str">
        <f t="shared" ref="B330:F330" si="626">IF(B274="","",B274)</f>
        <v/>
      </c>
      <c r="C330" s="136" t="str">
        <f t="shared" si="626"/>
        <v/>
      </c>
      <c r="D330" s="137" t="str">
        <f t="shared" si="626"/>
        <v/>
      </c>
      <c r="E330" s="48" t="str">
        <f t="shared" si="626"/>
        <v/>
      </c>
      <c r="F330" s="138" t="str">
        <f t="shared" si="626"/>
        <v/>
      </c>
      <c r="G330" s="139" t="str">
        <f t="shared" si="627"/>
        <v/>
      </c>
      <c r="H330" s="140"/>
      <c r="I330" s="140"/>
      <c r="J330" s="141"/>
      <c r="K330" s="139" t="str">
        <f t="shared" si="628"/>
        <v/>
      </c>
      <c r="L330" s="140"/>
      <c r="M330" s="140"/>
      <c r="N330" s="141"/>
      <c r="O330" s="139" t="str">
        <f t="shared" si="629"/>
        <v/>
      </c>
      <c r="P330" s="140"/>
      <c r="Q330" s="140"/>
      <c r="R330" s="141"/>
      <c r="S330" s="139" t="str">
        <f t="shared" si="630"/>
        <v/>
      </c>
      <c r="T330" s="140"/>
      <c r="U330" s="140"/>
      <c r="V330" s="141"/>
      <c r="W330" s="139" t="str">
        <f t="shared" si="631"/>
        <v/>
      </c>
      <c r="X330" s="140"/>
      <c r="Y330" s="140"/>
      <c r="Z330" s="141"/>
      <c r="AA330" s="139" t="str">
        <f t="shared" si="632"/>
        <v/>
      </c>
      <c r="AB330" s="140"/>
      <c r="AC330" s="140"/>
      <c r="AD330" s="141"/>
      <c r="AE330" s="142">
        <f t="shared" si="633"/>
        <v>0</v>
      </c>
      <c r="AF330" s="143">
        <f t="shared" si="538"/>
        <v>0</v>
      </c>
      <c r="AG330" s="144">
        <f t="shared" si="634"/>
        <v>0</v>
      </c>
      <c r="AH330" s="76" t="str">
        <f t="shared" si="635"/>
        <v/>
      </c>
      <c r="AI330" s="143">
        <f> ( IF(ISNUMBER(G330), VLOOKUP(G330/$AH330,F!$A1:$B101,2,1)*G330*$H330*$I330,0)+IF(ISNUMBER(K330), VLOOKUP(K330/$AH330,F!$A1:$B101,2,1)*K330*$L330*$M330,0)+IF(ISNUMBER(O330), VLOOKUP(O330/$AH330,F!$A1:$B101,2,1)*O330*$P330*$Q330,0)+IF(ISNUMBER(S330), VLOOKUP(S330/$AH330,F!$A1:$B101,2,1)*S330*$T330*$U330,0)+IF(ISNUMBER(W330), VLOOKUP(W330/$AH330,F!$A1:$B101,2,1)*W330*$X330*$Y330,0)+IF(ISNUMBER(AA330), VLOOKUP(AA330/$AH330,F!$A1:$B101,2,1)*AA330*$AB330*$AC330,0))*IF(ISNUMBER(F330),F330,1)*IF(ISNUMBER(E330),E330,1)</f>
        <v>0</v>
      </c>
      <c r="AJ330" s="140">
        <f t="shared" si="636"/>
        <v>0</v>
      </c>
      <c r="AK330" s="145">
        <f t="array" ref="AK330">IFERROR(I330*INDEX(F!$P$21:$AB$33, MATCH(G330/$AH330, F!$O$21:$O$33,1), MATCH(E330, F!$P$20:$AB$20,1)), 0 ) +IFERROR( M330*INDEX(F!$P$21:$AB$33, MATCH(K330/$AH330, F!$O$21:$O$33,1), MATCH(E330, F!$P$20:$AB$20,1)),0) +  IFERROR( Q330*INDEX(F!$P$21:$AB$33, MATCH(O330/$AH330, F!$O$21:$O$33,1), MATCH(E330, F!$P$20:$AB$20,1)), 0) + IFERROR( U330*INDEX(F!$P$21:$AB$33, MATCH(S330/$AH330, F!$O$21:$O$33,1), MATCH(E330, F!$P$20:$AB$20,1)),0)  + IFERROR(Y330*INDEX(F!$P$21:$AB$33, MATCH(W330/$AH330, F!$O$21:$O$33,1), MATCH(E330, F!$P$20:$AB$20,1)),0)  + IFERROR( AC330*INDEX(F!$P$21:$AB$33, MATCH(AA330/$AH330, F!$O$21:$O$33,1), MATCH(E330, F!$P$20:$AB$20,1)),)</f>
        <v>0</v>
      </c>
      <c r="AL330" s="59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ht="15.75" hidden="1" customHeight="1">
      <c r="A331" s="59"/>
      <c r="B331" s="173" t="str">
        <f t="shared" ref="B331:F331" si="637">IF(B275="","",B275)</f>
        <v/>
      </c>
      <c r="C331" s="174" t="str">
        <f t="shared" si="637"/>
        <v/>
      </c>
      <c r="D331" s="175" t="str">
        <f t="shared" si="637"/>
        <v/>
      </c>
      <c r="E331" s="48" t="str">
        <f t="shared" si="637"/>
        <v/>
      </c>
      <c r="F331" s="176" t="str">
        <f t="shared" si="637"/>
        <v/>
      </c>
      <c r="G331" s="177" t="str">
        <f t="shared" si="627"/>
        <v/>
      </c>
      <c r="H331" s="178"/>
      <c r="I331" s="178"/>
      <c r="J331" s="179"/>
      <c r="K331" s="177" t="str">
        <f t="shared" si="628"/>
        <v/>
      </c>
      <c r="L331" s="178"/>
      <c r="M331" s="178"/>
      <c r="N331" s="179"/>
      <c r="O331" s="177" t="str">
        <f t="shared" si="629"/>
        <v/>
      </c>
      <c r="P331" s="178"/>
      <c r="Q331" s="178"/>
      <c r="R331" s="179"/>
      <c r="S331" s="177" t="str">
        <f t="shared" si="630"/>
        <v/>
      </c>
      <c r="T331" s="178"/>
      <c r="U331" s="178"/>
      <c r="V331" s="179"/>
      <c r="W331" s="177" t="str">
        <f t="shared" si="631"/>
        <v/>
      </c>
      <c r="X331" s="178"/>
      <c r="Y331" s="178"/>
      <c r="Z331" s="179"/>
      <c r="AA331" s="177" t="str">
        <f t="shared" si="632"/>
        <v/>
      </c>
      <c r="AB331" s="178"/>
      <c r="AC331" s="178"/>
      <c r="AD331" s="179"/>
      <c r="AE331" s="180">
        <f t="shared" si="633"/>
        <v>0</v>
      </c>
      <c r="AF331" s="181">
        <f t="shared" si="538"/>
        <v>0</v>
      </c>
      <c r="AG331" s="182">
        <f t="shared" si="634"/>
        <v>0</v>
      </c>
      <c r="AH331" s="76" t="str">
        <f t="shared" si="635"/>
        <v/>
      </c>
      <c r="AI331" s="181">
        <f> ( IF(ISNUMBER(G331), VLOOKUP(G331/$AH331,F!$A1:$B101,2,1)*G331*$H331*$I331,0)+IF(ISNUMBER(K331), VLOOKUP(K331/$AH331,F!$A1:$B101,2,1)*K331*$L331*$M331,0)+IF(ISNUMBER(O331), VLOOKUP(O331/$AH331,F!$A1:$B101,2,1)*O331*$P331*$Q331,0)+IF(ISNUMBER(S331), VLOOKUP(S331/$AH331,F!$A1:$B101,2,1)*S331*$T331*$U331,0)+IF(ISNUMBER(W331), VLOOKUP(W331/$AH331,F!$A1:$B101,2,1)*W331*$X331*$Y331,0)+IF(ISNUMBER(AA331), VLOOKUP(AA331/$AH331,F!$A1:$B101,2,1)*AA331*$AB331*$AC331,0))*IF(ISNUMBER(F331),F331,1)*IF(ISNUMBER(E331),E331,1)</f>
        <v>0</v>
      </c>
      <c r="AJ331" s="178">
        <f t="shared" si="636"/>
        <v>0</v>
      </c>
      <c r="AK331" s="183">
        <f t="array" ref="AK331">IFERROR(I331*INDEX(F!$P$21:$AB$33, MATCH(G331/$AH331, F!$O$21:$O$33,1), MATCH(E331, F!$P$20:$AB$20,1)), 0 ) +IFERROR( M331*INDEX(F!$P$21:$AB$33, MATCH(K331/$AH331, F!$O$21:$O$33,1), MATCH(E331, F!$P$20:$AB$20,1)),0) +  IFERROR( Q331*INDEX(F!$P$21:$AB$33, MATCH(O331/$AH331, F!$O$21:$O$33,1), MATCH(E331, F!$P$20:$AB$20,1)), 0) + IFERROR( U331*INDEX(F!$P$21:$AB$33, MATCH(S331/$AH331, F!$O$21:$O$33,1), MATCH(E331, F!$P$20:$AB$20,1)),0)  + IFERROR(Y331*INDEX(F!$P$21:$AB$33, MATCH(W331/$AH331, F!$O$21:$O$33,1), MATCH(E331, F!$P$20:$AB$20,1)),0)  + IFERROR( AC331*INDEX(F!$P$21:$AB$33, MATCH(AA331/$AH331, F!$O$21:$O$33,1), MATCH(E331, F!$P$20:$AB$20,1)),)</f>
        <v>0</v>
      </c>
      <c r="AL331" s="59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ht="15.75" hidden="1" customHeight="1">
      <c r="A332" s="59"/>
      <c r="B332" s="135" t="str">
        <f t="shared" ref="B332:F332" si="638">IF(B276="","",B276)</f>
        <v/>
      </c>
      <c r="C332" s="136" t="str">
        <f t="shared" si="638"/>
        <v/>
      </c>
      <c r="D332" s="137" t="str">
        <f t="shared" si="638"/>
        <v/>
      </c>
      <c r="E332" s="48" t="str">
        <f t="shared" si="638"/>
        <v/>
      </c>
      <c r="F332" s="138" t="str">
        <f t="shared" si="638"/>
        <v/>
      </c>
      <c r="G332" s="139" t="str">
        <f t="shared" si="627"/>
        <v/>
      </c>
      <c r="H332" s="140"/>
      <c r="I332" s="140"/>
      <c r="J332" s="141"/>
      <c r="K332" s="139" t="str">
        <f t="shared" si="628"/>
        <v/>
      </c>
      <c r="L332" s="140"/>
      <c r="M332" s="140"/>
      <c r="N332" s="141"/>
      <c r="O332" s="139" t="str">
        <f t="shared" si="629"/>
        <v/>
      </c>
      <c r="P332" s="140"/>
      <c r="Q332" s="140"/>
      <c r="R332" s="141"/>
      <c r="S332" s="139" t="str">
        <f t="shared" si="630"/>
        <v/>
      </c>
      <c r="T332" s="140"/>
      <c r="U332" s="140"/>
      <c r="V332" s="141"/>
      <c r="W332" s="139" t="str">
        <f t="shared" si="631"/>
        <v/>
      </c>
      <c r="X332" s="140"/>
      <c r="Y332" s="140"/>
      <c r="Z332" s="141"/>
      <c r="AA332" s="139" t="str">
        <f t="shared" si="632"/>
        <v/>
      </c>
      <c r="AB332" s="140"/>
      <c r="AC332" s="140"/>
      <c r="AD332" s="141"/>
      <c r="AE332" s="142">
        <f t="shared" si="633"/>
        <v>0</v>
      </c>
      <c r="AF332" s="143">
        <f t="shared" si="538"/>
        <v>0</v>
      </c>
      <c r="AG332" s="144">
        <f t="shared" si="634"/>
        <v>0</v>
      </c>
      <c r="AH332" s="76" t="str">
        <f t="shared" si="635"/>
        <v/>
      </c>
      <c r="AI332" s="143">
        <f> ( IF(ISNUMBER(G332), VLOOKUP(G332/$AH332,F!$A1:$B101,2,1)*G332*$H332*$I332,0)+IF(ISNUMBER(K332), VLOOKUP(K332/$AH332,F!$A1:$B101,2,1)*K332*$L332*$M332,0)+IF(ISNUMBER(O332), VLOOKUP(O332/$AH332,F!$A1:$B101,2,1)*O332*$P332*$Q332,0)+IF(ISNUMBER(S332), VLOOKUP(S332/$AH332,F!$A1:$B101,2,1)*S332*$T332*$U332,0)+IF(ISNUMBER(W332), VLOOKUP(W332/$AH332,F!$A1:$B101,2,1)*W332*$X332*$Y332,0)+IF(ISNUMBER(AA332), VLOOKUP(AA332/$AH332,F!$A1:$B101,2,1)*AA332*$AB332*$AC332,0))*IF(ISNUMBER(F332),F332,1)*IF(ISNUMBER(E332),E332,1)</f>
        <v>0</v>
      </c>
      <c r="AJ332" s="140">
        <f t="shared" si="636"/>
        <v>0</v>
      </c>
      <c r="AK332" s="145">
        <f t="array" ref="AK332">IFERROR(I332*INDEX(F!$P$21:$AB$33, MATCH(G332/$AH332, F!$O$21:$O$33,1), MATCH(E332, F!$P$20:$AB$20,1)), 0 ) +IFERROR( M332*INDEX(F!$P$21:$AB$33, MATCH(K332/$AH332, F!$O$21:$O$33,1), MATCH(E332, F!$P$20:$AB$20,1)),0) +  IFERROR( Q332*INDEX(F!$P$21:$AB$33, MATCH(O332/$AH332, F!$O$21:$O$33,1), MATCH(E332, F!$P$20:$AB$20,1)), 0) + IFERROR( U332*INDEX(F!$P$21:$AB$33, MATCH(S332/$AH332, F!$O$21:$O$33,1), MATCH(E332, F!$P$20:$AB$20,1)),0)  + IFERROR(Y332*INDEX(F!$P$21:$AB$33, MATCH(W332/$AH332, F!$O$21:$O$33,1), MATCH(E332, F!$P$20:$AB$20,1)),0)  + IFERROR( AC332*INDEX(F!$P$21:$AB$33, MATCH(AA332/$AH332, F!$O$21:$O$33,1), MATCH(E332, F!$P$20:$AB$20,1)),)</f>
        <v>0</v>
      </c>
      <c r="AL332" s="59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ht="15.75" hidden="1" customHeight="1">
      <c r="A333" s="59"/>
      <c r="B333" s="173" t="str">
        <f t="shared" ref="B333:F333" si="639">IF(B277="","",B277)</f>
        <v/>
      </c>
      <c r="C333" s="174" t="str">
        <f t="shared" si="639"/>
        <v/>
      </c>
      <c r="D333" s="175" t="str">
        <f t="shared" si="639"/>
        <v/>
      </c>
      <c r="E333" s="48" t="str">
        <f t="shared" si="639"/>
        <v/>
      </c>
      <c r="F333" s="176" t="str">
        <f t="shared" si="639"/>
        <v/>
      </c>
      <c r="G333" s="177" t="str">
        <f t="shared" si="627"/>
        <v/>
      </c>
      <c r="H333" s="178"/>
      <c r="I333" s="178"/>
      <c r="J333" s="179"/>
      <c r="K333" s="177" t="str">
        <f t="shared" si="628"/>
        <v/>
      </c>
      <c r="L333" s="178"/>
      <c r="M333" s="178"/>
      <c r="N333" s="179"/>
      <c r="O333" s="177" t="str">
        <f t="shared" si="629"/>
        <v/>
      </c>
      <c r="P333" s="178"/>
      <c r="Q333" s="178"/>
      <c r="R333" s="179"/>
      <c r="S333" s="177" t="str">
        <f t="shared" si="630"/>
        <v/>
      </c>
      <c r="T333" s="178"/>
      <c r="U333" s="178"/>
      <c r="V333" s="179"/>
      <c r="W333" s="177" t="str">
        <f t="shared" si="631"/>
        <v/>
      </c>
      <c r="X333" s="178"/>
      <c r="Y333" s="178"/>
      <c r="Z333" s="179"/>
      <c r="AA333" s="177" t="str">
        <f t="shared" si="632"/>
        <v/>
      </c>
      <c r="AB333" s="178"/>
      <c r="AC333" s="178"/>
      <c r="AD333" s="179"/>
      <c r="AE333" s="180">
        <f t="shared" si="633"/>
        <v>0</v>
      </c>
      <c r="AF333" s="181">
        <f t="shared" si="538"/>
        <v>0</v>
      </c>
      <c r="AG333" s="182">
        <f t="shared" si="634"/>
        <v>0</v>
      </c>
      <c r="AH333" s="76" t="str">
        <f t="shared" si="635"/>
        <v/>
      </c>
      <c r="AI333" s="181">
        <f> ( IF(ISNUMBER(G333), VLOOKUP(G333/$AH333,F!$A1:$B101,2,1)*G333*$H333*$I333,0)+IF(ISNUMBER(K333), VLOOKUP(K333/$AH333,F!$A1:$B101,2,1)*K333*$L333*$M333,0)+IF(ISNUMBER(O333), VLOOKUP(O333/$AH333,F!$A1:$B101,2,1)*O333*$P333*$Q333,0)+IF(ISNUMBER(S333), VLOOKUP(S333/$AH333,F!$A1:$B101,2,1)*S333*$T333*$U333,0)+IF(ISNUMBER(W333), VLOOKUP(W333/$AH333,F!$A1:$B101,2,1)*W333*$X333*$Y333,0)+IF(ISNUMBER(AA333), VLOOKUP(AA333/$AH333,F!$A1:$B101,2,1)*AA333*$AB333*$AC333,0))*IF(ISNUMBER(F333),F333,1)*IF(ISNUMBER(E333),E333,1)</f>
        <v>0</v>
      </c>
      <c r="AJ333" s="178">
        <f t="shared" si="636"/>
        <v>0</v>
      </c>
      <c r="AK333" s="183">
        <f t="array" ref="AK333">IFERROR(I333*INDEX(F!$P$21:$AB$33, MATCH(G333/$AH333, F!$O$21:$O$33,1), MATCH(E333, F!$P$20:$AB$20,1)), 0 ) +IFERROR( M333*INDEX(F!$P$21:$AB$33, MATCH(K333/$AH333, F!$O$21:$O$33,1), MATCH(E333, F!$P$20:$AB$20,1)),0) +  IFERROR( Q333*INDEX(F!$P$21:$AB$33, MATCH(O333/$AH333, F!$O$21:$O$33,1), MATCH(E333, F!$P$20:$AB$20,1)), 0) + IFERROR( U333*INDEX(F!$P$21:$AB$33, MATCH(S333/$AH333, F!$O$21:$O$33,1), MATCH(E333, F!$P$20:$AB$20,1)),0)  + IFERROR(Y333*INDEX(F!$P$21:$AB$33, MATCH(W333/$AH333, F!$O$21:$O$33,1), MATCH(E333, F!$P$20:$AB$20,1)),0)  + IFERROR( AC333*INDEX(F!$P$21:$AB$33, MATCH(AA333/$AH333, F!$O$21:$O$33,1), MATCH(E333, F!$P$20:$AB$20,1)),)</f>
        <v>0</v>
      </c>
      <c r="AL333" s="59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ht="15.0" hidden="1" customHeight="1">
      <c r="A334" s="59"/>
      <c r="B334" s="135" t="str">
        <f t="shared" ref="B334:F334" si="640">IF(B278="","",B278)</f>
        <v/>
      </c>
      <c r="C334" s="136" t="str">
        <f t="shared" si="640"/>
        <v/>
      </c>
      <c r="D334" s="137" t="str">
        <f t="shared" si="640"/>
        <v/>
      </c>
      <c r="E334" s="48" t="str">
        <f t="shared" si="640"/>
        <v/>
      </c>
      <c r="F334" s="138" t="str">
        <f t="shared" si="640"/>
        <v/>
      </c>
      <c r="G334" s="139" t="str">
        <f t="shared" si="627"/>
        <v/>
      </c>
      <c r="H334" s="140"/>
      <c r="I334" s="140"/>
      <c r="J334" s="141"/>
      <c r="K334" s="139" t="str">
        <f t="shared" si="628"/>
        <v/>
      </c>
      <c r="L334" s="140"/>
      <c r="M334" s="140"/>
      <c r="N334" s="141"/>
      <c r="O334" s="139" t="str">
        <f t="shared" si="629"/>
        <v/>
      </c>
      <c r="P334" s="140"/>
      <c r="Q334" s="140"/>
      <c r="R334" s="141"/>
      <c r="S334" s="139" t="str">
        <f t="shared" si="630"/>
        <v/>
      </c>
      <c r="T334" s="140"/>
      <c r="U334" s="140"/>
      <c r="V334" s="141"/>
      <c r="W334" s="139" t="str">
        <f t="shared" si="631"/>
        <v/>
      </c>
      <c r="X334" s="140"/>
      <c r="Y334" s="140"/>
      <c r="Z334" s="141"/>
      <c r="AA334" s="139" t="str">
        <f t="shared" si="632"/>
        <v/>
      </c>
      <c r="AB334" s="140"/>
      <c r="AC334" s="140"/>
      <c r="AD334" s="141"/>
      <c r="AE334" s="142">
        <f t="shared" si="633"/>
        <v>0</v>
      </c>
      <c r="AF334" s="143">
        <f t="shared" si="538"/>
        <v>0</v>
      </c>
      <c r="AG334" s="144">
        <f t="shared" si="634"/>
        <v>0</v>
      </c>
      <c r="AH334" s="76" t="str">
        <f t="shared" si="635"/>
        <v/>
      </c>
      <c r="AI334" s="143">
        <f> ( IF(ISNUMBER(G334), VLOOKUP(G334/$AH334,F!$A1:$B101,2,1)*G334*$H334*$I334,0)+IF(ISNUMBER(K334), VLOOKUP(K334/$AH334,F!$A1:$B101,2,1)*K334*$L334*$M334,0)+IF(ISNUMBER(O334), VLOOKUP(O334/$AH334,F!$A1:$B101,2,1)*O334*$P334*$Q334,0)+IF(ISNUMBER(S334), VLOOKUP(S334/$AH334,F!$A1:$B101,2,1)*S334*$T334*$U334,0)+IF(ISNUMBER(W334), VLOOKUP(W334/$AH334,F!$A1:$B101,2,1)*W334*$X334*$Y334,0)+IF(ISNUMBER(AA334), VLOOKUP(AA334/$AH334,F!$A1:$B101,2,1)*AA334*$AB334*$AC334,0))*IF(ISNUMBER(F334),F334,1)*IF(ISNUMBER(E334),E334,1)</f>
        <v>0</v>
      </c>
      <c r="AJ334" s="140">
        <f t="shared" si="636"/>
        <v>0</v>
      </c>
      <c r="AK334" s="145">
        <f t="array" ref="AK334">IFERROR(I334*INDEX(F!$P$21:$AB$33, MATCH(G334/$AH334, F!$O$21:$O$33,1), MATCH(E334, F!$P$20:$AB$20,1)), 0 ) +IFERROR( M334*INDEX(F!$P$21:$AB$33, MATCH(K334/$AH334, F!$O$21:$O$33,1), MATCH(E334, F!$P$20:$AB$20,1)),0) +  IFERROR( Q334*INDEX(F!$P$21:$AB$33, MATCH(O334/$AH334, F!$O$21:$O$33,1), MATCH(E334, F!$P$20:$AB$20,1)), 0) + IFERROR( U334*INDEX(F!$P$21:$AB$33, MATCH(S334/$AH334, F!$O$21:$O$33,1), MATCH(E334, F!$P$20:$AB$20,1)),0)  + IFERROR(Y334*INDEX(F!$P$21:$AB$33, MATCH(W334/$AH334, F!$O$21:$O$33,1), MATCH(E334, F!$P$20:$AB$20,1)),0)  + IFERROR( AC334*INDEX(F!$P$21:$AB$33, MATCH(AA334/$AH334, F!$O$21:$O$33,1), MATCH(E334, F!$P$20:$AB$20,1)),)</f>
        <v>0</v>
      </c>
      <c r="AL334" s="59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ht="15.75" hidden="1" customHeight="1">
      <c r="A335" s="59"/>
      <c r="B335" s="173" t="str">
        <f t="shared" ref="B335:F335" si="641">IF(B279="","",B279)</f>
        <v/>
      </c>
      <c r="C335" s="174" t="str">
        <f t="shared" si="641"/>
        <v/>
      </c>
      <c r="D335" s="175" t="str">
        <f t="shared" si="641"/>
        <v/>
      </c>
      <c r="E335" s="48" t="str">
        <f t="shared" si="641"/>
        <v/>
      </c>
      <c r="F335" s="176" t="str">
        <f t="shared" si="641"/>
        <v/>
      </c>
      <c r="G335" s="177" t="str">
        <f t="shared" si="627"/>
        <v/>
      </c>
      <c r="H335" s="178"/>
      <c r="I335" s="178"/>
      <c r="J335" s="179"/>
      <c r="K335" s="177" t="str">
        <f t="shared" si="628"/>
        <v/>
      </c>
      <c r="L335" s="178"/>
      <c r="M335" s="178"/>
      <c r="N335" s="179"/>
      <c r="O335" s="177" t="str">
        <f t="shared" si="629"/>
        <v/>
      </c>
      <c r="P335" s="178"/>
      <c r="Q335" s="178"/>
      <c r="R335" s="179"/>
      <c r="S335" s="177" t="str">
        <f t="shared" si="630"/>
        <v/>
      </c>
      <c r="T335" s="178"/>
      <c r="U335" s="178"/>
      <c r="V335" s="179"/>
      <c r="W335" s="177" t="str">
        <f t="shared" si="631"/>
        <v/>
      </c>
      <c r="X335" s="178"/>
      <c r="Y335" s="178"/>
      <c r="Z335" s="179"/>
      <c r="AA335" s="177" t="str">
        <f t="shared" si="632"/>
        <v/>
      </c>
      <c r="AB335" s="178"/>
      <c r="AC335" s="178"/>
      <c r="AD335" s="179"/>
      <c r="AE335" s="180">
        <f t="shared" si="633"/>
        <v>0</v>
      </c>
      <c r="AF335" s="181">
        <f t="shared" si="538"/>
        <v>0</v>
      </c>
      <c r="AG335" s="182">
        <f t="shared" si="634"/>
        <v>0</v>
      </c>
      <c r="AH335" s="76" t="str">
        <f t="shared" si="635"/>
        <v/>
      </c>
      <c r="AI335" s="181">
        <f> ( IF(ISNUMBER(G335), VLOOKUP(G335/$AH335,F!$A1:$B101,2,1)*G335*$H335*$I335,0)+IF(ISNUMBER(K335), VLOOKUP(K335/$AH335,F!$A1:$B101,2,1)*K335*$L335*$M335,0)+IF(ISNUMBER(O335), VLOOKUP(O335/$AH335,F!$A1:$B101,2,1)*O335*$P335*$Q335,0)+IF(ISNUMBER(S335), VLOOKUP(S335/$AH335,F!$A1:$B101,2,1)*S335*$T335*$U335,0)+IF(ISNUMBER(W335), VLOOKUP(W335/$AH335,F!$A1:$B101,2,1)*W335*$X335*$Y335,0)+IF(ISNUMBER(AA335), VLOOKUP(AA335/$AH335,F!$A1:$B101,2,1)*AA335*$AB335*$AC335,0))*IF(ISNUMBER(F335),F335,1)*IF(ISNUMBER(E335),E335,1)</f>
        <v>0</v>
      </c>
      <c r="AJ335" s="178">
        <f t="shared" si="636"/>
        <v>0</v>
      </c>
      <c r="AK335" s="183">
        <f t="array" ref="AK335">IFERROR(I335*INDEX(F!$P$21:$AB$33, MATCH(G335/$AH335, F!$O$21:$O$33,1), MATCH(E335, F!$P$20:$AB$20,1)), 0 ) +IFERROR( M335*INDEX(F!$P$21:$AB$33, MATCH(K335/$AH335, F!$O$21:$O$33,1), MATCH(E335, F!$P$20:$AB$20,1)),0) +  IFERROR( Q335*INDEX(F!$P$21:$AB$33, MATCH(O335/$AH335, F!$O$21:$O$33,1), MATCH(E335, F!$P$20:$AB$20,1)), 0) + IFERROR( U335*INDEX(F!$P$21:$AB$33, MATCH(S335/$AH335, F!$O$21:$O$33,1), MATCH(E335, F!$P$20:$AB$20,1)),0)  + IFERROR(Y335*INDEX(F!$P$21:$AB$33, MATCH(W335/$AH335, F!$O$21:$O$33,1), MATCH(E335, F!$P$20:$AB$20,1)),0)  + IFERROR( AC335*INDEX(F!$P$21:$AB$33, MATCH(AA335/$AH335, F!$O$21:$O$33,1), MATCH(E335, F!$P$20:$AB$20,1)),)</f>
        <v>0</v>
      </c>
      <c r="AL335" s="59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ht="15.75" hidden="1" customHeight="1">
      <c r="A336" s="59"/>
      <c r="B336" s="135" t="str">
        <f t="shared" ref="B336:F336" si="642">IF(B280="","",B280)</f>
        <v/>
      </c>
      <c r="C336" s="136" t="str">
        <f t="shared" si="642"/>
        <v/>
      </c>
      <c r="D336" s="137" t="str">
        <f t="shared" si="642"/>
        <v/>
      </c>
      <c r="E336" s="48" t="str">
        <f t="shared" si="642"/>
        <v/>
      </c>
      <c r="F336" s="138" t="str">
        <f t="shared" si="642"/>
        <v/>
      </c>
      <c r="G336" s="139" t="str">
        <f t="shared" si="627"/>
        <v/>
      </c>
      <c r="H336" s="140"/>
      <c r="I336" s="140"/>
      <c r="J336" s="141"/>
      <c r="K336" s="139" t="str">
        <f t="shared" si="628"/>
        <v/>
      </c>
      <c r="L336" s="140"/>
      <c r="M336" s="140"/>
      <c r="N336" s="141"/>
      <c r="O336" s="139" t="str">
        <f t="shared" si="629"/>
        <v/>
      </c>
      <c r="P336" s="140"/>
      <c r="Q336" s="140"/>
      <c r="R336" s="141"/>
      <c r="S336" s="139" t="str">
        <f t="shared" si="630"/>
        <v/>
      </c>
      <c r="T336" s="140"/>
      <c r="U336" s="140"/>
      <c r="V336" s="141"/>
      <c r="W336" s="139" t="str">
        <f t="shared" si="631"/>
        <v/>
      </c>
      <c r="X336" s="140"/>
      <c r="Y336" s="140"/>
      <c r="Z336" s="141"/>
      <c r="AA336" s="139" t="str">
        <f t="shared" si="632"/>
        <v/>
      </c>
      <c r="AB336" s="140"/>
      <c r="AC336" s="140"/>
      <c r="AD336" s="141"/>
      <c r="AE336" s="142">
        <f t="shared" si="633"/>
        <v>0</v>
      </c>
      <c r="AF336" s="143">
        <f t="shared" si="538"/>
        <v>0</v>
      </c>
      <c r="AG336" s="144">
        <f t="shared" si="634"/>
        <v>0</v>
      </c>
      <c r="AH336" s="76" t="str">
        <f t="shared" si="635"/>
        <v/>
      </c>
      <c r="AI336" s="143">
        <f> ( IF(ISNUMBER(G336), VLOOKUP(G336/$AH336,F!$A1:$B101,2,1)*G336*$H336*$I336,0)+IF(ISNUMBER(K336), VLOOKUP(K336/$AH336,F!$A1:$B101,2,1)*K336*$L336*$M336,0)+IF(ISNUMBER(O336), VLOOKUP(O336/$AH336,F!$A1:$B101,2,1)*O336*$P336*$Q336,0)+IF(ISNUMBER(S336), VLOOKUP(S336/$AH336,F!$A1:$B101,2,1)*S336*$T336*$U336,0)+IF(ISNUMBER(W336), VLOOKUP(W336/$AH336,F!$A1:$B101,2,1)*W336*$X336*$Y336,0)+IF(ISNUMBER(AA336), VLOOKUP(AA336/$AH336,F!$A1:$B101,2,1)*AA336*$AB336*$AC336,0))*IF(ISNUMBER(F336),F336,1)*IF(ISNUMBER(E336),E336,1)</f>
        <v>0</v>
      </c>
      <c r="AJ336" s="140">
        <f t="shared" si="636"/>
        <v>0</v>
      </c>
      <c r="AK336" s="145">
        <f t="array" ref="AK336">IFERROR(I336*INDEX(F!$P$21:$AB$33, MATCH(G336/$AH336, F!$O$21:$O$33,1), MATCH(E336, F!$P$20:$AB$20,1)), 0 ) +IFERROR( M336*INDEX(F!$P$21:$AB$33, MATCH(K336/$AH336, F!$O$21:$O$33,1), MATCH(E336, F!$P$20:$AB$20,1)),0) +  IFERROR( Q336*INDEX(F!$P$21:$AB$33, MATCH(O336/$AH336, F!$O$21:$O$33,1), MATCH(E336, F!$P$20:$AB$20,1)), 0) + IFERROR( U336*INDEX(F!$P$21:$AB$33, MATCH(S336/$AH336, F!$O$21:$O$33,1), MATCH(E336, F!$P$20:$AB$20,1)),0)  + IFERROR(Y336*INDEX(F!$P$21:$AB$33, MATCH(W336/$AH336, F!$O$21:$O$33,1), MATCH(E336, F!$P$20:$AB$20,1)),0)  + IFERROR( AC336*INDEX(F!$P$21:$AB$33, MATCH(AA336/$AH336, F!$O$21:$O$33,1), MATCH(E336, F!$P$20:$AB$20,1)),)</f>
        <v>0</v>
      </c>
      <c r="AL336" s="59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ht="15.75" hidden="1" customHeight="1">
      <c r="A337" s="98"/>
      <c r="B337" s="188"/>
      <c r="C337" s="189"/>
      <c r="D337" s="190"/>
      <c r="E337" s="102">
        <f>ROUND(IFERROR(SUMPRODUCT(AJ329:AJ336,E329:E336)/AJ337,0),3)</f>
        <v>0</v>
      </c>
      <c r="F337" s="191"/>
      <c r="G337" s="201"/>
      <c r="H337" s="193"/>
      <c r="I337" s="193"/>
      <c r="J337" s="194"/>
      <c r="K337" s="201"/>
      <c r="L337" s="193"/>
      <c r="M337" s="193"/>
      <c r="N337" s="194"/>
      <c r="O337" s="201"/>
      <c r="P337" s="193"/>
      <c r="Q337" s="193"/>
      <c r="R337" s="194"/>
      <c r="S337" s="201"/>
      <c r="T337" s="193"/>
      <c r="U337" s="193"/>
      <c r="V337" s="194"/>
      <c r="W337" s="201"/>
      <c r="X337" s="193"/>
      <c r="Y337" s="193"/>
      <c r="Z337" s="194"/>
      <c r="AA337" s="201"/>
      <c r="AB337" s="193"/>
      <c r="AC337" s="193"/>
      <c r="AD337" s="194"/>
      <c r="AE337" s="107">
        <f>SUM(AE329:AE336)</f>
        <v>0</v>
      </c>
      <c r="AF337" s="108">
        <f t="shared" si="538"/>
        <v>0</v>
      </c>
      <c r="AG337" s="109">
        <f>IFERROR(  SUMPRODUCT(AG329:AG336,AJ329:AJ336)/AJ337,0)</f>
        <v>0</v>
      </c>
      <c r="AH337" s="157"/>
      <c r="AI337" s="111">
        <f t="shared" ref="AI337:AJ337" si="643">SUM(AI329:AI336)</f>
        <v>0</v>
      </c>
      <c r="AJ337" s="111">
        <f t="shared" si="643"/>
        <v>0</v>
      </c>
      <c r="AK337" s="112">
        <f>IF(SUM(AK329:AK336)=0,TIME(,0,),TIME(,SUM(AK329:AK336)+F!$V$37,))</f>
        <v>0</v>
      </c>
      <c r="AL337" s="98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ht="15.75" hidden="1" customHeight="1">
      <c r="A338" s="5">
        <f>A282</f>
        <v>7</v>
      </c>
      <c r="B338" s="6"/>
      <c r="C338" s="6"/>
      <c r="D338" s="6"/>
      <c r="E338" s="7">
        <f>IF(AJ338=0,0,(E348*AJ348 + E357*AJ357 + E366*AJ366 + E375*AJ375 + E384*AJ384 + E393*AJ393   ) /AJ338 )</f>
        <v>0</v>
      </c>
      <c r="F338" s="8" t="s">
        <v>0</v>
      </c>
      <c r="G338" s="9"/>
      <c r="H338" s="9"/>
      <c r="I338" s="9"/>
      <c r="J338" s="9"/>
      <c r="K338" s="9"/>
      <c r="L338" s="9"/>
      <c r="M338" s="10"/>
      <c r="N338" s="228">
        <f>N282+1</f>
        <v>7</v>
      </c>
      <c r="O338" s="222"/>
      <c r="P338" s="222"/>
      <c r="Q338" s="222"/>
      <c r="R338" s="222"/>
      <c r="S338" s="222"/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3"/>
      <c r="AE338" s="5">
        <f>AE348+AE357+AE366+AE375+AE384+AE393</f>
        <v>0</v>
      </c>
      <c r="AF338" s="229">
        <f t="shared" si="538"/>
        <v>0</v>
      </c>
      <c r="AG338" s="230">
        <f>IF(AJ338=0,0,(AG348*AJ348 + AG357*AJ357 + AG366*AJ366 + AG375*AJ375 + AG384*AJ384 + AG393*AJ393   ) /AJ338 )</f>
        <v>0</v>
      </c>
      <c r="AH338" s="210">
        <f>AH282</f>
        <v>0.02</v>
      </c>
      <c r="AI338" s="5">
        <f t="shared" ref="AI338:AK338" si="644">AI348+AI357+AI366+AI375+AI384+AI393</f>
        <v>0</v>
      </c>
      <c r="AJ338" s="5">
        <f t="shared" si="644"/>
        <v>0</v>
      </c>
      <c r="AK338" s="231">
        <f t="shared" si="644"/>
        <v>0</v>
      </c>
      <c r="AL338" s="218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ht="15.75" hidden="1" customHeight="1">
      <c r="A339" s="19" t="s">
        <v>1</v>
      </c>
      <c r="B339" s="20" t="s">
        <v>2</v>
      </c>
      <c r="C339" s="20" t="s">
        <v>3</v>
      </c>
      <c r="D339" s="20" t="s">
        <v>4</v>
      </c>
      <c r="E339" s="20" t="s">
        <v>5</v>
      </c>
      <c r="F339" s="20" t="s">
        <v>6</v>
      </c>
      <c r="G339" s="20" t="s">
        <v>7</v>
      </c>
      <c r="H339" s="20" t="s">
        <v>8</v>
      </c>
      <c r="I339" s="20" t="s">
        <v>9</v>
      </c>
      <c r="J339" s="20" t="s">
        <v>10</v>
      </c>
      <c r="K339" s="20" t="s">
        <v>7</v>
      </c>
      <c r="L339" s="20" t="s">
        <v>8</v>
      </c>
      <c r="M339" s="20" t="s">
        <v>9</v>
      </c>
      <c r="N339" s="20" t="s">
        <v>10</v>
      </c>
      <c r="O339" s="20" t="s">
        <v>7</v>
      </c>
      <c r="P339" s="20" t="s">
        <v>8</v>
      </c>
      <c r="Q339" s="20" t="s">
        <v>9</v>
      </c>
      <c r="R339" s="20" t="s">
        <v>10</v>
      </c>
      <c r="S339" s="20" t="s">
        <v>7</v>
      </c>
      <c r="T339" s="20" t="s">
        <v>8</v>
      </c>
      <c r="U339" s="20" t="s">
        <v>9</v>
      </c>
      <c r="V339" s="20" t="s">
        <v>10</v>
      </c>
      <c r="W339" s="20" t="s">
        <v>7</v>
      </c>
      <c r="X339" s="20" t="s">
        <v>8</v>
      </c>
      <c r="Y339" s="20" t="s">
        <v>9</v>
      </c>
      <c r="Z339" s="20" t="s">
        <v>10</v>
      </c>
      <c r="AA339" s="20" t="s">
        <v>7</v>
      </c>
      <c r="AB339" s="20" t="s">
        <v>8</v>
      </c>
      <c r="AC339" s="20" t="s">
        <v>9</v>
      </c>
      <c r="AD339" s="21" t="s">
        <v>10</v>
      </c>
      <c r="AE339" s="20" t="s">
        <v>11</v>
      </c>
      <c r="AF339" s="20" t="s">
        <v>12</v>
      </c>
      <c r="AG339" s="20" t="s">
        <v>13</v>
      </c>
      <c r="AH339" s="213" t="s">
        <v>14</v>
      </c>
      <c r="AI339" s="23" t="s">
        <v>15</v>
      </c>
      <c r="AJ339" s="20" t="s">
        <v>16</v>
      </c>
      <c r="AK339" s="21" t="s">
        <v>17</v>
      </c>
      <c r="AL339" s="214" t="s">
        <v>18</v>
      </c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ht="15.75" hidden="1" customHeight="1">
      <c r="A340" s="25">
        <f>A341</f>
        <v>43822</v>
      </c>
      <c r="B340" s="26" t="str">
        <f t="shared" ref="B340:F340" si="645">IF(B284="","",B284)</f>
        <v>Средняя</v>
      </c>
      <c r="C340" s="27" t="str">
        <f t="shared" si="645"/>
        <v>ПР</v>
      </c>
      <c r="D340" s="28" t="str">
        <f t="shared" si="645"/>
        <v>Присед</v>
      </c>
      <c r="E340" s="29">
        <f t="shared" si="645"/>
        <v>1.2</v>
      </c>
      <c r="F340" s="30" t="str">
        <f t="shared" si="645"/>
        <v/>
      </c>
      <c r="G340" s="31" t="str">
        <f t="shared" ref="G340:G347" si="647">IF(J340&lt;&gt;0, IFERROR(IF( $F340=2,  MROUND($AH340*J340,1),    IF( OR($F340="",$F340=1),   MROUND($AH340*J340,2.5),  MROUND($AH340*J340, 0.1))), "" ), "")</f>
        <v/>
      </c>
      <c r="H340" s="32"/>
      <c r="I340" s="32"/>
      <c r="J340" s="33"/>
      <c r="K340" s="31" t="str">
        <f t="shared" ref="K340:K347" si="648">IF(N340&lt;&gt;0, IFERROR(IF( $F340=2,  MROUND($AH340*N340,1),    IF( OR($F340="",$F340=1),   MROUND($AH340*N340,2.5),  MROUND($AH340*N340, 0.1))), "" ), "")</f>
        <v/>
      </c>
      <c r="L340" s="32"/>
      <c r="M340" s="32"/>
      <c r="N340" s="33"/>
      <c r="O340" s="31" t="str">
        <f t="shared" ref="O340:O347" si="649">IF(R340&lt;&gt;0, IFERROR(IF( $F340=2,  MROUND($AH340*R340,1),    IF( OR($F340="",$F340=1),   MROUND($AH340*R340,2.5),  MROUND($AH340*R340, 0.1))), "" ), "")</f>
        <v/>
      </c>
      <c r="P340" s="32"/>
      <c r="Q340" s="32"/>
      <c r="R340" s="33"/>
      <c r="S340" s="31" t="str">
        <f t="shared" ref="S340:S347" si="650">IF(V340&lt;&gt;0, IFERROR(IF( $F340=2,  MROUND($AH340*V340,1),    IF( OR($F340="",$F340=1),   MROUND($AH340*V340,2.5),  MROUND($AH340*V340, 0.1))), "" ), "")</f>
        <v/>
      </c>
      <c r="T340" s="32"/>
      <c r="U340" s="32"/>
      <c r="V340" s="33"/>
      <c r="W340" s="31" t="str">
        <f t="shared" ref="W340:W347" si="651">IF(Z340&lt;&gt;0, IFERROR(IF( $F340=2,  MROUND($AH340*Z340,1),    IF( OR($F340="",$F340=1),   MROUND($AH340*Z340,2.5),  MROUND($AH340*Z340, 0.1))), "" ), "")</f>
        <v/>
      </c>
      <c r="X340" s="32"/>
      <c r="Y340" s="32"/>
      <c r="Z340" s="33"/>
      <c r="AA340" s="31" t="str">
        <f t="shared" ref="AA340:AA347" si="652">IF(AD340&lt;&gt;0, IFERROR(IF( $F340=2,  MROUND($AH340*AD340,1),    IF( OR($F340="",$F340=1),   MROUND($AH340*AD340,2.5),  MROUND($AH340*AD340, 0.1))), "" ), "")</f>
        <v/>
      </c>
      <c r="AB340" s="32"/>
      <c r="AC340" s="32"/>
      <c r="AD340" s="33"/>
      <c r="AE340" s="35">
        <f t="shared" ref="AE340:AE347" si="653">(IF(ISNUMBER(G340),G340,0)*H340*I340+IF(ISNUMBER(K340),K340,1)*L340*M340+IF(ISNUMBER(O340),O340,1)*P340*Q340+IF(ISNUMBER(S340),S340,1)*T340*U340+IF(ISNUMBER(W340),W340,1)*X340*Y340+IF(ISNUMBER(AA340),AA340,1)*AB340*AC340)*IF(ISNUMBER(F340),F340,1)</f>
        <v>0</v>
      </c>
      <c r="AF340" s="36">
        <f t="shared" ref="AF340:AF394" si="654">IFERROR(AE340/AJ340,0)</f>
        <v>0</v>
      </c>
      <c r="AG340" s="195">
        <f t="shared" ref="AG340:AG347" si="655">IFERROR((AF340/(AH340*IF(ISNUMBER(F340),F340,1))),0)</f>
        <v>0</v>
      </c>
      <c r="AH340" s="169">
        <f t="shared" ref="AH340:AH347" si="656">IF(ISNUMBER(AH284), AH284+(AH284*$AH$338),"")</f>
        <v>152.0319266</v>
      </c>
      <c r="AI340" s="70">
        <f> ( IF(ISNUMBER(G340), VLOOKUP(G340/$AH340,F!$A1:$B101,2,1)*G340*$H340*$I340,0)+IF(ISNUMBER(K340), VLOOKUP(K340/$AH340,F!$A1:$B101,2,1)*K340*$L340*$M340,0)+IF(ISNUMBER(O340), VLOOKUP(O340/$AH340,F!$A1:$B101,2,1)*O340*$P340*$Q340,0)+IF(ISNUMBER(S340), VLOOKUP(S340/$AH340,F!$A1:$B101,2,1)*S340*$T340*$U340,0)+IF(ISNUMBER(W340), VLOOKUP(W340/$AH340,F!$A1:$B101,2,1)*W340*$X340*$Y340,0)+IF(ISNUMBER(AA340), VLOOKUP(AA340/$AH340,F!$A1:$B101,2,1)*AA340*$AB340*$AC340,0))*IF(ISNUMBER(F340),F340,1)*IF(ISNUMBER(E340),E340,1)</f>
        <v>0</v>
      </c>
      <c r="AJ340" s="40">
        <f t="shared" ref="AJ340:AJ347" si="657">H340*I340+L340*M340+P340*Q340+T340*U340+X340*Y340+AB340*AC340</f>
        <v>0</v>
      </c>
      <c r="AK340" s="41">
        <f t="array" ref="AK340">IFERROR(I340*INDEX(F!$P$21:$AB$33, MATCH(G340/$AH340, F!$O$21:$O$33,1), MATCH(E340, F!$P$20:$AB$20,1)), 0 ) +IFERROR( M340*INDEX(F!$P$21:$AB$33, MATCH(K340/$AH340, F!$O$21:$O$33,1), MATCH(E340, F!$P$20:$AB$20,1)),0) +  IFERROR( Q340*INDEX(F!$P$21:$AB$33, MATCH(O340/$AH340, F!$O$21:$O$33,1), MATCH(E340, F!$P$20:$AB$20,1)), 0) + IFERROR( U340*INDEX(F!$P$21:$AB$33, MATCH(S340/$AH340, F!$O$21:$O$33,1), MATCH(E340, F!$P$20:$AB$20,1)),0)  + IFERROR(Y340*INDEX(F!$P$21:$AB$33, MATCH(W340/$AH340, F!$O$21:$O$33,1), MATCH(E340, F!$P$20:$AB$20,1)),0)  + IFERROR( AC340*INDEX(F!$P$21:$AB$33, MATCH(AA340/$AH340, F!$O$21:$O$33,1), MATCH(E340, F!$P$20:$AB$20,1)),)</f>
        <v>0</v>
      </c>
      <c r="AL340" s="42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ht="15.0" hidden="1" customHeight="1">
      <c r="A341" s="44">
        <f>A285+A282</f>
        <v>43822</v>
      </c>
      <c r="B341" s="45" t="str">
        <f t="shared" ref="B341:F341" si="646">IF(B285="","",B285)</f>
        <v>Средняя</v>
      </c>
      <c r="C341" s="46" t="str">
        <f t="shared" si="646"/>
        <v>ЖМ</v>
      </c>
      <c r="D341" s="47" t="str">
        <f t="shared" si="646"/>
        <v>Жим лежа</v>
      </c>
      <c r="E341" s="48">
        <f t="shared" si="646"/>
        <v>1</v>
      </c>
      <c r="F341" s="49" t="str">
        <f t="shared" si="646"/>
        <v/>
      </c>
      <c r="G341" s="50" t="str">
        <f t="shared" si="647"/>
        <v/>
      </c>
      <c r="H341" s="51"/>
      <c r="I341" s="51"/>
      <c r="J341" s="52"/>
      <c r="K341" s="50" t="str">
        <f t="shared" si="648"/>
        <v/>
      </c>
      <c r="L341" s="51"/>
      <c r="M341" s="51"/>
      <c r="N341" s="52"/>
      <c r="O341" s="50" t="str">
        <f t="shared" si="649"/>
        <v/>
      </c>
      <c r="P341" s="51"/>
      <c r="Q341" s="51"/>
      <c r="R341" s="52"/>
      <c r="S341" s="50" t="str">
        <f t="shared" si="650"/>
        <v/>
      </c>
      <c r="T341" s="51"/>
      <c r="U341" s="51"/>
      <c r="V341" s="52"/>
      <c r="W341" s="50" t="str">
        <f t="shared" si="651"/>
        <v/>
      </c>
      <c r="X341" s="51"/>
      <c r="Y341" s="51"/>
      <c r="Z341" s="52"/>
      <c r="AA341" s="50" t="str">
        <f t="shared" si="652"/>
        <v/>
      </c>
      <c r="AB341" s="51"/>
      <c r="AC341" s="51"/>
      <c r="AD341" s="52"/>
      <c r="AE341" s="53">
        <f t="shared" si="653"/>
        <v>0</v>
      </c>
      <c r="AF341" s="54">
        <f t="shared" si="654"/>
        <v>0</v>
      </c>
      <c r="AG341" s="75">
        <f t="shared" si="655"/>
        <v>0</v>
      </c>
      <c r="AH341" s="76">
        <f t="shared" si="656"/>
        <v>106.9854298</v>
      </c>
      <c r="AI341" s="77">
        <f> ( IF(ISNUMBER(G341), VLOOKUP(G341/$AH341,F!$A1:$B101,2,1)*G341*$H341*$I341,0)+IF(ISNUMBER(K341), VLOOKUP(K341/$AH341,F!$A1:$B101,2,1)*K341*$L341*$M341,0)+IF(ISNUMBER(O341), VLOOKUP(O341/$AH341,F!$A1:$B101,2,1)*O341*$P341*$Q341,0)+IF(ISNUMBER(S341), VLOOKUP(S341/$AH341,F!$A1:$B101,2,1)*S341*$T341*$U341,0)+IF(ISNUMBER(W341), VLOOKUP(W341/$AH341,F!$A1:$B101,2,1)*W341*$X341*$Y341,0)+IF(ISNUMBER(AA341), VLOOKUP(AA341/$AH341,F!$A1:$B101,2,1)*AA341*$AB341*$AC341,0))*IF(ISNUMBER(F341),F341,1)*IF(ISNUMBER(E341),E341,1)</f>
        <v>0</v>
      </c>
      <c r="AJ341" s="57">
        <f t="shared" si="657"/>
        <v>0</v>
      </c>
      <c r="AK341" s="58">
        <f t="array" ref="AK341">IFERROR(I341*INDEX(F!$P$21:$AB$33, MATCH(G341/$AH341, F!$O$21:$O$33,1), MATCH(E341, F!$P$20:$AB$20,1)), 0 ) +IFERROR( M341*INDEX(F!$P$21:$AB$33, MATCH(K341/$AH341, F!$O$21:$O$33,1), MATCH(E341, F!$P$20:$AB$20,1)),0) +  IFERROR( Q341*INDEX(F!$P$21:$AB$33, MATCH(O341/$AH341, F!$O$21:$O$33,1), MATCH(E341, F!$P$20:$AB$20,1)), 0) + IFERROR( U341*INDEX(F!$P$21:$AB$33, MATCH(S341/$AH341, F!$O$21:$O$33,1), MATCH(E341, F!$P$20:$AB$20,1)),0)  + IFERROR(Y341*INDEX(F!$P$21:$AB$33, MATCH(W341/$AH341, F!$O$21:$O$33,1), MATCH(E341, F!$P$20:$AB$20,1)),0)  + IFERROR( AC341*INDEX(F!$P$21:$AB$33, MATCH(AA341/$AH341, F!$O$21:$O$33,1), MATCH(E341, F!$P$20:$AB$20,1)),)</f>
        <v>0</v>
      </c>
      <c r="AL341" s="59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ht="15.75" hidden="1" customHeight="1">
      <c r="A342" s="59"/>
      <c r="B342" s="60" t="str">
        <f t="shared" ref="B342:F342" si="658">IF(B286="","",B286)</f>
        <v>Тяжелая</v>
      </c>
      <c r="C342" s="61" t="str">
        <f t="shared" si="658"/>
        <v>ПР</v>
      </c>
      <c r="D342" s="62" t="str">
        <f t="shared" si="658"/>
        <v>Присед</v>
      </c>
      <c r="E342" s="48">
        <f t="shared" si="658"/>
        <v>1.2</v>
      </c>
      <c r="F342" s="63" t="str">
        <f t="shared" si="658"/>
        <v/>
      </c>
      <c r="G342" s="64" t="str">
        <f t="shared" si="647"/>
        <v/>
      </c>
      <c r="H342" s="34"/>
      <c r="I342" s="34"/>
      <c r="J342" s="65"/>
      <c r="K342" s="64" t="str">
        <f t="shared" si="648"/>
        <v/>
      </c>
      <c r="L342" s="34"/>
      <c r="M342" s="34"/>
      <c r="N342" s="65"/>
      <c r="O342" s="64" t="str">
        <f t="shared" si="649"/>
        <v/>
      </c>
      <c r="P342" s="34"/>
      <c r="Q342" s="34"/>
      <c r="R342" s="65"/>
      <c r="S342" s="64" t="str">
        <f t="shared" si="650"/>
        <v/>
      </c>
      <c r="T342" s="34"/>
      <c r="U342" s="34"/>
      <c r="V342" s="65"/>
      <c r="W342" s="64" t="str">
        <f t="shared" si="651"/>
        <v/>
      </c>
      <c r="X342" s="34"/>
      <c r="Y342" s="34"/>
      <c r="Z342" s="65"/>
      <c r="AA342" s="64" t="str">
        <f t="shared" si="652"/>
        <v/>
      </c>
      <c r="AB342" s="34"/>
      <c r="AC342" s="34"/>
      <c r="AD342" s="65"/>
      <c r="AE342" s="66">
        <f t="shared" si="653"/>
        <v>0</v>
      </c>
      <c r="AF342" s="67">
        <f t="shared" si="654"/>
        <v>0</v>
      </c>
      <c r="AG342" s="68">
        <f t="shared" si="655"/>
        <v>0</v>
      </c>
      <c r="AH342" s="76">
        <f t="shared" si="656"/>
        <v>152.0319266</v>
      </c>
      <c r="AI342" s="70">
        <f> ( IF(ISNUMBER(G342), VLOOKUP(G342/$AH342,F!$A1:$B101,2,1)*G342*$H342*$I342,0)+IF(ISNUMBER(K342), VLOOKUP(K342/$AH342,F!$A1:$B101,2,1)*K342*$L342*$M342,0)+IF(ISNUMBER(O342), VLOOKUP(O342/$AH342,F!$A1:$B101,2,1)*O342*$P342*$Q342,0)+IF(ISNUMBER(S342), VLOOKUP(S342/$AH342,F!$A1:$B101,2,1)*S342*$T342*$U342,0)+IF(ISNUMBER(W342), VLOOKUP(W342/$AH342,F!$A1:$B101,2,1)*W342*$X342*$Y342,0)+IF(ISNUMBER(AA342), VLOOKUP(AA342/$AH342,F!$A1:$B101,2,1)*AA342*$AB342*$AC342,0))*IF(ISNUMBER(F342),F342,1)*IF(ISNUMBER(E342),E342,1)</f>
        <v>0</v>
      </c>
      <c r="AJ342" s="71">
        <f t="shared" si="657"/>
        <v>0</v>
      </c>
      <c r="AK342" s="72">
        <f t="array" ref="AK342">IFERROR(I342*INDEX(F!$P$21:$AB$33, MATCH(G342/$AH342, F!$O$21:$O$33,1), MATCH(E342, F!$P$20:$AB$20,1)), 0 ) +IFERROR( M342*INDEX(F!$P$21:$AB$33, MATCH(K342/$AH342, F!$O$21:$O$33,1), MATCH(E342, F!$P$20:$AB$20,1)),0) +  IFERROR( Q342*INDEX(F!$P$21:$AB$33, MATCH(O342/$AH342, F!$O$21:$O$33,1), MATCH(E342, F!$P$20:$AB$20,1)), 0) + IFERROR( U342*INDEX(F!$P$21:$AB$33, MATCH(S342/$AH342, F!$O$21:$O$33,1), MATCH(E342, F!$P$20:$AB$20,1)),0)  + IFERROR(Y342*INDEX(F!$P$21:$AB$33, MATCH(W342/$AH342, F!$O$21:$O$33,1), MATCH(E342, F!$P$20:$AB$20,1)),0)  + IFERROR( AC342*INDEX(F!$P$21:$AB$33, MATCH(AA342/$AH342, F!$O$21:$O$33,1), MATCH(E342, F!$P$20:$AB$20,1)),)</f>
        <v>0</v>
      </c>
      <c r="AL342" s="5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ht="15.75" hidden="1" customHeight="1">
      <c r="A343" s="59"/>
      <c r="B343" s="215" t="str">
        <f t="shared" ref="B343:F343" si="659">IF(B287="","",B287)</f>
        <v>Средняя</v>
      </c>
      <c r="C343" s="73" t="str">
        <f t="shared" si="659"/>
        <v>ЖМ</v>
      </c>
      <c r="D343" s="47" t="str">
        <f t="shared" si="659"/>
        <v>Жим гантелей</v>
      </c>
      <c r="E343" s="48">
        <f t="shared" si="659"/>
        <v>1</v>
      </c>
      <c r="F343" s="74">
        <f t="shared" si="659"/>
        <v>2</v>
      </c>
      <c r="G343" s="50" t="str">
        <f t="shared" si="647"/>
        <v/>
      </c>
      <c r="H343" s="51"/>
      <c r="I343" s="51"/>
      <c r="J343" s="52"/>
      <c r="K343" s="50" t="str">
        <f t="shared" si="648"/>
        <v/>
      </c>
      <c r="L343" s="51"/>
      <c r="M343" s="51"/>
      <c r="N343" s="52"/>
      <c r="O343" s="50" t="str">
        <f t="shared" si="649"/>
        <v/>
      </c>
      <c r="P343" s="51"/>
      <c r="Q343" s="51"/>
      <c r="R343" s="52"/>
      <c r="S343" s="50" t="str">
        <f t="shared" si="650"/>
        <v/>
      </c>
      <c r="T343" s="51"/>
      <c r="U343" s="51"/>
      <c r="V343" s="52"/>
      <c r="W343" s="50" t="str">
        <f t="shared" si="651"/>
        <v/>
      </c>
      <c r="X343" s="51"/>
      <c r="Y343" s="51"/>
      <c r="Z343" s="52"/>
      <c r="AA343" s="50" t="str">
        <f t="shared" si="652"/>
        <v/>
      </c>
      <c r="AB343" s="51"/>
      <c r="AC343" s="51"/>
      <c r="AD343" s="52"/>
      <c r="AE343" s="53">
        <f t="shared" si="653"/>
        <v>0</v>
      </c>
      <c r="AF343" s="54">
        <f t="shared" si="654"/>
        <v>0</v>
      </c>
      <c r="AG343" s="75">
        <f t="shared" si="655"/>
        <v>0</v>
      </c>
      <c r="AH343" s="76">
        <f t="shared" si="656"/>
        <v>34.23533755</v>
      </c>
      <c r="AI343" s="77">
        <f> ( IF(ISNUMBER(G343), VLOOKUP(G343/$AH343,F!$A1:$B101,2,1)*G343*$H343*$I343,0)+IF(ISNUMBER(K343), VLOOKUP(K343/$AH343,F!$A1:$B101,2,1)*K343*$L343*$M343,0)+IF(ISNUMBER(O343), VLOOKUP(O343/$AH343,F!$A1:$B101,2,1)*O343*$P343*$Q343,0)+IF(ISNUMBER(S343), VLOOKUP(S343/$AH343,F!$A1:$B101,2,1)*S343*$T343*$U343,0)+IF(ISNUMBER(W343), VLOOKUP(W343/$AH343,F!$A1:$B101,2,1)*W343*$X343*$Y343,0)+IF(ISNUMBER(AA343), VLOOKUP(AA343/$AH343,F!$A1:$B101,2,1)*AA343*$AB343*$AC343,0))*IF(ISNUMBER(F343),F343,1)*IF(ISNUMBER(E343),E343,1)</f>
        <v>0</v>
      </c>
      <c r="AJ343" s="57">
        <f t="shared" si="657"/>
        <v>0</v>
      </c>
      <c r="AK343" s="58">
        <f t="array" ref="AK343">IFERROR(I343*INDEX(F!$P$21:$AB$33, MATCH(G343/$AH343, F!$O$21:$O$33,1), MATCH(E343, F!$P$20:$AB$20,1)), 0 ) +IFERROR( M343*INDEX(F!$P$21:$AB$33, MATCH(K343/$AH343, F!$O$21:$O$33,1), MATCH(E343, F!$P$20:$AB$20,1)),0) +  IFERROR( Q343*INDEX(F!$P$21:$AB$33, MATCH(O343/$AH343, F!$O$21:$O$33,1), MATCH(E343, F!$P$20:$AB$20,1)), 0) + IFERROR( U343*INDEX(F!$P$21:$AB$33, MATCH(S343/$AH343, F!$O$21:$O$33,1), MATCH(E343, F!$P$20:$AB$20,1)),0)  + IFERROR(Y343*INDEX(F!$P$21:$AB$33, MATCH(W343/$AH343, F!$O$21:$O$33,1), MATCH(E343, F!$P$20:$AB$20,1)),0)  + IFERROR( AC343*INDEX(F!$P$21:$AB$33, MATCH(AA343/$AH343, F!$O$21:$O$33,1), MATCH(E343, F!$P$20:$AB$20,1)),)</f>
        <v>0</v>
      </c>
      <c r="AL343" s="5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ht="15.75" hidden="1" customHeight="1">
      <c r="A344" s="59"/>
      <c r="B344" s="216" t="str">
        <f t="shared" ref="B344:F344" si="660">IF(B288="","",B288)</f>
        <v>Средняя</v>
      </c>
      <c r="C344" s="78" t="str">
        <f t="shared" si="660"/>
        <v>ОФП</v>
      </c>
      <c r="D344" s="62" t="str">
        <f t="shared" si="660"/>
        <v>Французский жим</v>
      </c>
      <c r="E344" s="48">
        <f t="shared" si="660"/>
        <v>0.4</v>
      </c>
      <c r="F344" s="79" t="str">
        <f t="shared" si="660"/>
        <v/>
      </c>
      <c r="G344" s="64" t="str">
        <f t="shared" si="647"/>
        <v/>
      </c>
      <c r="H344" s="34"/>
      <c r="I344" s="34"/>
      <c r="J344" s="65"/>
      <c r="K344" s="64" t="str">
        <f t="shared" si="648"/>
        <v/>
      </c>
      <c r="L344" s="34"/>
      <c r="M344" s="34"/>
      <c r="N344" s="65"/>
      <c r="O344" s="64" t="str">
        <f t="shared" si="649"/>
        <v/>
      </c>
      <c r="P344" s="34"/>
      <c r="Q344" s="34"/>
      <c r="R344" s="65"/>
      <c r="S344" s="64" t="str">
        <f t="shared" si="650"/>
        <v/>
      </c>
      <c r="T344" s="34"/>
      <c r="U344" s="34"/>
      <c r="V344" s="65"/>
      <c r="W344" s="64" t="str">
        <f t="shared" si="651"/>
        <v/>
      </c>
      <c r="X344" s="34"/>
      <c r="Y344" s="34"/>
      <c r="Z344" s="65"/>
      <c r="AA344" s="64" t="str">
        <f t="shared" si="652"/>
        <v/>
      </c>
      <c r="AB344" s="34"/>
      <c r="AC344" s="34"/>
      <c r="AD344" s="65"/>
      <c r="AE344" s="66">
        <f t="shared" si="653"/>
        <v>0</v>
      </c>
      <c r="AF344" s="67">
        <f t="shared" si="654"/>
        <v>0</v>
      </c>
      <c r="AG344" s="68">
        <f t="shared" si="655"/>
        <v>0</v>
      </c>
      <c r="AH344" s="76">
        <f t="shared" si="656"/>
        <v>49.21329772</v>
      </c>
      <c r="AI344" s="70">
        <f> ( IF(ISNUMBER(G344), VLOOKUP(G344/$AH344,F!$A1:$B101,2,1)*G344*$H344*$I344,0)+IF(ISNUMBER(K344), VLOOKUP(K344/$AH344,F!$A1:$B101,2,1)*K344*$L344*$M344,0)+IF(ISNUMBER(O344), VLOOKUP(O344/$AH344,F!$A1:$B101,2,1)*O344*$P344*$Q344,0)+IF(ISNUMBER(S344), VLOOKUP(S344/$AH344,F!$A1:$B101,2,1)*S344*$T344*$U344,0)+IF(ISNUMBER(W344), VLOOKUP(W344/$AH344,F!$A1:$B101,2,1)*W344*$X344*$Y344,0)+IF(ISNUMBER(AA344), VLOOKUP(AA344/$AH344,F!$A1:$B101,2,1)*AA344*$AB344*$AC344,0))*IF(ISNUMBER(F344),F344,1)*IF(ISNUMBER(E344),E344,1)</f>
        <v>0</v>
      </c>
      <c r="AJ344" s="71">
        <f t="shared" si="657"/>
        <v>0</v>
      </c>
      <c r="AK344" s="72">
        <f t="array" ref="AK344">IFERROR(I344*INDEX(F!$P$21:$AB$33, MATCH(G344/$AH344, F!$O$21:$O$33,1), MATCH(E344, F!$P$20:$AB$20,1)), 0 ) +IFERROR( M344*INDEX(F!$P$21:$AB$33, MATCH(K344/$AH344, F!$O$21:$O$33,1), MATCH(E344, F!$P$20:$AB$20,1)),0) +  IFERROR( Q344*INDEX(F!$P$21:$AB$33, MATCH(O344/$AH344, F!$O$21:$O$33,1), MATCH(E344, F!$P$20:$AB$20,1)), 0) + IFERROR( U344*INDEX(F!$P$21:$AB$33, MATCH(S344/$AH344, F!$O$21:$O$33,1), MATCH(E344, F!$P$20:$AB$20,1)),0)  + IFERROR(Y344*INDEX(F!$P$21:$AB$33, MATCH(W344/$AH344, F!$O$21:$O$33,1), MATCH(E344, F!$P$20:$AB$20,1)),0)  + IFERROR( AC344*INDEX(F!$P$21:$AB$33, MATCH(AA344/$AH344, F!$O$21:$O$33,1), MATCH(E344, F!$P$20:$AB$20,1)),)</f>
        <v>0</v>
      </c>
      <c r="AL344" s="5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ht="15.75" hidden="1" customHeight="1">
      <c r="A345" s="59"/>
      <c r="B345" s="45" t="str">
        <f t="shared" ref="B345:F345" si="661">IF(B289="","",B289)</f>
        <v/>
      </c>
      <c r="C345" s="46" t="str">
        <f t="shared" si="661"/>
        <v/>
      </c>
      <c r="D345" s="197" t="str">
        <f t="shared" si="661"/>
        <v/>
      </c>
      <c r="E345" s="48" t="str">
        <f t="shared" si="661"/>
        <v/>
      </c>
      <c r="F345" s="83" t="str">
        <f t="shared" si="661"/>
        <v/>
      </c>
      <c r="G345" s="50" t="str">
        <f t="shared" si="647"/>
        <v/>
      </c>
      <c r="H345" s="51"/>
      <c r="I345" s="51"/>
      <c r="J345" s="52"/>
      <c r="K345" s="50" t="str">
        <f t="shared" si="648"/>
        <v/>
      </c>
      <c r="L345" s="51"/>
      <c r="M345" s="51"/>
      <c r="N345" s="52"/>
      <c r="O345" s="50" t="str">
        <f t="shared" si="649"/>
        <v/>
      </c>
      <c r="P345" s="51"/>
      <c r="Q345" s="51"/>
      <c r="R345" s="52"/>
      <c r="S345" s="50" t="str">
        <f t="shared" si="650"/>
        <v/>
      </c>
      <c r="T345" s="51"/>
      <c r="U345" s="51"/>
      <c r="V345" s="52"/>
      <c r="W345" s="50" t="str">
        <f t="shared" si="651"/>
        <v/>
      </c>
      <c r="X345" s="51"/>
      <c r="Y345" s="51"/>
      <c r="Z345" s="52"/>
      <c r="AA345" s="50" t="str">
        <f t="shared" si="652"/>
        <v/>
      </c>
      <c r="AB345" s="51"/>
      <c r="AC345" s="51"/>
      <c r="AD345" s="52"/>
      <c r="AE345" s="53">
        <f t="shared" si="653"/>
        <v>0</v>
      </c>
      <c r="AF345" s="54">
        <f t="shared" si="654"/>
        <v>0</v>
      </c>
      <c r="AG345" s="75">
        <f t="shared" si="655"/>
        <v>0</v>
      </c>
      <c r="AH345" s="76" t="str">
        <f t="shared" si="656"/>
        <v/>
      </c>
      <c r="AI345" s="77">
        <f> ( IF(ISNUMBER(G345), VLOOKUP(G345/$AH345,F!$A1:$B101,2,1)*G345*$H345*$I345,0)+IF(ISNUMBER(K345), VLOOKUP(K345/$AH345,F!$A1:$B101,2,1)*K345*$L345*$M345,0)+IF(ISNUMBER(O345), VLOOKUP(O345/$AH345,F!$A1:$B101,2,1)*O345*$P345*$Q345,0)+IF(ISNUMBER(S345), VLOOKUP(S345/$AH345,F!$A1:$B101,2,1)*S345*$T345*$U345,0)+IF(ISNUMBER(W345), VLOOKUP(W345/$AH345,F!$A1:$B101,2,1)*W345*$X345*$Y345,0)+IF(ISNUMBER(AA345), VLOOKUP(AA345/$AH345,F!$A1:$B101,2,1)*AA345*$AB345*$AC345,0))*IF(ISNUMBER(F345),F345,1)*IF(ISNUMBER(E345),E345,1)</f>
        <v>0</v>
      </c>
      <c r="AJ345" s="86">
        <f t="shared" si="657"/>
        <v>0</v>
      </c>
      <c r="AK345" s="58">
        <f t="array" ref="AK345">IFERROR(I345*INDEX(F!$P$21:$AB$33, MATCH(G345/$AH345, F!$O$21:$O$33,1), MATCH(E345, F!$P$20:$AB$20,1)), 0 ) +IFERROR( M345*INDEX(F!$P$21:$AB$33, MATCH(K345/$AH345, F!$O$21:$O$33,1), MATCH(E345, F!$P$20:$AB$20,1)),0) +  IFERROR( Q345*INDEX(F!$P$21:$AB$33, MATCH(O345/$AH345, F!$O$21:$O$33,1), MATCH(E345, F!$P$20:$AB$20,1)), 0) + IFERROR( U345*INDEX(F!$P$21:$AB$33, MATCH(S345/$AH345, F!$O$21:$O$33,1), MATCH(E345, F!$P$20:$AB$20,1)),0)  + IFERROR(Y345*INDEX(F!$P$21:$AB$33, MATCH(W345/$AH345, F!$O$21:$O$33,1), MATCH(E345, F!$P$20:$AB$20,1)),0)  + IFERROR( AC345*INDEX(F!$P$21:$AB$33, MATCH(AA345/$AH345, F!$O$21:$O$33,1), MATCH(E345, F!$P$20:$AB$20,1)),)</f>
        <v>0</v>
      </c>
      <c r="AL345" s="5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ht="15.0" hidden="1" customHeight="1">
      <c r="A346" s="59"/>
      <c r="B346" s="60" t="str">
        <f t="shared" ref="B346:F346" si="662">IF(B290="","",B290)</f>
        <v/>
      </c>
      <c r="C346" s="61" t="str">
        <f t="shared" si="662"/>
        <v/>
      </c>
      <c r="D346" s="198" t="str">
        <f t="shared" si="662"/>
        <v/>
      </c>
      <c r="E346" s="48" t="str">
        <f t="shared" si="662"/>
        <v/>
      </c>
      <c r="F346" s="79" t="str">
        <f t="shared" si="662"/>
        <v/>
      </c>
      <c r="G346" s="64" t="str">
        <f t="shared" si="647"/>
        <v/>
      </c>
      <c r="H346" s="34"/>
      <c r="I346" s="34"/>
      <c r="J346" s="65"/>
      <c r="K346" s="64" t="str">
        <f t="shared" si="648"/>
        <v/>
      </c>
      <c r="L346" s="34"/>
      <c r="M346" s="34"/>
      <c r="N346" s="65"/>
      <c r="O346" s="64" t="str">
        <f t="shared" si="649"/>
        <v/>
      </c>
      <c r="P346" s="34"/>
      <c r="Q346" s="34"/>
      <c r="R346" s="65"/>
      <c r="S346" s="64" t="str">
        <f t="shared" si="650"/>
        <v/>
      </c>
      <c r="T346" s="34"/>
      <c r="U346" s="34"/>
      <c r="V346" s="65"/>
      <c r="W346" s="64" t="str">
        <f t="shared" si="651"/>
        <v/>
      </c>
      <c r="X346" s="34"/>
      <c r="Y346" s="34"/>
      <c r="Z346" s="65"/>
      <c r="AA346" s="64" t="str">
        <f t="shared" si="652"/>
        <v/>
      </c>
      <c r="AB346" s="34"/>
      <c r="AC346" s="34"/>
      <c r="AD346" s="65"/>
      <c r="AE346" s="66">
        <f t="shared" si="653"/>
        <v>0</v>
      </c>
      <c r="AF346" s="67">
        <f t="shared" si="654"/>
        <v>0</v>
      </c>
      <c r="AG346" s="68">
        <f t="shared" si="655"/>
        <v>0</v>
      </c>
      <c r="AH346" s="76" t="str">
        <f t="shared" si="656"/>
        <v/>
      </c>
      <c r="AI346" s="90">
        <f> ( IF(ISNUMBER(G346), VLOOKUP(G346/$AH346,F!$A1:$B101,2,1)*G346*$H346*$I346,0)+IF(ISNUMBER(K346), VLOOKUP(K346/$AH346,F!$A1:$B101,2,1)*K346*$L346*$M346,0)+IF(ISNUMBER(O346), VLOOKUP(O346/$AH346,F!$A1:$B101,2,1)*O346*$P346*$Q346,0)+IF(ISNUMBER(S346), VLOOKUP(S346/$AH346,F!$A1:$B101,2,1)*S346*$T346*$U346,0)+IF(ISNUMBER(W346), VLOOKUP(W346/$AH346,F!$A1:$B101,2,1)*W346*$X346*$Y346,0)+IF(ISNUMBER(AA346), VLOOKUP(AA346/$AH346,F!$A1:$B101,2,1)*AA346*$AB346*$AC346,0))*IF(ISNUMBER(F346),F346,1)*IF(ISNUMBER(E346),E346,1)</f>
        <v>0</v>
      </c>
      <c r="AJ346" s="34">
        <f t="shared" si="657"/>
        <v>0</v>
      </c>
      <c r="AK346" s="91">
        <f t="array" ref="AK346">IFERROR(I346*INDEX(F!$P$21:$AB$33, MATCH(G346/$AH346, F!$O$21:$O$33,1), MATCH(E346, F!$P$20:$AB$20,1)), 0 ) +IFERROR( M346*INDEX(F!$P$21:$AB$33, MATCH(K346/$AH346, F!$O$21:$O$33,1), MATCH(E346, F!$P$20:$AB$20,1)),0) +  IFERROR( Q346*INDEX(F!$P$21:$AB$33, MATCH(O346/$AH346, F!$O$21:$O$33,1), MATCH(E346, F!$P$20:$AB$20,1)), 0) + IFERROR( U346*INDEX(F!$P$21:$AB$33, MATCH(S346/$AH346, F!$O$21:$O$33,1), MATCH(E346, F!$P$20:$AB$20,1)),0)  + IFERROR(Y346*INDEX(F!$P$21:$AB$33, MATCH(W346/$AH346, F!$O$21:$O$33,1), MATCH(E346, F!$P$20:$AB$20,1)),0)  + IFERROR( AC346*INDEX(F!$P$21:$AB$33, MATCH(AA346/$AH346, F!$O$21:$O$33,1), MATCH(E346, F!$P$20:$AB$20,1)),)</f>
        <v>0</v>
      </c>
      <c r="AL346" s="5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ht="15.0" hidden="1" customHeight="1">
      <c r="A347" s="59"/>
      <c r="B347" s="45" t="str">
        <f t="shared" ref="B347:F347" si="663">IF(B291="","",B291)</f>
        <v/>
      </c>
      <c r="C347" s="46" t="str">
        <f t="shared" si="663"/>
        <v/>
      </c>
      <c r="D347" s="92" t="str">
        <f t="shared" si="663"/>
        <v/>
      </c>
      <c r="E347" s="48" t="str">
        <f t="shared" si="663"/>
        <v/>
      </c>
      <c r="F347" s="74" t="str">
        <f t="shared" si="663"/>
        <v/>
      </c>
      <c r="G347" s="50" t="str">
        <f t="shared" si="647"/>
        <v/>
      </c>
      <c r="H347" s="51"/>
      <c r="I347" s="51"/>
      <c r="J347" s="52"/>
      <c r="K347" s="50" t="str">
        <f t="shared" si="648"/>
        <v/>
      </c>
      <c r="L347" s="51"/>
      <c r="M347" s="51"/>
      <c r="N347" s="52"/>
      <c r="O347" s="50" t="str">
        <f t="shared" si="649"/>
        <v/>
      </c>
      <c r="P347" s="51"/>
      <c r="Q347" s="51"/>
      <c r="R347" s="52"/>
      <c r="S347" s="50" t="str">
        <f t="shared" si="650"/>
        <v/>
      </c>
      <c r="T347" s="51"/>
      <c r="U347" s="51"/>
      <c r="V347" s="52"/>
      <c r="W347" s="50" t="str">
        <f t="shared" si="651"/>
        <v/>
      </c>
      <c r="X347" s="51"/>
      <c r="Y347" s="51"/>
      <c r="Z347" s="52"/>
      <c r="AA347" s="50" t="str">
        <f t="shared" si="652"/>
        <v/>
      </c>
      <c r="AB347" s="51"/>
      <c r="AC347" s="51"/>
      <c r="AD347" s="52"/>
      <c r="AE347" s="53">
        <f t="shared" si="653"/>
        <v>0</v>
      </c>
      <c r="AF347" s="93">
        <f t="shared" si="654"/>
        <v>0</v>
      </c>
      <c r="AG347" s="94">
        <f t="shared" si="655"/>
        <v>0</v>
      </c>
      <c r="AH347" s="76" t="str">
        <f t="shared" si="656"/>
        <v/>
      </c>
      <c r="AI347" s="95">
        <f> ( IF(ISNUMBER(G347), VLOOKUP(G347/$AH347,F!$A1:$B101,2,1)*G347*$H347*$I347,0)+IF(ISNUMBER(K347), VLOOKUP(K347/$AH347,F!$A1:$B101,2,1)*K347*$L347*$M347,0)+IF(ISNUMBER(O347), VLOOKUP(O347/$AH347,F!$A1:$B101,2,1)*O347*$P347*$Q347,0)+IF(ISNUMBER(S347), VLOOKUP(S347/$AH347,F!$A1:$B101,2,1)*S347*$T347*$U347,0)+IF(ISNUMBER(W347), VLOOKUP(W347/$AH347,F!$A1:$B101,2,1)*W347*$X347*$Y347,0)+IF(ISNUMBER(AA347), VLOOKUP(AA347/$AH347,F!$A1:$B101,2,1)*AA347*$AB347*$AC347,0))*IF(ISNUMBER(F347),F347,1)*IF(ISNUMBER(E347),E347,1)</f>
        <v>0</v>
      </c>
      <c r="AJ347" s="96">
        <f t="shared" si="657"/>
        <v>0</v>
      </c>
      <c r="AK347" s="97">
        <f t="array" ref="AK347">IFERROR(I347*INDEX(F!$P$21:$AB$33, MATCH(G347/$AH347, F!$O$21:$O$33,1), MATCH(E347, F!$P$20:$AB$20,1)), 0 ) +IFERROR( M347*INDEX(F!$P$21:$AB$33, MATCH(K347/$AH347, F!$O$21:$O$33,1), MATCH(E347, F!$P$20:$AB$20,1)),0) +  IFERROR( Q347*INDEX(F!$P$21:$AB$33, MATCH(O347/$AH347, F!$O$21:$O$33,1), MATCH(E347, F!$P$20:$AB$20,1)), 0) + IFERROR( U347*INDEX(F!$P$21:$AB$33, MATCH(S347/$AH347, F!$O$21:$O$33,1), MATCH(E347, F!$P$20:$AB$20,1)),0)  + IFERROR(Y347*INDEX(F!$P$21:$AB$33, MATCH(W347/$AH347, F!$O$21:$O$33,1), MATCH(E347, F!$P$20:$AB$20,1)),0)  + IFERROR( AC347*INDEX(F!$P$21:$AB$33, MATCH(AA347/$AH347, F!$O$21:$O$33,1), MATCH(E347, F!$P$20:$AB$20,1)),)</f>
        <v>0</v>
      </c>
      <c r="AL347" s="5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ht="15.0" hidden="1" customHeight="1">
      <c r="A348" s="98"/>
      <c r="B348" s="99"/>
      <c r="C348" s="100"/>
      <c r="D348" s="101"/>
      <c r="E348" s="102">
        <f>ROUND(IFERROR(SUMPRODUCT(AJ340:AJ347,E340:E347)/AJ348,0),3)</f>
        <v>0</v>
      </c>
      <c r="F348" s="199"/>
      <c r="G348" s="104"/>
      <c r="H348" s="105"/>
      <c r="I348" s="105"/>
      <c r="J348" s="106"/>
      <c r="K348" s="104"/>
      <c r="L348" s="105"/>
      <c r="M348" s="105"/>
      <c r="N348" s="106"/>
      <c r="O348" s="104"/>
      <c r="P348" s="105"/>
      <c r="Q348" s="105"/>
      <c r="R348" s="106"/>
      <c r="S348" s="104"/>
      <c r="T348" s="105"/>
      <c r="U348" s="105"/>
      <c r="V348" s="106"/>
      <c r="W348" s="104"/>
      <c r="X348" s="105"/>
      <c r="Y348" s="105"/>
      <c r="Z348" s="106"/>
      <c r="AA348" s="104"/>
      <c r="AB348" s="105"/>
      <c r="AC348" s="105"/>
      <c r="AD348" s="106"/>
      <c r="AE348" s="107">
        <f>SUM(AE340:AE347)</f>
        <v>0</v>
      </c>
      <c r="AF348" s="108">
        <f t="shared" si="654"/>
        <v>0</v>
      </c>
      <c r="AG348" s="109">
        <f>IFERROR(  SUMPRODUCT(AG340:AG347,AJ340:AJ347)/AJ348,0)</f>
        <v>0</v>
      </c>
      <c r="AH348" s="157"/>
      <c r="AI348" s="111">
        <f t="shared" ref="AI348:AJ348" si="664">SUM(AI340:AI347)</f>
        <v>0</v>
      </c>
      <c r="AJ348" s="111">
        <f t="shared" si="664"/>
        <v>0</v>
      </c>
      <c r="AK348" s="112">
        <f>IF(SUM(AK340:AK347)=0,TIME(,0,),TIME(,SUM(AK340:AK347)+F!$V$37,))</f>
        <v>0</v>
      </c>
      <c r="AL348" s="98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ht="15.75" hidden="1" customHeight="1">
      <c r="A349" s="113">
        <f>A350</f>
        <v>43824</v>
      </c>
      <c r="B349" s="114" t="str">
        <f t="shared" ref="B349:F349" si="665">IF(B293="","",B293)</f>
        <v>Тяжелая</v>
      </c>
      <c r="C349" s="115" t="str">
        <f t="shared" si="665"/>
        <v>ТГ</v>
      </c>
      <c r="D349" s="116" t="str">
        <f t="shared" si="665"/>
        <v>Становая тяга</v>
      </c>
      <c r="E349" s="29">
        <f t="shared" si="665"/>
        <v>1.4</v>
      </c>
      <c r="F349" s="117" t="str">
        <f t="shared" si="665"/>
        <v/>
      </c>
      <c r="G349" s="118" t="str">
        <f t="shared" ref="G349:G356" si="667">IF(J349&lt;&gt;0, IFERROR(IF( $F349=2,  MROUND($AH349*J349,1),    IF( OR($F349="",$F349=1),   MROUND($AH349*J349,2.5),  MROUND($AH349*J349, 0.1))), "" ), "")</f>
        <v/>
      </c>
      <c r="H349" s="119"/>
      <c r="I349" s="119"/>
      <c r="J349" s="120"/>
      <c r="K349" s="118" t="str">
        <f t="shared" ref="K349:K356" si="668">IF(N349&lt;&gt;0, IFERROR(IF( $F349=2,  MROUND($AH349*N349,1),    IF( OR($F349="",$F349=1),   MROUND($AH349*N349,2.5),  MROUND($AH349*N349, 0.1))), "" ), "")</f>
        <v/>
      </c>
      <c r="L349" s="119"/>
      <c r="M349" s="119"/>
      <c r="N349" s="120"/>
      <c r="O349" s="118" t="str">
        <f t="shared" ref="O349:O356" si="669">IF(R349&lt;&gt;0, IFERROR(IF( $F349=2,  MROUND($AH349*R349,1),    IF( OR($F349="",$F349=1),   MROUND($AH349*R349,2.5),  MROUND($AH349*R349, 0.1))), "" ), "")</f>
        <v/>
      </c>
      <c r="P349" s="119"/>
      <c r="Q349" s="119"/>
      <c r="R349" s="120"/>
      <c r="S349" s="118" t="str">
        <f t="shared" ref="S349:S356" si="670">IF(V349&lt;&gt;0, IFERROR(IF( $F349=2,  MROUND($AH349*V349,1),    IF( OR($F349="",$F349=1),   MROUND($AH349*V349,2.5),  MROUND($AH349*V349, 0.1))), "" ), "")</f>
        <v/>
      </c>
      <c r="T349" s="119"/>
      <c r="U349" s="119"/>
      <c r="V349" s="120"/>
      <c r="W349" s="118" t="str">
        <f t="shared" ref="W349:W356" si="671">IF(Z349&lt;&gt;0, IFERROR(IF( $F349=2,  MROUND($AH349*Z349,1),    IF( OR($F349="",$F349=1),   MROUND($AH349*Z349,2.5),  MROUND($AH349*Z349, 0.1))), "" ), "")</f>
        <v/>
      </c>
      <c r="X349" s="119"/>
      <c r="Y349" s="119"/>
      <c r="Z349" s="120"/>
      <c r="AA349" s="118" t="str">
        <f t="shared" ref="AA349:AA356" si="672">IF(AD349&lt;&gt;0, IFERROR(IF( $F349=2,  MROUND($AH349*AD349,1),    IF( OR($F349="",$F349=1),   MROUND($AH349*AD349,2.5),  MROUND($AH349*AD349, 0.1))), "" ), "")</f>
        <v/>
      </c>
      <c r="AB349" s="119"/>
      <c r="AC349" s="119"/>
      <c r="AD349" s="120"/>
      <c r="AE349" s="121">
        <f t="shared" ref="AE349:AE356" si="673">(IF(ISNUMBER(G349),G349,0)*H349*I349+IF(ISNUMBER(K349),K349,1)*L349*M349+IF(ISNUMBER(O349),O349,1)*P349*Q349+IF(ISNUMBER(S349),S349,1)*T349*U349+IF(ISNUMBER(W349),W349,1)*X349*Y349+IF(ISNUMBER(AA349),AA349,1)*AB349*AC349)*IF(ISNUMBER(F349),F349,1)</f>
        <v>0</v>
      </c>
      <c r="AF349" s="122">
        <f t="shared" si="654"/>
        <v>0</v>
      </c>
      <c r="AG349" s="200">
        <f t="shared" ref="AG349:AG356" si="674">IFERROR((AF349/(AH349*IF(ISNUMBER(F349),F349,1))),0)</f>
        <v>0</v>
      </c>
      <c r="AH349" s="169">
        <f t="shared" ref="AH349:AH356" si="675">IF(ISNUMBER(AH293), AH293+(AH293*$AH$338),"")</f>
        <v>208.3400476</v>
      </c>
      <c r="AI349" s="122">
        <f> ( IF(ISNUMBER(G349), VLOOKUP(G349/$AH349,F!$A1:$B101,2,1)*G349*$H349*$I349,0)+IF(ISNUMBER(K349), VLOOKUP(K349/$AH349,F!$A1:$B101,2,1)*K349*$L349*$M349,0)+IF(ISNUMBER(O349), VLOOKUP(O349/$AH349,F!$A1:$B101,2,1)*O349*$P349*$Q349,0)+IF(ISNUMBER(S349), VLOOKUP(S349/$AH349,F!$A1:$B101,2,1)*S349*$T349*$U349,0)+IF(ISNUMBER(W349), VLOOKUP(W349/$AH349,F!$A1:$B101,2,1)*W349*$X349*$Y349,0)+IF(ISNUMBER(AA349), VLOOKUP(AA349/$AH349,F!$A1:$B101,2,1)*AA349*$AB349*$AC349,0))*IF(ISNUMBER(F349),F349,1)*IF(ISNUMBER(E349),E349,1)</f>
        <v>0</v>
      </c>
      <c r="AJ349" s="119">
        <f t="shared" ref="AJ349:AJ356" si="676">H349*I349+L349*M349+P349*Q349+T349*U349+X349*Y349+AB349*AC349</f>
        <v>0</v>
      </c>
      <c r="AK349" s="125">
        <f t="array" ref="AK349">IFERROR(I349*INDEX(F!$P$21:$AB$33, MATCH(G349/$AH349, F!$O$21:$O$33,1), MATCH(E349, F!$P$20:$AB$20,1)), 0 ) +IFERROR( M349*INDEX(F!$P$21:$AB$33, MATCH(K349/$AH349, F!$O$21:$O$33,1), MATCH(E349, F!$P$20:$AB$20,1)),0) +  IFERROR( Q349*INDEX(F!$P$21:$AB$33, MATCH(O349/$AH349, F!$O$21:$O$33,1), MATCH(E349, F!$P$20:$AB$20,1)), 0) + IFERROR( U349*INDEX(F!$P$21:$AB$33, MATCH(S349/$AH349, F!$O$21:$O$33,1), MATCH(E349, F!$P$20:$AB$20,1)),0)  + IFERROR(Y349*INDEX(F!$P$21:$AB$33, MATCH(W349/$AH349, F!$O$21:$O$33,1), MATCH(E349, F!$P$20:$AB$20,1)),0)  + IFERROR( AC349*INDEX(F!$P$21:$AB$33, MATCH(AA349/$AH349, F!$O$21:$O$33,1), MATCH(E349, F!$P$20:$AB$20,1)),)</f>
        <v>0</v>
      </c>
      <c r="AL349" s="42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ht="15.75" hidden="1" customHeight="1">
      <c r="A350" s="44">
        <f>A294+A282</f>
        <v>43824</v>
      </c>
      <c r="B350" s="126" t="str">
        <f t="shared" ref="B350:F350" si="666">IF(B294="","",B294)</f>
        <v>Средняя</v>
      </c>
      <c r="C350" s="127" t="str">
        <f t="shared" si="666"/>
        <v>ЖМ</v>
      </c>
      <c r="D350" s="128" t="str">
        <f t="shared" si="666"/>
        <v>Жим лежа</v>
      </c>
      <c r="E350" s="48">
        <f t="shared" si="666"/>
        <v>1</v>
      </c>
      <c r="F350" s="129" t="str">
        <f t="shared" si="666"/>
        <v/>
      </c>
      <c r="G350" s="130" t="str">
        <f t="shared" si="667"/>
        <v/>
      </c>
      <c r="H350" s="34"/>
      <c r="I350" s="34"/>
      <c r="J350" s="65"/>
      <c r="K350" s="130" t="str">
        <f t="shared" si="668"/>
        <v/>
      </c>
      <c r="L350" s="34"/>
      <c r="M350" s="34"/>
      <c r="N350" s="65"/>
      <c r="O350" s="130" t="str">
        <f t="shared" si="669"/>
        <v/>
      </c>
      <c r="P350" s="34"/>
      <c r="Q350" s="34"/>
      <c r="R350" s="65"/>
      <c r="S350" s="130" t="str">
        <f t="shared" si="670"/>
        <v/>
      </c>
      <c r="T350" s="34"/>
      <c r="U350" s="34"/>
      <c r="V350" s="65"/>
      <c r="W350" s="130" t="str">
        <f t="shared" si="671"/>
        <v/>
      </c>
      <c r="X350" s="34"/>
      <c r="Y350" s="34"/>
      <c r="Z350" s="65"/>
      <c r="AA350" s="130" t="str">
        <f t="shared" si="672"/>
        <v/>
      </c>
      <c r="AB350" s="34"/>
      <c r="AC350" s="34"/>
      <c r="AD350" s="65"/>
      <c r="AE350" s="131">
        <f t="shared" si="673"/>
        <v>0</v>
      </c>
      <c r="AF350" s="132">
        <f t="shared" si="654"/>
        <v>0</v>
      </c>
      <c r="AG350" s="133">
        <f t="shared" si="674"/>
        <v>0</v>
      </c>
      <c r="AH350" s="76">
        <f t="shared" si="675"/>
        <v>106.9854298</v>
      </c>
      <c r="AI350" s="132">
        <f> ( IF(ISNUMBER(G350), VLOOKUP(G350/$AH350,F!$A1:$B101,2,1)*G350*$H350*$I350,0)+IF(ISNUMBER(K350), VLOOKUP(K350/$AH350,F!$A1:$B101,2,1)*K350*$L350*$M350,0)+IF(ISNUMBER(O350), VLOOKUP(O350/$AH350,F!$A1:$B101,2,1)*O350*$P350*$Q350,0)+IF(ISNUMBER(S350), VLOOKUP(S350/$AH350,F!$A1:$B101,2,1)*S350*$T350*$U350,0)+IF(ISNUMBER(W350), VLOOKUP(W350/$AH350,F!$A1:$B101,2,1)*W350*$X350*$Y350,0)+IF(ISNUMBER(AA350), VLOOKUP(AA350/$AH350,F!$A1:$B101,2,1)*AA350*$AB350*$AC350,0))*IF(ISNUMBER(F350),F350,1)*IF(ISNUMBER(E350),E350,1)</f>
        <v>0</v>
      </c>
      <c r="AJ350" s="34">
        <f t="shared" si="676"/>
        <v>0</v>
      </c>
      <c r="AK350" s="134">
        <f t="array" ref="AK350">IFERROR(I350*INDEX(F!$P$21:$AB$33, MATCH(G350/$AH350, F!$O$21:$O$33,1), MATCH(E350, F!$P$20:$AB$20,1)), 0 ) +IFERROR( M350*INDEX(F!$P$21:$AB$33, MATCH(K350/$AH350, F!$O$21:$O$33,1), MATCH(E350, F!$P$20:$AB$20,1)),0) +  IFERROR( Q350*INDEX(F!$P$21:$AB$33, MATCH(O350/$AH350, F!$O$21:$O$33,1), MATCH(E350, F!$P$20:$AB$20,1)), 0) + IFERROR( U350*INDEX(F!$P$21:$AB$33, MATCH(S350/$AH350, F!$O$21:$O$33,1), MATCH(E350, F!$P$20:$AB$20,1)),0)  + IFERROR(Y350*INDEX(F!$P$21:$AB$33, MATCH(W350/$AH350, F!$O$21:$O$33,1), MATCH(E350, F!$P$20:$AB$20,1)),0)  + IFERROR( AC350*INDEX(F!$P$21:$AB$33, MATCH(AA350/$AH350, F!$O$21:$O$33,1), MATCH(E350, F!$P$20:$AB$20,1)),)</f>
        <v>0</v>
      </c>
      <c r="AL350" s="5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ht="15.75" hidden="1" customHeight="1">
      <c r="A351" s="59"/>
      <c r="B351" s="135" t="str">
        <f t="shared" ref="B351:F351" si="677">IF(B295="","",B295)</f>
        <v>Легкая</v>
      </c>
      <c r="C351" s="136" t="str">
        <f t="shared" si="677"/>
        <v>ОФП</v>
      </c>
      <c r="D351" s="137" t="str">
        <f t="shared" si="677"/>
        <v>Наклоны со штангой</v>
      </c>
      <c r="E351" s="48">
        <f t="shared" si="677"/>
        <v>0.8</v>
      </c>
      <c r="F351" s="138" t="str">
        <f t="shared" si="677"/>
        <v/>
      </c>
      <c r="G351" s="139" t="str">
        <f t="shared" si="667"/>
        <v/>
      </c>
      <c r="H351" s="140"/>
      <c r="I351" s="140"/>
      <c r="J351" s="141"/>
      <c r="K351" s="139" t="str">
        <f t="shared" si="668"/>
        <v/>
      </c>
      <c r="L351" s="140"/>
      <c r="M351" s="140"/>
      <c r="N351" s="141"/>
      <c r="O351" s="139" t="str">
        <f t="shared" si="669"/>
        <v/>
      </c>
      <c r="P351" s="140"/>
      <c r="Q351" s="140"/>
      <c r="R351" s="141"/>
      <c r="S351" s="139" t="str">
        <f t="shared" si="670"/>
        <v/>
      </c>
      <c r="T351" s="140"/>
      <c r="U351" s="140"/>
      <c r="V351" s="141"/>
      <c r="W351" s="139" t="str">
        <f t="shared" si="671"/>
        <v/>
      </c>
      <c r="X351" s="140"/>
      <c r="Y351" s="140"/>
      <c r="Z351" s="141"/>
      <c r="AA351" s="139" t="str">
        <f t="shared" si="672"/>
        <v/>
      </c>
      <c r="AB351" s="140"/>
      <c r="AC351" s="140"/>
      <c r="AD351" s="141"/>
      <c r="AE351" s="142">
        <f t="shared" si="673"/>
        <v>0</v>
      </c>
      <c r="AF351" s="143">
        <f t="shared" si="654"/>
        <v>0</v>
      </c>
      <c r="AG351" s="144">
        <f t="shared" si="674"/>
        <v>0</v>
      </c>
      <c r="AH351" s="76">
        <f t="shared" si="675"/>
        <v>114.5870262</v>
      </c>
      <c r="AI351" s="143">
        <f> ( IF(ISNUMBER(G351), VLOOKUP(G351/$AH351,F!$A1:$B101,2,1)*G351*$H351*$I351,0)+IF(ISNUMBER(K351), VLOOKUP(K351/$AH351,F!$A1:$B101,2,1)*K351*$L351*$M351,0)+IF(ISNUMBER(O351), VLOOKUP(O351/$AH351,F!$A1:$B101,2,1)*O351*$P351*$Q351,0)+IF(ISNUMBER(S351), VLOOKUP(S351/$AH351,F!$A1:$B101,2,1)*S351*$T351*$U351,0)+IF(ISNUMBER(W351), VLOOKUP(W351/$AH351,F!$A1:$B101,2,1)*W351*$X351*$Y351,0)+IF(ISNUMBER(AA351), VLOOKUP(AA351/$AH351,F!$A1:$B101,2,1)*AA351*$AB351*$AC351,0))*IF(ISNUMBER(F351),F351,1)*IF(ISNUMBER(E351),E351,1)</f>
        <v>0</v>
      </c>
      <c r="AJ351" s="140">
        <f t="shared" si="676"/>
        <v>0</v>
      </c>
      <c r="AK351" s="145">
        <f t="array" ref="AK351">IFERROR(I351*INDEX(F!$P$21:$AB$33, MATCH(G351/$AH351, F!$O$21:$O$33,1), MATCH(E351, F!$P$20:$AB$20,1)), 0 ) +IFERROR( M351*INDEX(F!$P$21:$AB$33, MATCH(K351/$AH351, F!$O$21:$O$33,1), MATCH(E351, F!$P$20:$AB$20,1)),0) +  IFERROR( Q351*INDEX(F!$P$21:$AB$33, MATCH(O351/$AH351, F!$O$21:$O$33,1), MATCH(E351, F!$P$20:$AB$20,1)), 0) + IFERROR( U351*INDEX(F!$P$21:$AB$33, MATCH(S351/$AH351, F!$O$21:$O$33,1), MATCH(E351, F!$P$20:$AB$20,1)),0)  + IFERROR(Y351*INDEX(F!$P$21:$AB$33, MATCH(W351/$AH351, F!$O$21:$O$33,1), MATCH(E351, F!$P$20:$AB$20,1)),0)  + IFERROR( AC351*INDEX(F!$P$21:$AB$33, MATCH(AA351/$AH351, F!$O$21:$O$33,1), MATCH(E351, F!$P$20:$AB$20,1)),)</f>
        <v>0</v>
      </c>
      <c r="AL351" s="5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ht="15.75" hidden="1" customHeight="1">
      <c r="A352" s="59"/>
      <c r="B352" s="126" t="str">
        <f t="shared" ref="B352:F352" si="678">IF(B296="","",B296)</f>
        <v>Средняя</v>
      </c>
      <c r="C352" s="127" t="str">
        <f t="shared" si="678"/>
        <v>ОФП</v>
      </c>
      <c r="D352" s="128" t="str">
        <f t="shared" si="678"/>
        <v>Жим стоя</v>
      </c>
      <c r="E352" s="48">
        <f t="shared" si="678"/>
        <v>1</v>
      </c>
      <c r="F352" s="129" t="str">
        <f t="shared" si="678"/>
        <v/>
      </c>
      <c r="G352" s="130" t="str">
        <f t="shared" si="667"/>
        <v/>
      </c>
      <c r="H352" s="34"/>
      <c r="I352" s="34"/>
      <c r="J352" s="65"/>
      <c r="K352" s="130" t="str">
        <f t="shared" si="668"/>
        <v/>
      </c>
      <c r="L352" s="34"/>
      <c r="M352" s="34"/>
      <c r="N352" s="65"/>
      <c r="O352" s="130" t="str">
        <f t="shared" si="669"/>
        <v/>
      </c>
      <c r="P352" s="34"/>
      <c r="Q352" s="34"/>
      <c r="R352" s="65"/>
      <c r="S352" s="130" t="str">
        <f t="shared" si="670"/>
        <v/>
      </c>
      <c r="T352" s="34"/>
      <c r="U352" s="34"/>
      <c r="V352" s="65"/>
      <c r="W352" s="130" t="str">
        <f t="shared" si="671"/>
        <v/>
      </c>
      <c r="X352" s="34"/>
      <c r="Y352" s="34"/>
      <c r="Z352" s="65"/>
      <c r="AA352" s="130" t="str">
        <f t="shared" si="672"/>
        <v/>
      </c>
      <c r="AB352" s="34"/>
      <c r="AC352" s="34"/>
      <c r="AD352" s="65"/>
      <c r="AE352" s="131">
        <f t="shared" si="673"/>
        <v>0</v>
      </c>
      <c r="AF352" s="132">
        <f t="shared" si="654"/>
        <v>0</v>
      </c>
      <c r="AG352" s="133">
        <f t="shared" si="674"/>
        <v>0</v>
      </c>
      <c r="AH352" s="76">
        <f t="shared" si="675"/>
        <v>64.1912579</v>
      </c>
      <c r="AI352" s="132">
        <f> ( IF(ISNUMBER(G352), VLOOKUP(G352/$AH352,F!$A1:$B101,2,1)*G352*$H352*$I352,0)+IF(ISNUMBER(K352), VLOOKUP(K352/$AH352,F!$A1:$B101,2,1)*K352*$L352*$M352,0)+IF(ISNUMBER(O352), VLOOKUP(O352/$AH352,F!$A1:$B101,2,1)*O352*$P352*$Q352,0)+IF(ISNUMBER(S352), VLOOKUP(S352/$AH352,F!$A1:$B101,2,1)*S352*$T352*$U352,0)+IF(ISNUMBER(W352), VLOOKUP(W352/$AH352,F!$A1:$B101,2,1)*W352*$X352*$Y352,0)+IF(ISNUMBER(AA352), VLOOKUP(AA352/$AH352,F!$A1:$B101,2,1)*AA352*$AB352*$AC352,0))*IF(ISNUMBER(F352),F352,1)*IF(ISNUMBER(E352),E352,1)</f>
        <v>0</v>
      </c>
      <c r="AJ352" s="34">
        <f t="shared" si="676"/>
        <v>0</v>
      </c>
      <c r="AK352" s="134">
        <f t="array" ref="AK352">IFERROR(I352*INDEX(F!$P$21:$AB$33, MATCH(G352/$AH352, F!$O$21:$O$33,1), MATCH(E352, F!$P$20:$AB$20,1)), 0 ) +IFERROR( M352*INDEX(F!$P$21:$AB$33, MATCH(K352/$AH352, F!$O$21:$O$33,1), MATCH(E352, F!$P$20:$AB$20,1)),0) +  IFERROR( Q352*INDEX(F!$P$21:$AB$33, MATCH(O352/$AH352, F!$O$21:$O$33,1), MATCH(E352, F!$P$20:$AB$20,1)), 0) + IFERROR( U352*INDEX(F!$P$21:$AB$33, MATCH(S352/$AH352, F!$O$21:$O$33,1), MATCH(E352, F!$P$20:$AB$20,1)),0)  + IFERROR(Y352*INDEX(F!$P$21:$AB$33, MATCH(W352/$AH352, F!$O$21:$O$33,1), MATCH(E352, F!$P$20:$AB$20,1)),0)  + IFERROR( AC352*INDEX(F!$P$21:$AB$33, MATCH(AA352/$AH352, F!$O$21:$O$33,1), MATCH(E352, F!$P$20:$AB$20,1)),)</f>
        <v>0</v>
      </c>
      <c r="AL352" s="5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ht="15.75" hidden="1" customHeight="1">
      <c r="A353" s="59"/>
      <c r="B353" s="135" t="str">
        <f t="shared" ref="B353:F353" si="679">IF(B297="","",B297)</f>
        <v>Средняя</v>
      </c>
      <c r="C353" s="136" t="str">
        <f t="shared" si="679"/>
        <v>ЖМ</v>
      </c>
      <c r="D353" s="137" t="str">
        <f t="shared" si="679"/>
        <v>Жим средним хватом</v>
      </c>
      <c r="E353" s="48">
        <f t="shared" si="679"/>
        <v>1</v>
      </c>
      <c r="F353" s="138" t="str">
        <f t="shared" si="679"/>
        <v/>
      </c>
      <c r="G353" s="139" t="str">
        <f t="shared" si="667"/>
        <v/>
      </c>
      <c r="H353" s="140"/>
      <c r="I353" s="140"/>
      <c r="J353" s="141"/>
      <c r="K353" s="139" t="str">
        <f t="shared" si="668"/>
        <v/>
      </c>
      <c r="L353" s="140"/>
      <c r="M353" s="140"/>
      <c r="N353" s="141"/>
      <c r="O353" s="139" t="str">
        <f t="shared" si="669"/>
        <v/>
      </c>
      <c r="P353" s="140"/>
      <c r="Q353" s="140"/>
      <c r="R353" s="141"/>
      <c r="S353" s="139" t="str">
        <f t="shared" si="670"/>
        <v/>
      </c>
      <c r="T353" s="140"/>
      <c r="U353" s="140"/>
      <c r="V353" s="141"/>
      <c r="W353" s="139" t="str">
        <f t="shared" si="671"/>
        <v/>
      </c>
      <c r="X353" s="140"/>
      <c r="Y353" s="140"/>
      <c r="Z353" s="141"/>
      <c r="AA353" s="139" t="str">
        <f t="shared" si="672"/>
        <v/>
      </c>
      <c r="AB353" s="140"/>
      <c r="AC353" s="140"/>
      <c r="AD353" s="141"/>
      <c r="AE353" s="142">
        <f t="shared" si="673"/>
        <v>0</v>
      </c>
      <c r="AF353" s="143">
        <f t="shared" si="654"/>
        <v>0</v>
      </c>
      <c r="AG353" s="144">
        <f t="shared" si="674"/>
        <v>0</v>
      </c>
      <c r="AH353" s="76">
        <f t="shared" si="675"/>
        <v>90.93761536</v>
      </c>
      <c r="AI353" s="143">
        <f> ( IF(ISNUMBER(G353), VLOOKUP(G353/$AH353,F!$A1:$B101,2,1)*G353*$H353*$I353,0)+IF(ISNUMBER(K353), VLOOKUP(K353/$AH353,F!$A1:$B101,2,1)*K353*$L353*$M353,0)+IF(ISNUMBER(O353), VLOOKUP(O353/$AH353,F!$A1:$B101,2,1)*O353*$P353*$Q353,0)+IF(ISNUMBER(S353), VLOOKUP(S353/$AH353,F!$A1:$B101,2,1)*S353*$T353*$U353,0)+IF(ISNUMBER(W353), VLOOKUP(W353/$AH353,F!$A1:$B101,2,1)*W353*$X353*$Y353,0)+IF(ISNUMBER(AA353), VLOOKUP(AA353/$AH353,F!$A1:$B101,2,1)*AA353*$AB353*$AC353,0))*IF(ISNUMBER(F353),F353,1)*IF(ISNUMBER(E353),E353,1)</f>
        <v>0</v>
      </c>
      <c r="AJ353" s="140">
        <f t="shared" si="676"/>
        <v>0</v>
      </c>
      <c r="AK353" s="145">
        <f t="array" ref="AK353">IFERROR(I353*INDEX(F!$P$21:$AB$33, MATCH(G353/$AH353, F!$O$21:$O$33,1), MATCH(E353, F!$P$20:$AB$20,1)), 0 ) +IFERROR( M353*INDEX(F!$P$21:$AB$33, MATCH(K353/$AH353, F!$O$21:$O$33,1), MATCH(E353, F!$P$20:$AB$20,1)),0) +  IFERROR( Q353*INDEX(F!$P$21:$AB$33, MATCH(O353/$AH353, F!$O$21:$O$33,1), MATCH(E353, F!$P$20:$AB$20,1)), 0) + IFERROR( U353*INDEX(F!$P$21:$AB$33, MATCH(S353/$AH353, F!$O$21:$O$33,1), MATCH(E353, F!$P$20:$AB$20,1)),0)  + IFERROR(Y353*INDEX(F!$P$21:$AB$33, MATCH(W353/$AH353, F!$O$21:$O$33,1), MATCH(E353, F!$P$20:$AB$20,1)),0)  + IFERROR( AC353*INDEX(F!$P$21:$AB$33, MATCH(AA353/$AH353, F!$O$21:$O$33,1), MATCH(E353, F!$P$20:$AB$20,1)),)</f>
        <v>0</v>
      </c>
      <c r="AL353" s="5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ht="15.75" hidden="1" customHeight="1">
      <c r="A354" s="59"/>
      <c r="B354" s="126" t="str">
        <f t="shared" ref="B354:F354" si="680">IF(B298="","",B298)</f>
        <v/>
      </c>
      <c r="C354" s="127" t="str">
        <f t="shared" si="680"/>
        <v/>
      </c>
      <c r="D354" s="128" t="str">
        <f t="shared" si="680"/>
        <v/>
      </c>
      <c r="E354" s="48" t="str">
        <f t="shared" si="680"/>
        <v/>
      </c>
      <c r="F354" s="129" t="str">
        <f t="shared" si="680"/>
        <v/>
      </c>
      <c r="G354" s="130" t="str">
        <f t="shared" si="667"/>
        <v/>
      </c>
      <c r="H354" s="34"/>
      <c r="I354" s="34"/>
      <c r="J354" s="65"/>
      <c r="K354" s="130" t="str">
        <f t="shared" si="668"/>
        <v/>
      </c>
      <c r="L354" s="34"/>
      <c r="M354" s="34"/>
      <c r="N354" s="65"/>
      <c r="O354" s="130" t="str">
        <f t="shared" si="669"/>
        <v/>
      </c>
      <c r="P354" s="34"/>
      <c r="Q354" s="34"/>
      <c r="R354" s="65"/>
      <c r="S354" s="130" t="str">
        <f t="shared" si="670"/>
        <v/>
      </c>
      <c r="T354" s="34"/>
      <c r="U354" s="34"/>
      <c r="V354" s="65"/>
      <c r="W354" s="130" t="str">
        <f t="shared" si="671"/>
        <v/>
      </c>
      <c r="X354" s="34"/>
      <c r="Y354" s="34"/>
      <c r="Z354" s="65"/>
      <c r="AA354" s="130" t="str">
        <f t="shared" si="672"/>
        <v/>
      </c>
      <c r="AB354" s="34"/>
      <c r="AC354" s="34"/>
      <c r="AD354" s="65"/>
      <c r="AE354" s="131">
        <f t="shared" si="673"/>
        <v>0</v>
      </c>
      <c r="AF354" s="132">
        <f t="shared" si="654"/>
        <v>0</v>
      </c>
      <c r="AG354" s="133">
        <f t="shared" si="674"/>
        <v>0</v>
      </c>
      <c r="AH354" s="76" t="str">
        <f t="shared" si="675"/>
        <v/>
      </c>
      <c r="AI354" s="132">
        <f> ( IF(ISNUMBER(G354), VLOOKUP(G354/$AH354,F!$A1:$B101,2,1)*G354*$H354*$I354,0)+IF(ISNUMBER(K354), VLOOKUP(K354/$AH354,F!$A1:$B101,2,1)*K354*$L354*$M354,0)+IF(ISNUMBER(O354), VLOOKUP(O354/$AH354,F!$A1:$B101,2,1)*O354*$P354*$Q354,0)+IF(ISNUMBER(S354), VLOOKUP(S354/$AH354,F!$A1:$B101,2,1)*S354*$T354*$U354,0)+IF(ISNUMBER(W354), VLOOKUP(W354/$AH354,F!$A1:$B101,2,1)*W354*$X354*$Y354,0)+IF(ISNUMBER(AA354), VLOOKUP(AA354/$AH354,F!$A1:$B101,2,1)*AA354*$AB354*$AC354,0))*IF(ISNUMBER(F354),F354,1)*IF(ISNUMBER(E354),E354,1)</f>
        <v>0</v>
      </c>
      <c r="AJ354" s="34">
        <f t="shared" si="676"/>
        <v>0</v>
      </c>
      <c r="AK354" s="134">
        <f t="array" ref="AK354">IFERROR(I354*INDEX(F!$P$21:$AB$33, MATCH(G354/$AH354, F!$O$21:$O$33,1), MATCH(E354, F!$P$20:$AB$20,1)), 0 ) +IFERROR( M354*INDEX(F!$P$21:$AB$33, MATCH(K354/$AH354, F!$O$21:$O$33,1), MATCH(E354, F!$P$20:$AB$20,1)),0) +  IFERROR( Q354*INDEX(F!$P$21:$AB$33, MATCH(O354/$AH354, F!$O$21:$O$33,1), MATCH(E354, F!$P$20:$AB$20,1)), 0) + IFERROR( U354*INDEX(F!$P$21:$AB$33, MATCH(S354/$AH354, F!$O$21:$O$33,1), MATCH(E354, F!$P$20:$AB$20,1)),0)  + IFERROR(Y354*INDEX(F!$P$21:$AB$33, MATCH(W354/$AH354, F!$O$21:$O$33,1), MATCH(E354, F!$P$20:$AB$20,1)),0)  + IFERROR( AC354*INDEX(F!$P$21:$AB$33, MATCH(AA354/$AH354, F!$O$21:$O$33,1), MATCH(E354, F!$P$20:$AB$20,1)),)</f>
        <v>0</v>
      </c>
      <c r="AL354" s="5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ht="15.75" hidden="1" customHeight="1">
      <c r="A355" s="59"/>
      <c r="B355" s="135" t="str">
        <f t="shared" ref="B355:F355" si="681">IF(B299="","",B299)</f>
        <v/>
      </c>
      <c r="C355" s="136" t="str">
        <f t="shared" si="681"/>
        <v/>
      </c>
      <c r="D355" s="137" t="str">
        <f t="shared" si="681"/>
        <v/>
      </c>
      <c r="E355" s="48" t="str">
        <f t="shared" si="681"/>
        <v/>
      </c>
      <c r="F355" s="138" t="str">
        <f t="shared" si="681"/>
        <v/>
      </c>
      <c r="G355" s="139" t="str">
        <f t="shared" si="667"/>
        <v/>
      </c>
      <c r="H355" s="140"/>
      <c r="I355" s="140"/>
      <c r="J355" s="141"/>
      <c r="K355" s="139" t="str">
        <f t="shared" si="668"/>
        <v/>
      </c>
      <c r="L355" s="140"/>
      <c r="M355" s="140"/>
      <c r="N355" s="141"/>
      <c r="O355" s="139" t="str">
        <f t="shared" si="669"/>
        <v/>
      </c>
      <c r="P355" s="140"/>
      <c r="Q355" s="140"/>
      <c r="R355" s="141"/>
      <c r="S355" s="139" t="str">
        <f t="shared" si="670"/>
        <v/>
      </c>
      <c r="T355" s="140"/>
      <c r="U355" s="140"/>
      <c r="V355" s="141"/>
      <c r="W355" s="139" t="str">
        <f t="shared" si="671"/>
        <v/>
      </c>
      <c r="X355" s="140"/>
      <c r="Y355" s="140"/>
      <c r="Z355" s="141"/>
      <c r="AA355" s="139" t="str">
        <f t="shared" si="672"/>
        <v/>
      </c>
      <c r="AB355" s="140"/>
      <c r="AC355" s="140"/>
      <c r="AD355" s="141"/>
      <c r="AE355" s="142">
        <f t="shared" si="673"/>
        <v>0</v>
      </c>
      <c r="AF355" s="143">
        <f t="shared" si="654"/>
        <v>0</v>
      </c>
      <c r="AG355" s="144">
        <f t="shared" si="674"/>
        <v>0</v>
      </c>
      <c r="AH355" s="76" t="str">
        <f t="shared" si="675"/>
        <v/>
      </c>
      <c r="AI355" s="143">
        <f> ( IF(ISNUMBER(G355), VLOOKUP(G355/$AH355,F!$A1:$B101,2,1)*G355*$H355*$I355,0)+IF(ISNUMBER(K355), VLOOKUP(K355/$AH355,F!$A1:$B101,2,1)*K355*$L355*$M355,0)+IF(ISNUMBER(O355), VLOOKUP(O355/$AH355,F!$A1:$B101,2,1)*O355*$P355*$Q355,0)+IF(ISNUMBER(S355), VLOOKUP(S355/$AH355,F!$A1:$B101,2,1)*S355*$T355*$U355,0)+IF(ISNUMBER(W355), VLOOKUP(W355/$AH355,F!$A1:$B101,2,1)*W355*$X355*$Y355,0)+IF(ISNUMBER(AA355), VLOOKUP(AA355/$AH355,F!$A1:$B101,2,1)*AA355*$AB355*$AC355,0))*IF(ISNUMBER(F355),F355,1)*IF(ISNUMBER(E355),E355,1)</f>
        <v>0</v>
      </c>
      <c r="AJ355" s="140">
        <f t="shared" si="676"/>
        <v>0</v>
      </c>
      <c r="AK355" s="145">
        <f t="array" ref="AK355">IFERROR(I355*INDEX(F!$P$21:$AB$33, MATCH(G355/$AH355, F!$O$21:$O$33,1), MATCH(E355, F!$P$20:$AB$20,1)), 0 ) +IFERROR( M355*INDEX(F!$P$21:$AB$33, MATCH(K355/$AH355, F!$O$21:$O$33,1), MATCH(E355, F!$P$20:$AB$20,1)),0) +  IFERROR( Q355*INDEX(F!$P$21:$AB$33, MATCH(O355/$AH355, F!$O$21:$O$33,1), MATCH(E355, F!$P$20:$AB$20,1)), 0) + IFERROR( U355*INDEX(F!$P$21:$AB$33, MATCH(S355/$AH355, F!$O$21:$O$33,1), MATCH(E355, F!$P$20:$AB$20,1)),0)  + IFERROR(Y355*INDEX(F!$P$21:$AB$33, MATCH(W355/$AH355, F!$O$21:$O$33,1), MATCH(E355, F!$P$20:$AB$20,1)),0)  + IFERROR( AC355*INDEX(F!$P$21:$AB$33, MATCH(AA355/$AH355, F!$O$21:$O$33,1), MATCH(E355, F!$P$20:$AB$20,1)),)</f>
        <v>0</v>
      </c>
      <c r="AL355" s="5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ht="15.75" hidden="1" customHeight="1">
      <c r="A356" s="59"/>
      <c r="B356" s="126" t="str">
        <f t="shared" ref="B356:F356" si="682">IF(B300="","",B300)</f>
        <v/>
      </c>
      <c r="C356" s="127" t="str">
        <f t="shared" si="682"/>
        <v/>
      </c>
      <c r="D356" s="128" t="str">
        <f t="shared" si="682"/>
        <v/>
      </c>
      <c r="E356" s="48" t="str">
        <f t="shared" si="682"/>
        <v/>
      </c>
      <c r="F356" s="129" t="str">
        <f t="shared" si="682"/>
        <v/>
      </c>
      <c r="G356" s="130" t="str">
        <f t="shared" si="667"/>
        <v/>
      </c>
      <c r="H356" s="34"/>
      <c r="I356" s="34"/>
      <c r="J356" s="65"/>
      <c r="K356" s="130" t="str">
        <f t="shared" si="668"/>
        <v/>
      </c>
      <c r="L356" s="34"/>
      <c r="M356" s="34"/>
      <c r="N356" s="65"/>
      <c r="O356" s="130" t="str">
        <f t="shared" si="669"/>
        <v/>
      </c>
      <c r="P356" s="34"/>
      <c r="Q356" s="34"/>
      <c r="R356" s="65"/>
      <c r="S356" s="130" t="str">
        <f t="shared" si="670"/>
        <v/>
      </c>
      <c r="T356" s="34"/>
      <c r="U356" s="34"/>
      <c r="V356" s="65"/>
      <c r="W356" s="130" t="str">
        <f t="shared" si="671"/>
        <v/>
      </c>
      <c r="X356" s="34"/>
      <c r="Y356" s="34"/>
      <c r="Z356" s="65"/>
      <c r="AA356" s="130" t="str">
        <f t="shared" si="672"/>
        <v/>
      </c>
      <c r="AB356" s="34"/>
      <c r="AC356" s="34"/>
      <c r="AD356" s="65"/>
      <c r="AE356" s="131">
        <f t="shared" si="673"/>
        <v>0</v>
      </c>
      <c r="AF356" s="132">
        <f t="shared" si="654"/>
        <v>0</v>
      </c>
      <c r="AG356" s="133">
        <f t="shared" si="674"/>
        <v>0</v>
      </c>
      <c r="AH356" s="76" t="str">
        <f t="shared" si="675"/>
        <v/>
      </c>
      <c r="AI356" s="132">
        <f> ( IF(ISNUMBER(G356), VLOOKUP(G356/$AH356,F!$A1:$B101,2,1)*G356*$H356*$I356,0)+IF(ISNUMBER(K356), VLOOKUP(K356/$AH356,F!$A1:$B101,2,1)*K356*$L356*$M356,0)+IF(ISNUMBER(O356), VLOOKUP(O356/$AH356,F!$A1:$B101,2,1)*O356*$P356*$Q356,0)+IF(ISNUMBER(S356), VLOOKUP(S356/$AH356,F!$A1:$B101,2,1)*S356*$T356*$U356,0)+IF(ISNUMBER(W356), VLOOKUP(W356/$AH356,F!$A1:$B101,2,1)*W356*$X356*$Y356,0)+IF(ISNUMBER(AA356), VLOOKUP(AA356/$AH356,F!$A1:$B101,2,1)*AA356*$AB356*$AC356,0))*IF(ISNUMBER(F356),F356,1)*IF(ISNUMBER(E356),E356,1)</f>
        <v>0</v>
      </c>
      <c r="AJ356" s="34">
        <f t="shared" si="676"/>
        <v>0</v>
      </c>
      <c r="AK356" s="134">
        <f t="array" ref="AK356">IFERROR(I356*INDEX(F!$P$21:$AB$33, MATCH(G356/$AH356, F!$O$21:$O$33,1), MATCH(E356, F!$P$20:$AB$20,1)), 0 ) +IFERROR( M356*INDEX(F!$P$21:$AB$33, MATCH(K356/$AH356, F!$O$21:$O$33,1), MATCH(E356, F!$P$20:$AB$20,1)),0) +  IFERROR( Q356*INDEX(F!$P$21:$AB$33, MATCH(O356/$AH356, F!$O$21:$O$33,1), MATCH(E356, F!$P$20:$AB$20,1)), 0) + IFERROR( U356*INDEX(F!$P$21:$AB$33, MATCH(S356/$AH356, F!$O$21:$O$33,1), MATCH(E356, F!$P$20:$AB$20,1)),0)  + IFERROR(Y356*INDEX(F!$P$21:$AB$33, MATCH(W356/$AH356, F!$O$21:$O$33,1), MATCH(E356, F!$P$20:$AB$20,1)),0)  + IFERROR( AC356*INDEX(F!$P$21:$AB$33, MATCH(AA356/$AH356, F!$O$21:$O$33,1), MATCH(E356, F!$P$20:$AB$20,1)),)</f>
        <v>0</v>
      </c>
      <c r="AL356" s="5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ht="15.0" hidden="1" customHeight="1">
      <c r="A357" s="98"/>
      <c r="B357" s="150"/>
      <c r="C357" s="151"/>
      <c r="D357" s="152"/>
      <c r="E357" s="102">
        <f>ROUND(IFERROR(SUMPRODUCT(AJ349:AJ356,E349:E356)/AJ357,0),3)</f>
        <v>0</v>
      </c>
      <c r="F357" s="153"/>
      <c r="G357" s="154"/>
      <c r="H357" s="155"/>
      <c r="I357" s="155"/>
      <c r="J357" s="156"/>
      <c r="K357" s="154"/>
      <c r="L357" s="155"/>
      <c r="M357" s="155"/>
      <c r="N357" s="156"/>
      <c r="O357" s="154"/>
      <c r="P357" s="155"/>
      <c r="Q357" s="155"/>
      <c r="R357" s="156"/>
      <c r="S357" s="154"/>
      <c r="T357" s="155"/>
      <c r="U357" s="155"/>
      <c r="V357" s="156"/>
      <c r="W357" s="154"/>
      <c r="X357" s="155"/>
      <c r="Y357" s="155"/>
      <c r="Z357" s="156"/>
      <c r="AA357" s="154"/>
      <c r="AB357" s="155"/>
      <c r="AC357" s="155"/>
      <c r="AD357" s="156"/>
      <c r="AE357" s="107">
        <f>SUM(AE349:AE356)</f>
        <v>0</v>
      </c>
      <c r="AF357" s="108">
        <f t="shared" si="654"/>
        <v>0</v>
      </c>
      <c r="AG357" s="109">
        <f>IFERROR(  SUMPRODUCT(AG349:AG356,AJ349:AJ356)/AJ357,0)</f>
        <v>0</v>
      </c>
      <c r="AH357" s="157"/>
      <c r="AI357" s="111">
        <f t="shared" ref="AI357:AJ357" si="683">SUM(AI349:AI356)</f>
        <v>0</v>
      </c>
      <c r="AJ357" s="111">
        <f t="shared" si="683"/>
        <v>0</v>
      </c>
      <c r="AK357" s="112">
        <f>IF(SUM(AK349:AK356)=0,TIME(,0,),TIME(,SUM(AK349:AK356)+F!$V$37,))</f>
        <v>0</v>
      </c>
      <c r="AL357" s="98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ht="15.75" hidden="1" customHeight="1">
      <c r="A358" s="158">
        <f>A359</f>
        <v>43826</v>
      </c>
      <c r="B358" s="159" t="str">
        <f t="shared" ref="B358:F358" si="684">IF(B302="","",B302)</f>
        <v>Тяжелая</v>
      </c>
      <c r="C358" s="160" t="str">
        <f t="shared" si="684"/>
        <v>ПР</v>
      </c>
      <c r="D358" s="161" t="str">
        <f t="shared" si="684"/>
        <v>Присед</v>
      </c>
      <c r="E358" s="29">
        <f t="shared" si="684"/>
        <v>1.2</v>
      </c>
      <c r="F358" s="162" t="str">
        <f t="shared" si="684"/>
        <v/>
      </c>
      <c r="G358" s="163" t="str">
        <f t="shared" ref="G358:G365" si="686">IF(J358&lt;&gt;0, IFERROR(IF( $F358=2,  MROUND($AH358*J358,1),    IF( OR($F358="",$F358=1),   MROUND($AH358*J358,2.5),  MROUND($AH358*J358, 0.1))), "" ), "")</f>
        <v/>
      </c>
      <c r="H358" s="164"/>
      <c r="I358" s="164"/>
      <c r="J358" s="165"/>
      <c r="K358" s="163" t="str">
        <f t="shared" ref="K358:K365" si="687">IF(N358&lt;&gt;0, IFERROR(IF( $F358=2,  MROUND($AH358*N358,1),    IF( OR($F358="",$F358=1),   MROUND($AH358*N358,2.5),  MROUND($AH358*N358, 0.1))), "" ), "")</f>
        <v/>
      </c>
      <c r="L358" s="164"/>
      <c r="M358" s="164"/>
      <c r="N358" s="165"/>
      <c r="O358" s="163" t="str">
        <f t="shared" ref="O358:O365" si="688">IF(R358&lt;&gt;0, IFERROR(IF( $F358=2,  MROUND($AH358*R358,1),    IF( OR($F358="",$F358=1),   MROUND($AH358*R358,2.5),  MROUND($AH358*R358, 0.1))), "" ), "")</f>
        <v/>
      </c>
      <c r="P358" s="164"/>
      <c r="Q358" s="164"/>
      <c r="R358" s="165"/>
      <c r="S358" s="163" t="str">
        <f t="shared" ref="S358:S365" si="689">IF(V358&lt;&gt;0, IFERROR(IF( $F358=2,  MROUND($AH358*V358,1),    IF( OR($F358="",$F358=1),   MROUND($AH358*V358,2.5),  MROUND($AH358*V358, 0.1))), "" ), "")</f>
        <v/>
      </c>
      <c r="T358" s="164"/>
      <c r="U358" s="164"/>
      <c r="V358" s="165"/>
      <c r="W358" s="163" t="str">
        <f t="shared" ref="W358:W365" si="690">IF(Z358&lt;&gt;0, IFERROR(IF( $F358=2,  MROUND($AH358*Z358,1),    IF( OR($F358="",$F358=1),   MROUND($AH358*Z358,2.5),  MROUND($AH358*Z358, 0.1))), "" ), "")</f>
        <v/>
      </c>
      <c r="X358" s="164"/>
      <c r="Y358" s="164"/>
      <c r="Z358" s="165"/>
      <c r="AA358" s="163" t="str">
        <f t="shared" ref="AA358:AA365" si="691">IF(AD358&lt;&gt;0, IFERROR(IF( $F358=2,  MROUND($AH358*AD358,1),    IF( OR($F358="",$F358=1),   MROUND($AH358*AD358,2.5),  MROUND($AH358*AD358, 0.1))), "" ), "")</f>
        <v/>
      </c>
      <c r="AB358" s="164"/>
      <c r="AC358" s="164"/>
      <c r="AD358" s="165"/>
      <c r="AE358" s="166">
        <f t="shared" ref="AE358:AE365" si="692">(IF(ISNUMBER(G358),G358,0)*H358*I358+IF(ISNUMBER(K358),K358,1)*L358*M358+IF(ISNUMBER(O358),O358,1)*P358*Q358+IF(ISNUMBER(S358),S358,1)*T358*U358+IF(ISNUMBER(W358),W358,1)*X358*Y358+IF(ISNUMBER(AA358),AA358,1)*AB358*AC358)*IF(ISNUMBER(F358),F358,1)</f>
        <v>0</v>
      </c>
      <c r="AF358" s="167">
        <f t="shared" si="654"/>
        <v>0</v>
      </c>
      <c r="AG358" s="168">
        <f t="shared" ref="AG358:AG365" si="693">IFERROR((AF358/(AH358*IF(ISNUMBER(F358),F358,1))),0)</f>
        <v>0</v>
      </c>
      <c r="AH358" s="169">
        <f t="shared" ref="AH358:AH365" si="694">IF(ISNUMBER(AH302), AH302+(AH302*$AH$338),"")</f>
        <v>152.0319266</v>
      </c>
      <c r="AI358" s="167">
        <f> ( IF(ISNUMBER(G358), VLOOKUP(G358/$AH358,F!$A1:$B101,2,1)*G358*$H358*$I358,0)+IF(ISNUMBER(K358), VLOOKUP(K358/$AH358,F!$A1:$B101,2,1)*K358*$L358*$M358,0)+IF(ISNUMBER(O358), VLOOKUP(O358/$AH358,F!$A1:$B101,2,1)*O358*$P358*$Q358,0)+IF(ISNUMBER(S358), VLOOKUP(S358/$AH358,F!$A1:$B101,2,1)*S358*$T358*$U358,0)+IF(ISNUMBER(W358), VLOOKUP(W358/$AH358,F!$A1:$B101,2,1)*W358*$X358*$Y358,0)+IF(ISNUMBER(AA358), VLOOKUP(AA358/$AH358,F!$A1:$B101,2,1)*AA358*$AB358*$AC358,0))*IF(ISNUMBER(F358),F358,1)*IF(ISNUMBER(E358),E358,1)</f>
        <v>0</v>
      </c>
      <c r="AJ358" s="164">
        <f t="shared" ref="AJ358:AJ365" si="695">H358*I358+L358*M358+P358*Q358+T358*U358+X358*Y358+AB358*AC358</f>
        <v>0</v>
      </c>
      <c r="AK358" s="170">
        <f t="array" ref="AK358">IFERROR(I358*INDEX(F!$P$21:$AB$33, MATCH(G358/$AH358, F!$O$21:$O$33,1), MATCH(E358, F!$P$20:$AB$20,1)), 0 ) +IFERROR( M358*INDEX(F!$P$21:$AB$33, MATCH(K358/$AH358, F!$O$21:$O$33,1), MATCH(E358, F!$P$20:$AB$20,1)),0) +  IFERROR( Q358*INDEX(F!$P$21:$AB$33, MATCH(O358/$AH358, F!$O$21:$O$33,1), MATCH(E358, F!$P$20:$AB$20,1)), 0) + IFERROR( U358*INDEX(F!$P$21:$AB$33, MATCH(S358/$AH358, F!$O$21:$O$33,1), MATCH(E358, F!$P$20:$AB$20,1)),0)  + IFERROR(Y358*INDEX(F!$P$21:$AB$33, MATCH(W358/$AH358, F!$O$21:$O$33,1), MATCH(E358, F!$P$20:$AB$20,1)),0)  + IFERROR( AC358*INDEX(F!$P$21:$AB$33, MATCH(AA358/$AH358, F!$O$21:$O$33,1), MATCH(E358, F!$P$20:$AB$20,1)),)</f>
        <v>0</v>
      </c>
      <c r="AL358" s="42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ht="15.75" hidden="1" customHeight="1">
      <c r="A359" s="44">
        <f>A303+A282</f>
        <v>43826</v>
      </c>
      <c r="B359" s="135" t="str">
        <f t="shared" ref="B359:F359" si="685">IF(B303="","",B303)</f>
        <v>Тяжелая</v>
      </c>
      <c r="C359" s="136" t="str">
        <f t="shared" si="685"/>
        <v>ЖМ</v>
      </c>
      <c r="D359" s="137" t="str">
        <f t="shared" si="685"/>
        <v>Жим лежа</v>
      </c>
      <c r="E359" s="48">
        <f t="shared" si="685"/>
        <v>1</v>
      </c>
      <c r="F359" s="138" t="str">
        <f t="shared" si="685"/>
        <v/>
      </c>
      <c r="G359" s="139" t="str">
        <f t="shared" si="686"/>
        <v/>
      </c>
      <c r="H359" s="140"/>
      <c r="I359" s="140"/>
      <c r="J359" s="141"/>
      <c r="K359" s="139" t="str">
        <f t="shared" si="687"/>
        <v/>
      </c>
      <c r="L359" s="140"/>
      <c r="M359" s="140"/>
      <c r="N359" s="141"/>
      <c r="O359" s="139" t="str">
        <f t="shared" si="688"/>
        <v/>
      </c>
      <c r="P359" s="140"/>
      <c r="Q359" s="140"/>
      <c r="R359" s="141"/>
      <c r="S359" s="139" t="str">
        <f t="shared" si="689"/>
        <v/>
      </c>
      <c r="T359" s="140"/>
      <c r="U359" s="140"/>
      <c r="V359" s="141"/>
      <c r="W359" s="139" t="str">
        <f t="shared" si="690"/>
        <v/>
      </c>
      <c r="X359" s="140"/>
      <c r="Y359" s="140"/>
      <c r="Z359" s="141"/>
      <c r="AA359" s="139" t="str">
        <f t="shared" si="691"/>
        <v/>
      </c>
      <c r="AB359" s="140"/>
      <c r="AC359" s="140"/>
      <c r="AD359" s="141"/>
      <c r="AE359" s="142">
        <f t="shared" si="692"/>
        <v>0</v>
      </c>
      <c r="AF359" s="143">
        <f t="shared" si="654"/>
        <v>0</v>
      </c>
      <c r="AG359" s="144">
        <f t="shared" si="693"/>
        <v>0</v>
      </c>
      <c r="AH359" s="76">
        <f t="shared" si="694"/>
        <v>106.9854298</v>
      </c>
      <c r="AI359" s="143">
        <f> ( IF(ISNUMBER(G359), VLOOKUP(G359/$AH359,F!$A1:$B101,2,1)*G359*$H359*$I359,0)+IF(ISNUMBER(K359), VLOOKUP(K359/$AH359,F!$A1:$B101,2,1)*K359*$L359*$M359,0)+IF(ISNUMBER(O359), VLOOKUP(O359/$AH359,F!$A1:$B101,2,1)*O359*$P359*$Q359,0)+IF(ISNUMBER(S359), VLOOKUP(S359/$AH359,F!$A1:$B101,2,1)*S359*$T359*$U359,0)+IF(ISNUMBER(W359), VLOOKUP(W359/$AH359,F!$A1:$B101,2,1)*W359*$X359*$Y359,0)+IF(ISNUMBER(AA359), VLOOKUP(AA359/$AH359,F!$A1:$B101,2,1)*AA359*$AB359*$AC359,0))*IF(ISNUMBER(F359),F359,1)*IF(ISNUMBER(E359),E359,1)</f>
        <v>0</v>
      </c>
      <c r="AJ359" s="140">
        <f t="shared" si="695"/>
        <v>0</v>
      </c>
      <c r="AK359" s="145">
        <f t="array" ref="AK359">IFERROR(I359*INDEX(F!$P$21:$AB$33, MATCH(G359/$AH359, F!$O$21:$O$33,1), MATCH(E359, F!$P$20:$AB$20,1)), 0 ) +IFERROR( M359*INDEX(F!$P$21:$AB$33, MATCH(K359/$AH359, F!$O$21:$O$33,1), MATCH(E359, F!$P$20:$AB$20,1)),0) +  IFERROR( Q359*INDEX(F!$P$21:$AB$33, MATCH(O359/$AH359, F!$O$21:$O$33,1), MATCH(E359, F!$P$20:$AB$20,1)), 0) + IFERROR( U359*INDEX(F!$P$21:$AB$33, MATCH(S359/$AH359, F!$O$21:$O$33,1), MATCH(E359, F!$P$20:$AB$20,1)),0)  + IFERROR(Y359*INDEX(F!$P$21:$AB$33, MATCH(W359/$AH359, F!$O$21:$O$33,1), MATCH(E359, F!$P$20:$AB$20,1)),0)  + IFERROR( AC359*INDEX(F!$P$21:$AB$33, MATCH(AA359/$AH359, F!$O$21:$O$33,1), MATCH(E359, F!$P$20:$AB$20,1)),)</f>
        <v>0</v>
      </c>
      <c r="AL359" s="5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ht="15.75" hidden="1" customHeight="1">
      <c r="A360" s="59"/>
      <c r="B360" s="173" t="str">
        <f t="shared" ref="B360:F360" si="696">IF(B304="","",B304)</f>
        <v>Средняя</v>
      </c>
      <c r="C360" s="174" t="str">
        <f t="shared" si="696"/>
        <v>ПР</v>
      </c>
      <c r="D360" s="175" t="str">
        <f t="shared" si="696"/>
        <v>Присед</v>
      </c>
      <c r="E360" s="48">
        <f t="shared" si="696"/>
        <v>1.2</v>
      </c>
      <c r="F360" s="176" t="str">
        <f t="shared" si="696"/>
        <v/>
      </c>
      <c r="G360" s="177" t="str">
        <f t="shared" si="686"/>
        <v/>
      </c>
      <c r="H360" s="178"/>
      <c r="I360" s="178"/>
      <c r="J360" s="179"/>
      <c r="K360" s="177" t="str">
        <f t="shared" si="687"/>
        <v/>
      </c>
      <c r="L360" s="178"/>
      <c r="M360" s="178"/>
      <c r="N360" s="179"/>
      <c r="O360" s="177" t="str">
        <f t="shared" si="688"/>
        <v/>
      </c>
      <c r="P360" s="178"/>
      <c r="Q360" s="178"/>
      <c r="R360" s="179"/>
      <c r="S360" s="177" t="str">
        <f t="shared" si="689"/>
        <v/>
      </c>
      <c r="T360" s="178"/>
      <c r="U360" s="178"/>
      <c r="V360" s="179"/>
      <c r="W360" s="177" t="str">
        <f t="shared" si="690"/>
        <v/>
      </c>
      <c r="X360" s="178"/>
      <c r="Y360" s="178"/>
      <c r="Z360" s="179"/>
      <c r="AA360" s="177" t="str">
        <f t="shared" si="691"/>
        <v/>
      </c>
      <c r="AB360" s="178"/>
      <c r="AC360" s="178"/>
      <c r="AD360" s="179"/>
      <c r="AE360" s="180">
        <f t="shared" si="692"/>
        <v>0</v>
      </c>
      <c r="AF360" s="181">
        <f t="shared" si="654"/>
        <v>0</v>
      </c>
      <c r="AG360" s="182">
        <f t="shared" si="693"/>
        <v>0</v>
      </c>
      <c r="AH360" s="76">
        <f t="shared" si="694"/>
        <v>152.0319266</v>
      </c>
      <c r="AI360" s="181">
        <f> ( IF(ISNUMBER(G360), VLOOKUP(G360/$AH360,F!$A1:$B101,2,1)*G360*$H360*$I360,0)+IF(ISNUMBER(K360), VLOOKUP(K360/$AH360,F!$A1:$B101,2,1)*K360*$L360*$M360,0)+IF(ISNUMBER(O360), VLOOKUP(O360/$AH360,F!$A1:$B101,2,1)*O360*$P360*$Q360,0)+IF(ISNUMBER(S360), VLOOKUP(S360/$AH360,F!$A1:$B101,2,1)*S360*$T360*$U360,0)+IF(ISNUMBER(W360), VLOOKUP(W360/$AH360,F!$A1:$B101,2,1)*W360*$X360*$Y360,0)+IF(ISNUMBER(AA360), VLOOKUP(AA360/$AH360,F!$A1:$B101,2,1)*AA360*$AB360*$AC360,0))*IF(ISNUMBER(F360),F360,1)*IF(ISNUMBER(E360),E360,1)</f>
        <v>0</v>
      </c>
      <c r="AJ360" s="178">
        <f t="shared" si="695"/>
        <v>0</v>
      </c>
      <c r="AK360" s="183">
        <f t="array" ref="AK360">IFERROR(I360*INDEX(F!$P$21:$AB$33, MATCH(G360/$AH360, F!$O$21:$O$33,1), MATCH(E360, F!$P$20:$AB$20,1)), 0 ) +IFERROR( M360*INDEX(F!$P$21:$AB$33, MATCH(K360/$AH360, F!$O$21:$O$33,1), MATCH(E360, F!$P$20:$AB$20,1)),0) +  IFERROR( Q360*INDEX(F!$P$21:$AB$33, MATCH(O360/$AH360, F!$O$21:$O$33,1), MATCH(E360, F!$P$20:$AB$20,1)), 0) + IFERROR( U360*INDEX(F!$P$21:$AB$33, MATCH(S360/$AH360, F!$O$21:$O$33,1), MATCH(E360, F!$P$20:$AB$20,1)),0)  + IFERROR(Y360*INDEX(F!$P$21:$AB$33, MATCH(W360/$AH360, F!$O$21:$O$33,1), MATCH(E360, F!$P$20:$AB$20,1)),0)  + IFERROR( AC360*INDEX(F!$P$21:$AB$33, MATCH(AA360/$AH360, F!$O$21:$O$33,1), MATCH(E360, F!$P$20:$AB$20,1)),)</f>
        <v>0</v>
      </c>
      <c r="AL360" s="5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ht="15.75" hidden="1" customHeight="1">
      <c r="A361" s="59"/>
      <c r="B361" s="135" t="str">
        <f t="shared" ref="B361:F361" si="697">IF(B305="","",B305)</f>
        <v>Средняя</v>
      </c>
      <c r="C361" s="136" t="str">
        <f t="shared" si="697"/>
        <v>ЖМ</v>
      </c>
      <c r="D361" s="137" t="str">
        <f t="shared" si="697"/>
        <v>Жим на наклонной скамье</v>
      </c>
      <c r="E361" s="48">
        <f t="shared" si="697"/>
        <v>1</v>
      </c>
      <c r="F361" s="138" t="str">
        <f t="shared" si="697"/>
        <v/>
      </c>
      <c r="G361" s="139" t="str">
        <f t="shared" si="686"/>
        <v/>
      </c>
      <c r="H361" s="140"/>
      <c r="I361" s="140"/>
      <c r="J361" s="141"/>
      <c r="K361" s="139" t="str">
        <f t="shared" si="687"/>
        <v/>
      </c>
      <c r="L361" s="140"/>
      <c r="M361" s="140"/>
      <c r="N361" s="141"/>
      <c r="O361" s="139" t="str">
        <f t="shared" si="688"/>
        <v/>
      </c>
      <c r="P361" s="140"/>
      <c r="Q361" s="140"/>
      <c r="R361" s="141"/>
      <c r="S361" s="139" t="str">
        <f t="shared" si="689"/>
        <v/>
      </c>
      <c r="T361" s="140"/>
      <c r="U361" s="140"/>
      <c r="V361" s="141"/>
      <c r="W361" s="139" t="str">
        <f t="shared" si="690"/>
        <v/>
      </c>
      <c r="X361" s="140"/>
      <c r="Y361" s="140"/>
      <c r="Z361" s="141"/>
      <c r="AA361" s="139" t="str">
        <f t="shared" si="691"/>
        <v/>
      </c>
      <c r="AB361" s="140"/>
      <c r="AC361" s="140"/>
      <c r="AD361" s="141"/>
      <c r="AE361" s="142">
        <f t="shared" si="692"/>
        <v>0</v>
      </c>
      <c r="AF361" s="143">
        <f t="shared" si="654"/>
        <v>0</v>
      </c>
      <c r="AG361" s="144">
        <f t="shared" si="693"/>
        <v>0</v>
      </c>
      <c r="AH361" s="76">
        <f t="shared" si="694"/>
        <v>85.58834386</v>
      </c>
      <c r="AI361" s="143">
        <f> ( IF(ISNUMBER(G361), VLOOKUP(G361/$AH361,F!$A1:$B101,2,1)*G361*$H361*$I361,0)+IF(ISNUMBER(K361), VLOOKUP(K361/$AH361,F!$A1:$B101,2,1)*K361*$L361*$M361,0)+IF(ISNUMBER(O361), VLOOKUP(O361/$AH361,F!$A1:$B101,2,1)*O361*$P361*$Q361,0)+IF(ISNUMBER(S361), VLOOKUP(S361/$AH361,F!$A1:$B101,2,1)*S361*$T361*$U361,0)+IF(ISNUMBER(W361), VLOOKUP(W361/$AH361,F!$A1:$B101,2,1)*W361*$X361*$Y361,0)+IF(ISNUMBER(AA361), VLOOKUP(AA361/$AH361,F!$A1:$B101,2,1)*AA361*$AB361*$AC361,0))*IF(ISNUMBER(F361),F361,1)*IF(ISNUMBER(E361),E361,1)</f>
        <v>0</v>
      </c>
      <c r="AJ361" s="140">
        <f t="shared" si="695"/>
        <v>0</v>
      </c>
      <c r="AK361" s="145">
        <f t="array" ref="AK361">IFERROR(I361*INDEX(F!$P$21:$AB$33, MATCH(G361/$AH361, F!$O$21:$O$33,1), MATCH(E361, F!$P$20:$AB$20,1)), 0 ) +IFERROR( M361*INDEX(F!$P$21:$AB$33, MATCH(K361/$AH361, F!$O$21:$O$33,1), MATCH(E361, F!$P$20:$AB$20,1)),0) +  IFERROR( Q361*INDEX(F!$P$21:$AB$33, MATCH(O361/$AH361, F!$O$21:$O$33,1), MATCH(E361, F!$P$20:$AB$20,1)), 0) + IFERROR( U361*INDEX(F!$P$21:$AB$33, MATCH(S361/$AH361, F!$O$21:$O$33,1), MATCH(E361, F!$P$20:$AB$20,1)),0)  + IFERROR(Y361*INDEX(F!$P$21:$AB$33, MATCH(W361/$AH361, F!$O$21:$O$33,1), MATCH(E361, F!$P$20:$AB$20,1)),0)  + IFERROR( AC361*INDEX(F!$P$21:$AB$33, MATCH(AA361/$AH361, F!$O$21:$O$33,1), MATCH(E361, F!$P$20:$AB$20,1)),)</f>
        <v>0</v>
      </c>
      <c r="AL361" s="5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ht="15.75" hidden="1" customHeight="1">
      <c r="A362" s="59"/>
      <c r="B362" s="173" t="str">
        <f t="shared" ref="B362:F362" si="698">IF(B306="","",B306)</f>
        <v>Средняя</v>
      </c>
      <c r="C362" s="174" t="str">
        <f t="shared" si="698"/>
        <v>ОФП</v>
      </c>
      <c r="D362" s="175" t="str">
        <f t="shared" si="698"/>
        <v>Бицепс стоя</v>
      </c>
      <c r="E362" s="48">
        <f t="shared" si="698"/>
        <v>0.5</v>
      </c>
      <c r="F362" s="176" t="str">
        <f t="shared" si="698"/>
        <v/>
      </c>
      <c r="G362" s="177" t="str">
        <f t="shared" si="686"/>
        <v/>
      </c>
      <c r="H362" s="178"/>
      <c r="I362" s="178"/>
      <c r="J362" s="179"/>
      <c r="K362" s="177" t="str">
        <f t="shared" si="687"/>
        <v/>
      </c>
      <c r="L362" s="178"/>
      <c r="M362" s="178"/>
      <c r="N362" s="179"/>
      <c r="O362" s="177" t="str">
        <f t="shared" si="688"/>
        <v/>
      </c>
      <c r="P362" s="178"/>
      <c r="Q362" s="178"/>
      <c r="R362" s="179"/>
      <c r="S362" s="177" t="str">
        <f t="shared" si="689"/>
        <v/>
      </c>
      <c r="T362" s="178"/>
      <c r="U362" s="178"/>
      <c r="V362" s="179"/>
      <c r="W362" s="177" t="str">
        <f t="shared" si="690"/>
        <v/>
      </c>
      <c r="X362" s="178"/>
      <c r="Y362" s="178"/>
      <c r="Z362" s="179"/>
      <c r="AA362" s="177" t="str">
        <f t="shared" si="691"/>
        <v/>
      </c>
      <c r="AB362" s="178"/>
      <c r="AC362" s="178"/>
      <c r="AD362" s="179"/>
      <c r="AE362" s="180">
        <f t="shared" si="692"/>
        <v>0</v>
      </c>
      <c r="AF362" s="181">
        <f t="shared" si="654"/>
        <v>0</v>
      </c>
      <c r="AG362" s="182">
        <f t="shared" si="693"/>
        <v>0</v>
      </c>
      <c r="AH362" s="76" t="str">
        <f t="shared" si="694"/>
        <v/>
      </c>
      <c r="AI362" s="181">
        <f> ( IF(ISNUMBER(G362), VLOOKUP(G362/$AH362,F!$A1:$B101,2,1)*G362*$H362*$I362,0)+IF(ISNUMBER(K362), VLOOKUP(K362/$AH362,F!$A1:$B101,2,1)*K362*$L362*$M362,0)+IF(ISNUMBER(O362), VLOOKUP(O362/$AH362,F!$A1:$B101,2,1)*O362*$P362*$Q362,0)+IF(ISNUMBER(S362), VLOOKUP(S362/$AH362,F!$A1:$B101,2,1)*S362*$T362*$U362,0)+IF(ISNUMBER(W362), VLOOKUP(W362/$AH362,F!$A1:$B101,2,1)*W362*$X362*$Y362,0)+IF(ISNUMBER(AA362), VLOOKUP(AA362/$AH362,F!$A1:$B101,2,1)*AA362*$AB362*$AC362,0))*IF(ISNUMBER(F362),F362,1)*IF(ISNUMBER(E362),E362,1)</f>
        <v>0</v>
      </c>
      <c r="AJ362" s="178">
        <f t="shared" si="695"/>
        <v>0</v>
      </c>
      <c r="AK362" s="183">
        <f t="array" ref="AK362">IFERROR(I362*INDEX(F!$P$21:$AB$33, MATCH(G362/$AH362, F!$O$21:$O$33,1), MATCH(E362, F!$P$20:$AB$20,1)), 0 ) +IFERROR( M362*INDEX(F!$P$21:$AB$33, MATCH(K362/$AH362, F!$O$21:$O$33,1), MATCH(E362, F!$P$20:$AB$20,1)),0) +  IFERROR( Q362*INDEX(F!$P$21:$AB$33, MATCH(O362/$AH362, F!$O$21:$O$33,1), MATCH(E362, F!$P$20:$AB$20,1)), 0) + IFERROR( U362*INDEX(F!$P$21:$AB$33, MATCH(S362/$AH362, F!$O$21:$O$33,1), MATCH(E362, F!$P$20:$AB$20,1)),0)  + IFERROR(Y362*INDEX(F!$P$21:$AB$33, MATCH(W362/$AH362, F!$O$21:$O$33,1), MATCH(E362, F!$P$20:$AB$20,1)),0)  + IFERROR( AC362*INDEX(F!$P$21:$AB$33, MATCH(AA362/$AH362, F!$O$21:$O$33,1), MATCH(E362, F!$P$20:$AB$20,1)),)</f>
        <v>0</v>
      </c>
      <c r="AL362" s="5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ht="15.75" hidden="1" customHeight="1">
      <c r="A363" s="59"/>
      <c r="B363" s="135" t="str">
        <f t="shared" ref="B363:F363" si="699">IF(B307="","",B307)</f>
        <v/>
      </c>
      <c r="C363" s="136" t="str">
        <f t="shared" si="699"/>
        <v/>
      </c>
      <c r="D363" s="137" t="str">
        <f t="shared" si="699"/>
        <v/>
      </c>
      <c r="E363" s="48" t="str">
        <f t="shared" si="699"/>
        <v/>
      </c>
      <c r="F363" s="138" t="str">
        <f t="shared" si="699"/>
        <v/>
      </c>
      <c r="G363" s="139" t="str">
        <f t="shared" si="686"/>
        <v/>
      </c>
      <c r="H363" s="140"/>
      <c r="I363" s="140"/>
      <c r="J363" s="141"/>
      <c r="K363" s="139" t="str">
        <f t="shared" si="687"/>
        <v/>
      </c>
      <c r="L363" s="140"/>
      <c r="M363" s="140"/>
      <c r="N363" s="141"/>
      <c r="O363" s="139" t="str">
        <f t="shared" si="688"/>
        <v/>
      </c>
      <c r="P363" s="140"/>
      <c r="Q363" s="140"/>
      <c r="R363" s="141"/>
      <c r="S363" s="139" t="str">
        <f t="shared" si="689"/>
        <v/>
      </c>
      <c r="T363" s="140"/>
      <c r="U363" s="140"/>
      <c r="V363" s="141"/>
      <c r="W363" s="139" t="str">
        <f t="shared" si="690"/>
        <v/>
      </c>
      <c r="X363" s="140"/>
      <c r="Y363" s="140"/>
      <c r="Z363" s="141"/>
      <c r="AA363" s="139" t="str">
        <f t="shared" si="691"/>
        <v/>
      </c>
      <c r="AB363" s="140"/>
      <c r="AC363" s="140"/>
      <c r="AD363" s="141"/>
      <c r="AE363" s="142">
        <f t="shared" si="692"/>
        <v>0</v>
      </c>
      <c r="AF363" s="143">
        <f t="shared" si="654"/>
        <v>0</v>
      </c>
      <c r="AG363" s="144">
        <f t="shared" si="693"/>
        <v>0</v>
      </c>
      <c r="AH363" s="76" t="str">
        <f t="shared" si="694"/>
        <v/>
      </c>
      <c r="AI363" s="143">
        <f> ( IF(ISNUMBER(G363), VLOOKUP(G363/$AH363,F!$A1:$B101,2,1)*G363*$H363*$I363,0)+IF(ISNUMBER(K363), VLOOKUP(K363/$AH363,F!$A1:$B101,2,1)*K363*$L363*$M363,0)+IF(ISNUMBER(O363), VLOOKUP(O363/$AH363,F!$A1:$B101,2,1)*O363*$P363*$Q363,0)+IF(ISNUMBER(S363), VLOOKUP(S363/$AH363,F!$A1:$B101,2,1)*S363*$T363*$U363,0)+IF(ISNUMBER(W363), VLOOKUP(W363/$AH363,F!$A1:$B101,2,1)*W363*$X363*$Y363,0)+IF(ISNUMBER(AA363), VLOOKUP(AA363/$AH363,F!$A1:$B101,2,1)*AA363*$AB363*$AC363,0))*IF(ISNUMBER(F363),F363,1)*IF(ISNUMBER(E363),E363,1)</f>
        <v>0</v>
      </c>
      <c r="AJ363" s="140">
        <f t="shared" si="695"/>
        <v>0</v>
      </c>
      <c r="AK363" s="145">
        <f t="array" ref="AK363">IFERROR(I363*INDEX(F!$P$21:$AB$33, MATCH(G363/$AH363, F!$O$21:$O$33,1), MATCH(E363, F!$P$20:$AB$20,1)), 0 ) +IFERROR( M363*INDEX(F!$P$21:$AB$33, MATCH(K363/$AH363, F!$O$21:$O$33,1), MATCH(E363, F!$P$20:$AB$20,1)),0) +  IFERROR( Q363*INDEX(F!$P$21:$AB$33, MATCH(O363/$AH363, F!$O$21:$O$33,1), MATCH(E363, F!$P$20:$AB$20,1)), 0) + IFERROR( U363*INDEX(F!$P$21:$AB$33, MATCH(S363/$AH363, F!$O$21:$O$33,1), MATCH(E363, F!$P$20:$AB$20,1)),0)  + IFERROR(Y363*INDEX(F!$P$21:$AB$33, MATCH(W363/$AH363, F!$O$21:$O$33,1), MATCH(E363, F!$P$20:$AB$20,1)),0)  + IFERROR( AC363*INDEX(F!$P$21:$AB$33, MATCH(AA363/$AH363, F!$O$21:$O$33,1), MATCH(E363, F!$P$20:$AB$20,1)),)</f>
        <v>0</v>
      </c>
      <c r="AL363" s="5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ht="15.0" hidden="1" customHeight="1">
      <c r="A364" s="59"/>
      <c r="B364" s="173" t="str">
        <f t="shared" ref="B364:F364" si="700">IF(B308="","",B308)</f>
        <v/>
      </c>
      <c r="C364" s="174" t="str">
        <f t="shared" si="700"/>
        <v/>
      </c>
      <c r="D364" s="175" t="str">
        <f t="shared" si="700"/>
        <v/>
      </c>
      <c r="E364" s="48" t="str">
        <f t="shared" si="700"/>
        <v/>
      </c>
      <c r="F364" s="176" t="str">
        <f t="shared" si="700"/>
        <v/>
      </c>
      <c r="G364" s="177" t="str">
        <f t="shared" si="686"/>
        <v/>
      </c>
      <c r="H364" s="178"/>
      <c r="I364" s="178"/>
      <c r="J364" s="179"/>
      <c r="K364" s="177" t="str">
        <f t="shared" si="687"/>
        <v/>
      </c>
      <c r="L364" s="178"/>
      <c r="M364" s="178"/>
      <c r="N364" s="179"/>
      <c r="O364" s="177" t="str">
        <f t="shared" si="688"/>
        <v/>
      </c>
      <c r="P364" s="178"/>
      <c r="Q364" s="178"/>
      <c r="R364" s="179"/>
      <c r="S364" s="177" t="str">
        <f t="shared" si="689"/>
        <v/>
      </c>
      <c r="T364" s="178"/>
      <c r="U364" s="178"/>
      <c r="V364" s="179"/>
      <c r="W364" s="177" t="str">
        <f t="shared" si="690"/>
        <v/>
      </c>
      <c r="X364" s="178"/>
      <c r="Y364" s="178"/>
      <c r="Z364" s="179"/>
      <c r="AA364" s="177" t="str">
        <f t="shared" si="691"/>
        <v/>
      </c>
      <c r="AB364" s="178"/>
      <c r="AC364" s="178"/>
      <c r="AD364" s="179"/>
      <c r="AE364" s="180">
        <f t="shared" si="692"/>
        <v>0</v>
      </c>
      <c r="AF364" s="181">
        <f t="shared" si="654"/>
        <v>0</v>
      </c>
      <c r="AG364" s="182">
        <f t="shared" si="693"/>
        <v>0</v>
      </c>
      <c r="AH364" s="76" t="str">
        <f t="shared" si="694"/>
        <v/>
      </c>
      <c r="AI364" s="181">
        <f> ( IF(ISNUMBER(G364), VLOOKUP(G364/$AH364,F!$A1:$B101,2,1)*G364*$H364*$I364,0)+IF(ISNUMBER(K364), VLOOKUP(K364/$AH364,F!$A1:$B101,2,1)*K364*$L364*$M364,0)+IF(ISNUMBER(O364), VLOOKUP(O364/$AH364,F!$A1:$B101,2,1)*O364*$P364*$Q364,0)+IF(ISNUMBER(S364), VLOOKUP(S364/$AH364,F!$A1:$B101,2,1)*S364*$T364*$U364,0)+IF(ISNUMBER(W364), VLOOKUP(W364/$AH364,F!$A1:$B101,2,1)*W364*$X364*$Y364,0)+IF(ISNUMBER(AA364), VLOOKUP(AA364/$AH364,F!$A1:$B101,2,1)*AA364*$AB364*$AC364,0))*IF(ISNUMBER(F364),F364,1)*IF(ISNUMBER(E364),E364,1)</f>
        <v>0</v>
      </c>
      <c r="AJ364" s="178">
        <f t="shared" si="695"/>
        <v>0</v>
      </c>
      <c r="AK364" s="183">
        <f t="array" ref="AK364">IFERROR(I364*INDEX(F!$P$21:$AB$33, MATCH(G364/$AH364, F!$O$21:$O$33,1), MATCH(E364, F!$P$20:$AB$20,1)), 0 ) +IFERROR( M364*INDEX(F!$P$21:$AB$33, MATCH(K364/$AH364, F!$O$21:$O$33,1), MATCH(E364, F!$P$20:$AB$20,1)),0) +  IFERROR( Q364*INDEX(F!$P$21:$AB$33, MATCH(O364/$AH364, F!$O$21:$O$33,1), MATCH(E364, F!$P$20:$AB$20,1)), 0) + IFERROR( U364*INDEX(F!$P$21:$AB$33, MATCH(S364/$AH364, F!$O$21:$O$33,1), MATCH(E364, F!$P$20:$AB$20,1)),0)  + IFERROR(Y364*INDEX(F!$P$21:$AB$33, MATCH(W364/$AH364, F!$O$21:$O$33,1), MATCH(E364, F!$P$20:$AB$20,1)),0)  + IFERROR( AC364*INDEX(F!$P$21:$AB$33, MATCH(AA364/$AH364, F!$O$21:$O$33,1), MATCH(E364, F!$P$20:$AB$20,1)),)</f>
        <v>0</v>
      </c>
      <c r="AL364" s="5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ht="15.75" hidden="1" customHeight="1">
      <c r="A365" s="59"/>
      <c r="B365" s="135" t="str">
        <f t="shared" ref="B365:F365" si="701">IF(B309="","",B309)</f>
        <v/>
      </c>
      <c r="C365" s="136" t="str">
        <f t="shared" si="701"/>
        <v/>
      </c>
      <c r="D365" s="137" t="str">
        <f t="shared" si="701"/>
        <v/>
      </c>
      <c r="E365" s="48" t="str">
        <f t="shared" si="701"/>
        <v/>
      </c>
      <c r="F365" s="138" t="str">
        <f t="shared" si="701"/>
        <v/>
      </c>
      <c r="G365" s="139" t="str">
        <f t="shared" si="686"/>
        <v/>
      </c>
      <c r="H365" s="140"/>
      <c r="I365" s="140"/>
      <c r="J365" s="141"/>
      <c r="K365" s="139" t="str">
        <f t="shared" si="687"/>
        <v/>
      </c>
      <c r="L365" s="140"/>
      <c r="M365" s="140"/>
      <c r="N365" s="141"/>
      <c r="O365" s="139" t="str">
        <f t="shared" si="688"/>
        <v/>
      </c>
      <c r="P365" s="140"/>
      <c r="Q365" s="140"/>
      <c r="R365" s="141"/>
      <c r="S365" s="139" t="str">
        <f t="shared" si="689"/>
        <v/>
      </c>
      <c r="T365" s="140"/>
      <c r="U365" s="140"/>
      <c r="V365" s="141"/>
      <c r="W365" s="139" t="str">
        <f t="shared" si="690"/>
        <v/>
      </c>
      <c r="X365" s="140"/>
      <c r="Y365" s="140"/>
      <c r="Z365" s="141"/>
      <c r="AA365" s="139" t="str">
        <f t="shared" si="691"/>
        <v/>
      </c>
      <c r="AB365" s="140"/>
      <c r="AC365" s="140"/>
      <c r="AD365" s="141"/>
      <c r="AE365" s="142">
        <f t="shared" si="692"/>
        <v>0</v>
      </c>
      <c r="AF365" s="143">
        <f t="shared" si="654"/>
        <v>0</v>
      </c>
      <c r="AG365" s="144">
        <f t="shared" si="693"/>
        <v>0</v>
      </c>
      <c r="AH365" s="76" t="str">
        <f t="shared" si="694"/>
        <v/>
      </c>
      <c r="AI365" s="143">
        <f> ( IF(ISNUMBER(G365), VLOOKUP(G365/$AH365,F!$A1:$B101,2,1)*G365*$H365*$I365,0)+IF(ISNUMBER(K365), VLOOKUP(K365/$AH365,F!$A1:$B101,2,1)*K365*$L365*$M365,0)+IF(ISNUMBER(O365), VLOOKUP(O365/$AH365,F!$A1:$B101,2,1)*O365*$P365*$Q365,0)+IF(ISNUMBER(S365), VLOOKUP(S365/$AH365,F!$A1:$B101,2,1)*S365*$T365*$U365,0)+IF(ISNUMBER(W365), VLOOKUP(W365/$AH365,F!$A1:$B101,2,1)*W365*$X365*$Y365,0)+IF(ISNUMBER(AA365), VLOOKUP(AA365/$AH365,F!$A1:$B101,2,1)*AA365*$AB365*$AC365,0))*IF(ISNUMBER(F365),F365,1)*IF(ISNUMBER(E365),E365,1)</f>
        <v>0</v>
      </c>
      <c r="AJ365" s="140">
        <f t="shared" si="695"/>
        <v>0</v>
      </c>
      <c r="AK365" s="145">
        <f t="array" ref="AK365">IFERROR(I365*INDEX(F!$P$21:$AB$33, MATCH(G365/$AH365, F!$O$21:$O$33,1), MATCH(E365, F!$P$20:$AB$20,1)), 0 ) +IFERROR( M365*INDEX(F!$P$21:$AB$33, MATCH(K365/$AH365, F!$O$21:$O$33,1), MATCH(E365, F!$P$20:$AB$20,1)),0) +  IFERROR( Q365*INDEX(F!$P$21:$AB$33, MATCH(O365/$AH365, F!$O$21:$O$33,1), MATCH(E365, F!$P$20:$AB$20,1)), 0) + IFERROR( U365*INDEX(F!$P$21:$AB$33, MATCH(S365/$AH365, F!$O$21:$O$33,1), MATCH(E365, F!$P$20:$AB$20,1)),0)  + IFERROR(Y365*INDEX(F!$P$21:$AB$33, MATCH(W365/$AH365, F!$O$21:$O$33,1), MATCH(E365, F!$P$20:$AB$20,1)),0)  + IFERROR( AC365*INDEX(F!$P$21:$AB$33, MATCH(AA365/$AH365, F!$O$21:$O$33,1), MATCH(E365, F!$P$20:$AB$20,1)),)</f>
        <v>0</v>
      </c>
      <c r="AL365" s="5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ht="15.75" hidden="1" customHeight="1">
      <c r="A366" s="98"/>
      <c r="B366" s="188"/>
      <c r="C366" s="189"/>
      <c r="D366" s="190"/>
      <c r="E366" s="102">
        <f>ROUND(IFERROR(SUMPRODUCT(AJ358:AJ365,E358:E365)/AJ366,0),3)</f>
        <v>0</v>
      </c>
      <c r="F366" s="191"/>
      <c r="G366" s="192"/>
      <c r="H366" s="193"/>
      <c r="I366" s="193"/>
      <c r="J366" s="194"/>
      <c r="K366" s="192"/>
      <c r="L366" s="193"/>
      <c r="M366" s="193"/>
      <c r="N366" s="194"/>
      <c r="O366" s="192"/>
      <c r="P366" s="193"/>
      <c r="Q366" s="193"/>
      <c r="R366" s="194"/>
      <c r="S366" s="192"/>
      <c r="T366" s="193"/>
      <c r="U366" s="193"/>
      <c r="V366" s="194"/>
      <c r="W366" s="192"/>
      <c r="X366" s="193"/>
      <c r="Y366" s="193"/>
      <c r="Z366" s="194"/>
      <c r="AA366" s="192"/>
      <c r="AB366" s="193"/>
      <c r="AC366" s="193"/>
      <c r="AD366" s="194"/>
      <c r="AE366" s="107">
        <f>SUM(AE358:AE365)</f>
        <v>0</v>
      </c>
      <c r="AF366" s="108">
        <f t="shared" si="654"/>
        <v>0</v>
      </c>
      <c r="AG366" s="109">
        <f>IFERROR(  SUMPRODUCT(AG358:AG365,AJ358:AJ365)/AJ366,0)</f>
        <v>0</v>
      </c>
      <c r="AH366" s="157"/>
      <c r="AI366" s="111">
        <f t="shared" ref="AI366:AJ366" si="702">SUM(AI358:AI365)</f>
        <v>0</v>
      </c>
      <c r="AJ366" s="111">
        <f t="shared" si="702"/>
        <v>0</v>
      </c>
      <c r="AK366" s="112">
        <f>IF(SUM(AK358:AK365)=0,TIME(,0,),TIME(,SUM(AK358:AK365)+F!$V$37,))</f>
        <v>0</v>
      </c>
      <c r="AL366" s="98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ht="15.75" hidden="1" customHeight="1">
      <c r="A367" s="25">
        <f>A368</f>
        <v>43827</v>
      </c>
      <c r="B367" s="26" t="str">
        <f t="shared" ref="B367:F367" si="703">IF(B311="","",B311)</f>
        <v/>
      </c>
      <c r="C367" s="27" t="str">
        <f t="shared" si="703"/>
        <v/>
      </c>
      <c r="D367" s="28" t="str">
        <f t="shared" si="703"/>
        <v/>
      </c>
      <c r="E367" s="29" t="str">
        <f t="shared" si="703"/>
        <v/>
      </c>
      <c r="F367" s="30" t="str">
        <f t="shared" si="703"/>
        <v/>
      </c>
      <c r="G367" s="31" t="str">
        <f t="shared" ref="G367:G374" si="705">IF(J367&lt;&gt;0, IFERROR(IF( $F367=2,  MROUND($AH367*J367,1),    IF( OR($F367="",$F367=1),   MROUND($AH367*J367,2.5),  MROUND($AH367*J367, 0.1))), "" ), "")</f>
        <v/>
      </c>
      <c r="H367" s="32"/>
      <c r="I367" s="32"/>
      <c r="J367" s="33"/>
      <c r="K367" s="31" t="str">
        <f t="shared" ref="K367:K374" si="706">IF(N367&lt;&gt;0, IFERROR(IF( $F367=2,  MROUND($AH367*N367,1),    IF( OR($F367="",$F367=1),   MROUND($AH367*N367,2.5),  MROUND($AH367*N367, 0.1))), "" ), "")</f>
        <v/>
      </c>
      <c r="L367" s="32"/>
      <c r="M367" s="32"/>
      <c r="N367" s="33"/>
      <c r="O367" s="31" t="str">
        <f t="shared" ref="O367:O374" si="707">IF(R367&lt;&gt;0, IFERROR(IF( $F367=2,  MROUND($AH367*R367,1),    IF( OR($F367="",$F367=1),   MROUND($AH367*R367,2.5),  MROUND($AH367*R367, 0.1))), "" ), "")</f>
        <v/>
      </c>
      <c r="P367" s="32"/>
      <c r="Q367" s="32"/>
      <c r="R367" s="33"/>
      <c r="S367" s="31" t="str">
        <f t="shared" ref="S367:S374" si="708">IF(V367&lt;&gt;0, IFERROR(IF( $F367=2,  MROUND($AH367*V367,1),    IF( OR($F367="",$F367=1),   MROUND($AH367*V367,2.5),  MROUND($AH367*V367, 0.1))), "" ), "")</f>
        <v/>
      </c>
      <c r="T367" s="32"/>
      <c r="U367" s="32"/>
      <c r="V367" s="33"/>
      <c r="W367" s="31" t="str">
        <f t="shared" ref="W367:W374" si="709">IF(Z367&lt;&gt;0, IFERROR(IF( $F367=2,  MROUND($AH367*Z367,1),    IF( OR($F367="",$F367=1),   MROUND($AH367*Z367,2.5),  MROUND($AH367*Z367, 0.1))), "" ), "")</f>
        <v/>
      </c>
      <c r="X367" s="32"/>
      <c r="Y367" s="32"/>
      <c r="Z367" s="33"/>
      <c r="AA367" s="31" t="str">
        <f t="shared" ref="AA367:AA374" si="710">IF(AD367&lt;&gt;0, IFERROR(IF( $F367=2,  MROUND($AH367*AD367,1),    IF( OR($F367="",$F367=1),   MROUND($AH367*AD367,2.5),  MROUND($AH367*AD367, 0.1))), "" ), "")</f>
        <v/>
      </c>
      <c r="AB367" s="32"/>
      <c r="AC367" s="32"/>
      <c r="AD367" s="33"/>
      <c r="AE367" s="35">
        <f t="shared" ref="AE367:AE374" si="711">(IF(ISNUMBER(G367),G367,0)*H367*I367+IF(ISNUMBER(K367),K367,1)*L367*M367+IF(ISNUMBER(O367),O367,1)*P367*Q367+IF(ISNUMBER(S367),S367,1)*T367*U367+IF(ISNUMBER(W367),W367,1)*X367*Y367+IF(ISNUMBER(AA367),AA367,1)*AB367*AC367)*IF(ISNUMBER(F367),F367,1)</f>
        <v>0</v>
      </c>
      <c r="AF367" s="36">
        <f t="shared" si="654"/>
        <v>0</v>
      </c>
      <c r="AG367" s="195">
        <f t="shared" ref="AG367:AG374" si="712">IFERROR((AF367/(AH367*IF(ISNUMBER(F367),F367,1))),0)</f>
        <v>0</v>
      </c>
      <c r="AH367" s="169" t="str">
        <f t="shared" ref="AH367:AH374" si="713">IF(ISNUMBER(AH311), AH311+(AH311*$AH$338),"")</f>
        <v/>
      </c>
      <c r="AI367" s="196">
        <f> ( IF(ISNUMBER(G367), VLOOKUP(G367/$AH367,F!$A1:$B101,2,1)*G367*$H367*$I367,0)+IF(ISNUMBER(K367), VLOOKUP(K367/$AH367,F!$A1:$B101,2,1)*K367*$L367*$M367,0)+IF(ISNUMBER(O367), VLOOKUP(O367/$AH367,F!$A1:$B101,2,1)*O367*$P367*$Q367,0)+IF(ISNUMBER(S367), VLOOKUP(S367/$AH367,F!$A1:$B101,2,1)*S367*$T367*$U367,0)+IF(ISNUMBER(W367), VLOOKUP(W367/$AH367,F!$A1:$B101,2,1)*W367*$X367*$Y367,0)+IF(ISNUMBER(AA367), VLOOKUP(AA367/$AH367,F!$A1:$B101,2,1)*AA367*$AB367*$AC367,0))*IF(ISNUMBER(F367),F367,1)*IF(ISNUMBER(E367),E367,1)</f>
        <v>0</v>
      </c>
      <c r="AJ367" s="40">
        <f t="shared" ref="AJ367:AJ374" si="714">H367*I367+L367*M367+P367*Q367+T367*U367+X367*Y367+AB367*AC367</f>
        <v>0</v>
      </c>
      <c r="AK367" s="41">
        <f t="array" ref="AK367">IFERROR(I367*INDEX(F!$P$21:$AB$33, MATCH(G367/$AH367, F!$O$21:$O$33,1), MATCH(E367, F!$P$20:$AB$20,1)), 0 ) +IFERROR( M367*INDEX(F!$P$21:$AB$33, MATCH(K367/$AH367, F!$O$21:$O$33,1), MATCH(E367, F!$P$20:$AB$20,1)),0) +  IFERROR( Q367*INDEX(F!$P$21:$AB$33, MATCH(O367/$AH367, F!$O$21:$O$33,1), MATCH(E367, F!$P$20:$AB$20,1)), 0) + IFERROR( U367*INDEX(F!$P$21:$AB$33, MATCH(S367/$AH367, F!$O$21:$O$33,1), MATCH(E367, F!$P$20:$AB$20,1)),0)  + IFERROR(Y367*INDEX(F!$P$21:$AB$33, MATCH(W367/$AH367, F!$O$21:$O$33,1), MATCH(E367, F!$P$20:$AB$20,1)),0)  + IFERROR( AC367*INDEX(F!$P$21:$AB$33, MATCH(AA367/$AH367, F!$O$21:$O$33,1), MATCH(E367, F!$P$20:$AB$20,1)),)</f>
        <v>0</v>
      </c>
      <c r="AL367" s="42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ht="15.75" hidden="1" customHeight="1">
      <c r="A368" s="44">
        <f>A312+A282</f>
        <v>43827</v>
      </c>
      <c r="B368" s="45" t="str">
        <f t="shared" ref="B368:F368" si="704">IF(B312="","",B312)</f>
        <v/>
      </c>
      <c r="C368" s="46" t="str">
        <f t="shared" si="704"/>
        <v/>
      </c>
      <c r="D368" s="47" t="str">
        <f t="shared" si="704"/>
        <v/>
      </c>
      <c r="E368" s="48" t="str">
        <f t="shared" si="704"/>
        <v/>
      </c>
      <c r="F368" s="49" t="str">
        <f t="shared" si="704"/>
        <v/>
      </c>
      <c r="G368" s="50" t="str">
        <f t="shared" si="705"/>
        <v/>
      </c>
      <c r="H368" s="51"/>
      <c r="I368" s="51"/>
      <c r="J368" s="52"/>
      <c r="K368" s="50" t="str">
        <f t="shared" si="706"/>
        <v/>
      </c>
      <c r="L368" s="51"/>
      <c r="M368" s="51"/>
      <c r="N368" s="52"/>
      <c r="O368" s="50" t="str">
        <f t="shared" si="707"/>
        <v/>
      </c>
      <c r="P368" s="51"/>
      <c r="Q368" s="51"/>
      <c r="R368" s="52"/>
      <c r="S368" s="50" t="str">
        <f t="shared" si="708"/>
        <v/>
      </c>
      <c r="T368" s="51"/>
      <c r="U368" s="51"/>
      <c r="V368" s="52"/>
      <c r="W368" s="50" t="str">
        <f t="shared" si="709"/>
        <v/>
      </c>
      <c r="X368" s="51"/>
      <c r="Y368" s="51"/>
      <c r="Z368" s="52"/>
      <c r="AA368" s="50" t="str">
        <f t="shared" si="710"/>
        <v/>
      </c>
      <c r="AB368" s="51"/>
      <c r="AC368" s="51"/>
      <c r="AD368" s="52"/>
      <c r="AE368" s="53">
        <f t="shared" si="711"/>
        <v>0</v>
      </c>
      <c r="AF368" s="54">
        <f t="shared" si="654"/>
        <v>0</v>
      </c>
      <c r="AG368" s="75">
        <f t="shared" si="712"/>
        <v>0</v>
      </c>
      <c r="AH368" s="76" t="str">
        <f t="shared" si="713"/>
        <v/>
      </c>
      <c r="AI368" s="77">
        <f> ( IF(ISNUMBER(G368), VLOOKUP(G368/$AH368,F!$A1:$B101,2,1)*G368*$H368*$I368,0)+IF(ISNUMBER(K368), VLOOKUP(K368/$AH368,F!$A1:$B101,2,1)*K368*$L368*$M368,0)+IF(ISNUMBER(O368), VLOOKUP(O368/$AH368,F!$A1:$B101,2,1)*O368*$P368*$Q368,0)+IF(ISNUMBER(S368), VLOOKUP(S368/$AH368,F!$A1:$B101,2,1)*S368*$T368*$U368,0)+IF(ISNUMBER(W368), VLOOKUP(W368/$AH368,F!$A1:$B101,2,1)*W368*$X368*$Y368,0)+IF(ISNUMBER(AA368), VLOOKUP(AA368/$AH368,F!$A1:$B101,2,1)*AA368*$AB368*$AC368,0))*IF(ISNUMBER(F368),F368,1)*IF(ISNUMBER(E368),E368,1)</f>
        <v>0</v>
      </c>
      <c r="AJ368" s="57">
        <f t="shared" si="714"/>
        <v>0</v>
      </c>
      <c r="AK368" s="58">
        <f t="array" ref="AK368">IFERROR(I368*INDEX(F!$P$21:$AB$33, MATCH(G368/$AH368, F!$O$21:$O$33,1), MATCH(E368, F!$P$20:$AB$20,1)), 0 ) +IFERROR( M368*INDEX(F!$P$21:$AB$33, MATCH(K368/$AH368, F!$O$21:$O$33,1), MATCH(E368, F!$P$20:$AB$20,1)),0) +  IFERROR( Q368*INDEX(F!$P$21:$AB$33, MATCH(O368/$AH368, F!$O$21:$O$33,1), MATCH(E368, F!$P$20:$AB$20,1)), 0) + IFERROR( U368*INDEX(F!$P$21:$AB$33, MATCH(S368/$AH368, F!$O$21:$O$33,1), MATCH(E368, F!$P$20:$AB$20,1)),0)  + IFERROR(Y368*INDEX(F!$P$21:$AB$33, MATCH(W368/$AH368, F!$O$21:$O$33,1), MATCH(E368, F!$P$20:$AB$20,1)),0)  + IFERROR( AC368*INDEX(F!$P$21:$AB$33, MATCH(AA368/$AH368, F!$O$21:$O$33,1), MATCH(E368, F!$P$20:$AB$20,1)),)</f>
        <v>0</v>
      </c>
      <c r="AL368" s="5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ht="15.75" hidden="1" customHeight="1">
      <c r="A369" s="59"/>
      <c r="B369" s="60" t="str">
        <f t="shared" ref="B369:F369" si="715">IF(B313="","",B313)</f>
        <v/>
      </c>
      <c r="C369" s="61" t="str">
        <f t="shared" si="715"/>
        <v/>
      </c>
      <c r="D369" s="62" t="str">
        <f t="shared" si="715"/>
        <v/>
      </c>
      <c r="E369" s="48" t="str">
        <f t="shared" si="715"/>
        <v/>
      </c>
      <c r="F369" s="63" t="str">
        <f t="shared" si="715"/>
        <v/>
      </c>
      <c r="G369" s="64" t="str">
        <f t="shared" si="705"/>
        <v/>
      </c>
      <c r="H369" s="34"/>
      <c r="I369" s="34"/>
      <c r="J369" s="65"/>
      <c r="K369" s="64" t="str">
        <f t="shared" si="706"/>
        <v/>
      </c>
      <c r="L369" s="34"/>
      <c r="M369" s="34"/>
      <c r="N369" s="65"/>
      <c r="O369" s="64" t="str">
        <f t="shared" si="707"/>
        <v/>
      </c>
      <c r="P369" s="34"/>
      <c r="Q369" s="34"/>
      <c r="R369" s="65"/>
      <c r="S369" s="64" t="str">
        <f t="shared" si="708"/>
        <v/>
      </c>
      <c r="T369" s="34"/>
      <c r="U369" s="34"/>
      <c r="V369" s="65"/>
      <c r="W369" s="64" t="str">
        <f t="shared" si="709"/>
        <v/>
      </c>
      <c r="X369" s="34"/>
      <c r="Y369" s="34"/>
      <c r="Z369" s="65"/>
      <c r="AA369" s="64" t="str">
        <f t="shared" si="710"/>
        <v/>
      </c>
      <c r="AB369" s="34"/>
      <c r="AC369" s="34"/>
      <c r="AD369" s="65"/>
      <c r="AE369" s="66">
        <f t="shared" si="711"/>
        <v>0</v>
      </c>
      <c r="AF369" s="67">
        <f t="shared" si="654"/>
        <v>0</v>
      </c>
      <c r="AG369" s="68">
        <f t="shared" si="712"/>
        <v>0</v>
      </c>
      <c r="AH369" s="76" t="str">
        <f t="shared" si="713"/>
        <v/>
      </c>
      <c r="AI369" s="70">
        <f> ( IF(ISNUMBER(G369), VLOOKUP(G369/$AH369,F!$A1:$B101,2,1)*G369*$H369*$I369,0)+IF(ISNUMBER(K369), VLOOKUP(K369/$AH369,F!$A1:$B101,2,1)*K369*$L369*$M369,0)+IF(ISNUMBER(O369), VLOOKUP(O369/$AH369,F!$A1:$B101,2,1)*O369*$P369*$Q369,0)+IF(ISNUMBER(S369), VLOOKUP(S369/$AH369,F!$A1:$B101,2,1)*S369*$T369*$U369,0)+IF(ISNUMBER(W369), VLOOKUP(W369/$AH369,F!$A1:$B101,2,1)*W369*$X369*$Y369,0)+IF(ISNUMBER(AA369), VLOOKUP(AA369/$AH369,F!$A1:$B101,2,1)*AA369*$AB369*$AC369,0))*IF(ISNUMBER(F369),F369,1)*IF(ISNUMBER(E369),E369,1)</f>
        <v>0</v>
      </c>
      <c r="AJ369" s="71">
        <f t="shared" si="714"/>
        <v>0</v>
      </c>
      <c r="AK369" s="72">
        <f t="array" ref="AK369">IFERROR(I369*INDEX(F!$P$21:$AB$33, MATCH(G369/$AH369, F!$O$21:$O$33,1), MATCH(E369, F!$P$20:$AB$20,1)), 0 ) +IFERROR( M369*INDEX(F!$P$21:$AB$33, MATCH(K369/$AH369, F!$O$21:$O$33,1), MATCH(E369, F!$P$20:$AB$20,1)),0) +  IFERROR( Q369*INDEX(F!$P$21:$AB$33, MATCH(O369/$AH369, F!$O$21:$O$33,1), MATCH(E369, F!$P$20:$AB$20,1)), 0) + IFERROR( U369*INDEX(F!$P$21:$AB$33, MATCH(S369/$AH369, F!$O$21:$O$33,1), MATCH(E369, F!$P$20:$AB$20,1)),0)  + IFERROR(Y369*INDEX(F!$P$21:$AB$33, MATCH(W369/$AH369, F!$O$21:$O$33,1), MATCH(E369, F!$P$20:$AB$20,1)),0)  + IFERROR( AC369*INDEX(F!$P$21:$AB$33, MATCH(AA369/$AH369, F!$O$21:$O$33,1), MATCH(E369, F!$P$20:$AB$20,1)),)</f>
        <v>0</v>
      </c>
      <c r="AL369" s="5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ht="15.75" hidden="1" customHeight="1">
      <c r="A370" s="59"/>
      <c r="B370" s="215" t="str">
        <f t="shared" ref="B370:F370" si="716">IF(B314="","",B314)</f>
        <v/>
      </c>
      <c r="C370" s="73" t="str">
        <f t="shared" si="716"/>
        <v/>
      </c>
      <c r="D370" s="47" t="str">
        <f t="shared" si="716"/>
        <v/>
      </c>
      <c r="E370" s="48" t="str">
        <f t="shared" si="716"/>
        <v/>
      </c>
      <c r="F370" s="74" t="str">
        <f t="shared" si="716"/>
        <v/>
      </c>
      <c r="G370" s="50" t="str">
        <f t="shared" si="705"/>
        <v/>
      </c>
      <c r="H370" s="51"/>
      <c r="I370" s="51"/>
      <c r="J370" s="52"/>
      <c r="K370" s="50" t="str">
        <f t="shared" si="706"/>
        <v/>
      </c>
      <c r="L370" s="51"/>
      <c r="M370" s="51"/>
      <c r="N370" s="52"/>
      <c r="O370" s="50" t="str">
        <f t="shared" si="707"/>
        <v/>
      </c>
      <c r="P370" s="51"/>
      <c r="Q370" s="51"/>
      <c r="R370" s="52"/>
      <c r="S370" s="50" t="str">
        <f t="shared" si="708"/>
        <v/>
      </c>
      <c r="T370" s="51"/>
      <c r="U370" s="51"/>
      <c r="V370" s="52"/>
      <c r="W370" s="50" t="str">
        <f t="shared" si="709"/>
        <v/>
      </c>
      <c r="X370" s="51"/>
      <c r="Y370" s="51"/>
      <c r="Z370" s="52"/>
      <c r="AA370" s="50" t="str">
        <f t="shared" si="710"/>
        <v/>
      </c>
      <c r="AB370" s="51"/>
      <c r="AC370" s="51"/>
      <c r="AD370" s="52"/>
      <c r="AE370" s="53">
        <f t="shared" si="711"/>
        <v>0</v>
      </c>
      <c r="AF370" s="54">
        <f t="shared" si="654"/>
        <v>0</v>
      </c>
      <c r="AG370" s="75">
        <f t="shared" si="712"/>
        <v>0</v>
      </c>
      <c r="AH370" s="76" t="str">
        <f t="shared" si="713"/>
        <v/>
      </c>
      <c r="AI370" s="77">
        <f> ( IF(ISNUMBER(G370), VLOOKUP(G370/$AH370,F!$A1:$B101,2,1)*G370*$H370*$I370,0)+IF(ISNUMBER(K370), VLOOKUP(K370/$AH370,F!$A1:$B101,2,1)*K370*$L370*$M370,0)+IF(ISNUMBER(O370), VLOOKUP(O370/$AH370,F!$A1:$B101,2,1)*O370*$P370*$Q370,0)+IF(ISNUMBER(S370), VLOOKUP(S370/$AH370,F!$A1:$B101,2,1)*S370*$T370*$U370,0)+IF(ISNUMBER(W370), VLOOKUP(W370/$AH370,F!$A1:$B101,2,1)*W370*$X370*$Y370,0)+IF(ISNUMBER(AA370), VLOOKUP(AA370/$AH370,F!$A1:$B101,2,1)*AA370*$AB370*$AC370,0))*IF(ISNUMBER(F370),F370,1)*IF(ISNUMBER(E370),E370,1)</f>
        <v>0</v>
      </c>
      <c r="AJ370" s="57">
        <f t="shared" si="714"/>
        <v>0</v>
      </c>
      <c r="AK370" s="58">
        <f t="array" ref="AK370">IFERROR(I370*INDEX(F!$P$21:$AB$33, MATCH(G370/$AH370, F!$O$21:$O$33,1), MATCH(E370, F!$P$20:$AB$20,1)), 0 ) +IFERROR( M370*INDEX(F!$P$21:$AB$33, MATCH(K370/$AH370, F!$O$21:$O$33,1), MATCH(E370, F!$P$20:$AB$20,1)),0) +  IFERROR( Q370*INDEX(F!$P$21:$AB$33, MATCH(O370/$AH370, F!$O$21:$O$33,1), MATCH(E370, F!$P$20:$AB$20,1)), 0) + IFERROR( U370*INDEX(F!$P$21:$AB$33, MATCH(S370/$AH370, F!$O$21:$O$33,1), MATCH(E370, F!$P$20:$AB$20,1)),0)  + IFERROR(Y370*INDEX(F!$P$21:$AB$33, MATCH(W370/$AH370, F!$O$21:$O$33,1), MATCH(E370, F!$P$20:$AB$20,1)),0)  + IFERROR( AC370*INDEX(F!$P$21:$AB$33, MATCH(AA370/$AH370, F!$O$21:$O$33,1), MATCH(E370, F!$P$20:$AB$20,1)),)</f>
        <v>0</v>
      </c>
      <c r="AL370" s="5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ht="15.0" hidden="1" customHeight="1">
      <c r="A371" s="59"/>
      <c r="B371" s="216" t="str">
        <f t="shared" ref="B371:F371" si="717">IF(B315="","",B315)</f>
        <v/>
      </c>
      <c r="C371" s="78" t="str">
        <f t="shared" si="717"/>
        <v/>
      </c>
      <c r="D371" s="62" t="str">
        <f t="shared" si="717"/>
        <v/>
      </c>
      <c r="E371" s="48" t="str">
        <f t="shared" si="717"/>
        <v/>
      </c>
      <c r="F371" s="79" t="str">
        <f t="shared" si="717"/>
        <v/>
      </c>
      <c r="G371" s="64" t="str">
        <f t="shared" si="705"/>
        <v/>
      </c>
      <c r="H371" s="34"/>
      <c r="I371" s="34"/>
      <c r="J371" s="65"/>
      <c r="K371" s="64" t="str">
        <f t="shared" si="706"/>
        <v/>
      </c>
      <c r="L371" s="34"/>
      <c r="M371" s="34"/>
      <c r="N371" s="65"/>
      <c r="O371" s="64" t="str">
        <f t="shared" si="707"/>
        <v/>
      </c>
      <c r="P371" s="34"/>
      <c r="Q371" s="34"/>
      <c r="R371" s="65"/>
      <c r="S371" s="64" t="str">
        <f t="shared" si="708"/>
        <v/>
      </c>
      <c r="T371" s="34"/>
      <c r="U371" s="34"/>
      <c r="V371" s="65"/>
      <c r="W371" s="64" t="str">
        <f t="shared" si="709"/>
        <v/>
      </c>
      <c r="X371" s="34"/>
      <c r="Y371" s="34"/>
      <c r="Z371" s="65"/>
      <c r="AA371" s="64" t="str">
        <f t="shared" si="710"/>
        <v/>
      </c>
      <c r="AB371" s="34"/>
      <c r="AC371" s="34"/>
      <c r="AD371" s="65"/>
      <c r="AE371" s="66">
        <f t="shared" si="711"/>
        <v>0</v>
      </c>
      <c r="AF371" s="67">
        <f t="shared" si="654"/>
        <v>0</v>
      </c>
      <c r="AG371" s="68">
        <f t="shared" si="712"/>
        <v>0</v>
      </c>
      <c r="AH371" s="76" t="str">
        <f t="shared" si="713"/>
        <v/>
      </c>
      <c r="AI371" s="70">
        <f> ( IF(ISNUMBER(G371), VLOOKUP(G371/$AH371,F!$A1:$B101,2,1)*G371*$H371*$I371,0)+IF(ISNUMBER(K371), VLOOKUP(K371/$AH371,F!$A1:$B101,2,1)*K371*$L371*$M371,0)+IF(ISNUMBER(O371), VLOOKUP(O371/$AH371,F!$A1:$B101,2,1)*O371*$P371*$Q371,0)+IF(ISNUMBER(S371), VLOOKUP(S371/$AH371,F!$A1:$B101,2,1)*S371*$T371*$U371,0)+IF(ISNUMBER(W371), VLOOKUP(W371/$AH371,F!$A1:$B101,2,1)*W371*$X371*$Y371,0)+IF(ISNUMBER(AA371), VLOOKUP(AA371/$AH371,F!$A1:$B101,2,1)*AA371*$AB371*$AC371,0))*IF(ISNUMBER(F371),F371,1)*IF(ISNUMBER(E371),E371,1)</f>
        <v>0</v>
      </c>
      <c r="AJ371" s="71">
        <f t="shared" si="714"/>
        <v>0</v>
      </c>
      <c r="AK371" s="72">
        <f t="array" ref="AK371">IFERROR(I371*INDEX(F!$P$21:$AB$33, MATCH(G371/$AH371, F!$O$21:$O$33,1), MATCH(E371, F!$P$20:$AB$20,1)), 0 ) +IFERROR( M371*INDEX(F!$P$21:$AB$33, MATCH(K371/$AH371, F!$O$21:$O$33,1), MATCH(E371, F!$P$20:$AB$20,1)),0) +  IFERROR( Q371*INDEX(F!$P$21:$AB$33, MATCH(O371/$AH371, F!$O$21:$O$33,1), MATCH(E371, F!$P$20:$AB$20,1)), 0) + IFERROR( U371*INDEX(F!$P$21:$AB$33, MATCH(S371/$AH371, F!$O$21:$O$33,1), MATCH(E371, F!$P$20:$AB$20,1)),0)  + IFERROR(Y371*INDEX(F!$P$21:$AB$33, MATCH(W371/$AH371, F!$O$21:$O$33,1), MATCH(E371, F!$P$20:$AB$20,1)),0)  + IFERROR( AC371*INDEX(F!$P$21:$AB$33, MATCH(AA371/$AH371, F!$O$21:$O$33,1), MATCH(E371, F!$P$20:$AB$20,1)),)</f>
        <v>0</v>
      </c>
      <c r="AL371" s="5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ht="15.75" hidden="1" customHeight="1">
      <c r="A372" s="59"/>
      <c r="B372" s="45" t="str">
        <f t="shared" ref="B372:F372" si="718">IF(B316="","",B316)</f>
        <v/>
      </c>
      <c r="C372" s="46" t="str">
        <f t="shared" si="718"/>
        <v/>
      </c>
      <c r="D372" s="197" t="str">
        <f t="shared" si="718"/>
        <v/>
      </c>
      <c r="E372" s="48" t="str">
        <f t="shared" si="718"/>
        <v/>
      </c>
      <c r="F372" s="83" t="str">
        <f t="shared" si="718"/>
        <v/>
      </c>
      <c r="G372" s="50" t="str">
        <f t="shared" si="705"/>
        <v/>
      </c>
      <c r="H372" s="51"/>
      <c r="I372" s="51"/>
      <c r="J372" s="52"/>
      <c r="K372" s="50" t="str">
        <f t="shared" si="706"/>
        <v/>
      </c>
      <c r="L372" s="51"/>
      <c r="M372" s="51"/>
      <c r="N372" s="52"/>
      <c r="O372" s="50" t="str">
        <f t="shared" si="707"/>
        <v/>
      </c>
      <c r="P372" s="51"/>
      <c r="Q372" s="51"/>
      <c r="R372" s="52"/>
      <c r="S372" s="50" t="str">
        <f t="shared" si="708"/>
        <v/>
      </c>
      <c r="T372" s="51"/>
      <c r="U372" s="51"/>
      <c r="V372" s="52"/>
      <c r="W372" s="50" t="str">
        <f t="shared" si="709"/>
        <v/>
      </c>
      <c r="X372" s="51"/>
      <c r="Y372" s="51"/>
      <c r="Z372" s="52"/>
      <c r="AA372" s="50" t="str">
        <f t="shared" si="710"/>
        <v/>
      </c>
      <c r="AB372" s="51"/>
      <c r="AC372" s="51"/>
      <c r="AD372" s="52"/>
      <c r="AE372" s="53">
        <f t="shared" si="711"/>
        <v>0</v>
      </c>
      <c r="AF372" s="54">
        <f t="shared" si="654"/>
        <v>0</v>
      </c>
      <c r="AG372" s="75">
        <f t="shared" si="712"/>
        <v>0</v>
      </c>
      <c r="AH372" s="76" t="str">
        <f t="shared" si="713"/>
        <v/>
      </c>
      <c r="AI372" s="77">
        <f> ( IF(ISNUMBER(G372), VLOOKUP(G372/$AH372,F!$A1:$B101,2,1)*G372*$H372*$I372,0)+IF(ISNUMBER(K372), VLOOKUP(K372/$AH372,F!$A1:$B101,2,1)*K372*$L372*$M372,0)+IF(ISNUMBER(O372), VLOOKUP(O372/$AH372,F!$A1:$B101,2,1)*O372*$P372*$Q372,0)+IF(ISNUMBER(S372), VLOOKUP(S372/$AH372,F!$A1:$B101,2,1)*S372*$T372*$U372,0)+IF(ISNUMBER(W372), VLOOKUP(W372/$AH372,F!$A1:$B101,2,1)*W372*$X372*$Y372,0)+IF(ISNUMBER(AA372), VLOOKUP(AA372/$AH372,F!$A1:$B101,2,1)*AA372*$AB372*$AC372,0))*IF(ISNUMBER(F372),F372,1)*IF(ISNUMBER(E372),E372,1)</f>
        <v>0</v>
      </c>
      <c r="AJ372" s="86">
        <f t="shared" si="714"/>
        <v>0</v>
      </c>
      <c r="AK372" s="58">
        <f t="array" ref="AK372">IFERROR(I372*INDEX(F!$P$21:$AB$33, MATCH(G372/$AH372, F!$O$21:$O$33,1), MATCH(E372, F!$P$20:$AB$20,1)), 0 ) +IFERROR( M372*INDEX(F!$P$21:$AB$33, MATCH(K372/$AH372, F!$O$21:$O$33,1), MATCH(E372, F!$P$20:$AB$20,1)),0) +  IFERROR( Q372*INDEX(F!$P$21:$AB$33, MATCH(O372/$AH372, F!$O$21:$O$33,1), MATCH(E372, F!$P$20:$AB$20,1)), 0) + IFERROR( U372*INDEX(F!$P$21:$AB$33, MATCH(S372/$AH372, F!$O$21:$O$33,1), MATCH(E372, F!$P$20:$AB$20,1)),0)  + IFERROR(Y372*INDEX(F!$P$21:$AB$33, MATCH(W372/$AH372, F!$O$21:$O$33,1), MATCH(E372, F!$P$20:$AB$20,1)),0)  + IFERROR( AC372*INDEX(F!$P$21:$AB$33, MATCH(AA372/$AH372, F!$O$21:$O$33,1), MATCH(E372, F!$P$20:$AB$20,1)),)</f>
        <v>0</v>
      </c>
      <c r="AL372" s="5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ht="15.75" hidden="1" customHeight="1">
      <c r="A373" s="59"/>
      <c r="B373" s="60" t="str">
        <f t="shared" ref="B373:F373" si="719">IF(B317="","",B317)</f>
        <v/>
      </c>
      <c r="C373" s="61" t="str">
        <f t="shared" si="719"/>
        <v/>
      </c>
      <c r="D373" s="198" t="str">
        <f t="shared" si="719"/>
        <v/>
      </c>
      <c r="E373" s="48" t="str">
        <f t="shared" si="719"/>
        <v/>
      </c>
      <c r="F373" s="79" t="str">
        <f t="shared" si="719"/>
        <v/>
      </c>
      <c r="G373" s="64" t="str">
        <f t="shared" si="705"/>
        <v/>
      </c>
      <c r="H373" s="34"/>
      <c r="I373" s="34"/>
      <c r="J373" s="65"/>
      <c r="K373" s="64" t="str">
        <f t="shared" si="706"/>
        <v/>
      </c>
      <c r="L373" s="34"/>
      <c r="M373" s="34"/>
      <c r="N373" s="65"/>
      <c r="O373" s="64" t="str">
        <f t="shared" si="707"/>
        <v/>
      </c>
      <c r="P373" s="34"/>
      <c r="Q373" s="34"/>
      <c r="R373" s="65"/>
      <c r="S373" s="64" t="str">
        <f t="shared" si="708"/>
        <v/>
      </c>
      <c r="T373" s="34"/>
      <c r="U373" s="34"/>
      <c r="V373" s="65"/>
      <c r="W373" s="64" t="str">
        <f t="shared" si="709"/>
        <v/>
      </c>
      <c r="X373" s="34"/>
      <c r="Y373" s="34"/>
      <c r="Z373" s="65"/>
      <c r="AA373" s="64" t="str">
        <f t="shared" si="710"/>
        <v/>
      </c>
      <c r="AB373" s="34"/>
      <c r="AC373" s="34"/>
      <c r="AD373" s="65"/>
      <c r="AE373" s="66">
        <f t="shared" si="711"/>
        <v>0</v>
      </c>
      <c r="AF373" s="67">
        <f t="shared" si="654"/>
        <v>0</v>
      </c>
      <c r="AG373" s="68">
        <f t="shared" si="712"/>
        <v>0</v>
      </c>
      <c r="AH373" s="76" t="str">
        <f t="shared" si="713"/>
        <v/>
      </c>
      <c r="AI373" s="90">
        <f> ( IF(ISNUMBER(G373), VLOOKUP(G373/$AH373,F!$A1:$B101,2,1)*G373*$H373*$I373,0)+IF(ISNUMBER(K373), VLOOKUP(K373/$AH373,F!$A1:$B101,2,1)*K373*$L373*$M373,0)+IF(ISNUMBER(O373), VLOOKUP(O373/$AH373,F!$A1:$B101,2,1)*O373*$P373*$Q373,0)+IF(ISNUMBER(S373), VLOOKUP(S373/$AH373,F!$A1:$B101,2,1)*S373*$T373*$U373,0)+IF(ISNUMBER(W373), VLOOKUP(W373/$AH373,F!$A1:$B101,2,1)*W373*$X373*$Y373,0)+IF(ISNUMBER(AA373), VLOOKUP(AA373/$AH373,F!$A1:$B101,2,1)*AA373*$AB373*$AC373,0))*IF(ISNUMBER(F373),F373,1)*IF(ISNUMBER(E373),E373,1)</f>
        <v>0</v>
      </c>
      <c r="AJ373" s="34">
        <f t="shared" si="714"/>
        <v>0</v>
      </c>
      <c r="AK373" s="91">
        <f t="array" ref="AK373">IFERROR(I373*INDEX(F!$P$21:$AB$33, MATCH(G373/$AH373, F!$O$21:$O$33,1), MATCH(E373, F!$P$20:$AB$20,1)), 0 ) +IFERROR( M373*INDEX(F!$P$21:$AB$33, MATCH(K373/$AH373, F!$O$21:$O$33,1), MATCH(E373, F!$P$20:$AB$20,1)),0) +  IFERROR( Q373*INDEX(F!$P$21:$AB$33, MATCH(O373/$AH373, F!$O$21:$O$33,1), MATCH(E373, F!$P$20:$AB$20,1)), 0) + IFERROR( U373*INDEX(F!$P$21:$AB$33, MATCH(S373/$AH373, F!$O$21:$O$33,1), MATCH(E373, F!$P$20:$AB$20,1)),0)  + IFERROR(Y373*INDEX(F!$P$21:$AB$33, MATCH(W373/$AH373, F!$O$21:$O$33,1), MATCH(E373, F!$P$20:$AB$20,1)),0)  + IFERROR( AC373*INDEX(F!$P$21:$AB$33, MATCH(AA373/$AH373, F!$O$21:$O$33,1), MATCH(E373, F!$P$20:$AB$20,1)),)</f>
        <v>0</v>
      </c>
      <c r="AL373" s="5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ht="15.75" hidden="1" customHeight="1">
      <c r="A374" s="59"/>
      <c r="B374" s="45" t="str">
        <f t="shared" ref="B374:F374" si="720">IF(B318="","",B318)</f>
        <v/>
      </c>
      <c r="C374" s="46" t="str">
        <f t="shared" si="720"/>
        <v/>
      </c>
      <c r="D374" s="92" t="str">
        <f t="shared" si="720"/>
        <v/>
      </c>
      <c r="E374" s="48" t="str">
        <f t="shared" si="720"/>
        <v/>
      </c>
      <c r="F374" s="74" t="str">
        <f t="shared" si="720"/>
        <v/>
      </c>
      <c r="G374" s="50" t="str">
        <f t="shared" si="705"/>
        <v/>
      </c>
      <c r="H374" s="51"/>
      <c r="I374" s="51"/>
      <c r="J374" s="52"/>
      <c r="K374" s="50" t="str">
        <f t="shared" si="706"/>
        <v/>
      </c>
      <c r="L374" s="51"/>
      <c r="M374" s="51"/>
      <c r="N374" s="52"/>
      <c r="O374" s="50" t="str">
        <f t="shared" si="707"/>
        <v/>
      </c>
      <c r="P374" s="51"/>
      <c r="Q374" s="51"/>
      <c r="R374" s="52"/>
      <c r="S374" s="50" t="str">
        <f t="shared" si="708"/>
        <v/>
      </c>
      <c r="T374" s="51"/>
      <c r="U374" s="51"/>
      <c r="V374" s="52"/>
      <c r="W374" s="50" t="str">
        <f t="shared" si="709"/>
        <v/>
      </c>
      <c r="X374" s="51"/>
      <c r="Y374" s="51"/>
      <c r="Z374" s="52"/>
      <c r="AA374" s="50" t="str">
        <f t="shared" si="710"/>
        <v/>
      </c>
      <c r="AB374" s="51"/>
      <c r="AC374" s="51"/>
      <c r="AD374" s="52"/>
      <c r="AE374" s="53">
        <f t="shared" si="711"/>
        <v>0</v>
      </c>
      <c r="AF374" s="93">
        <f t="shared" si="654"/>
        <v>0</v>
      </c>
      <c r="AG374" s="94">
        <f t="shared" si="712"/>
        <v>0</v>
      </c>
      <c r="AH374" s="76" t="str">
        <f t="shared" si="713"/>
        <v/>
      </c>
      <c r="AI374" s="95">
        <f> ( IF(ISNUMBER(G374), VLOOKUP(G374/$AH374,F!$A1:$B101,2,1)*G374*$H374*$I374,0)+IF(ISNUMBER(K374), VLOOKUP(K374/$AH374,F!$A1:$B101,2,1)*K374*$L374*$M374,0)+IF(ISNUMBER(O374), VLOOKUP(O374/$AH374,F!$A1:$B101,2,1)*O374*$P374*$Q374,0)+IF(ISNUMBER(S374), VLOOKUP(S374/$AH374,F!$A1:$B101,2,1)*S374*$T374*$U374,0)+IF(ISNUMBER(W374), VLOOKUP(W374/$AH374,F!$A1:$B101,2,1)*W374*$X374*$Y374,0)+IF(ISNUMBER(AA374), VLOOKUP(AA374/$AH374,F!$A1:$B101,2,1)*AA374*$AB374*$AC374,0))*IF(ISNUMBER(F374),F374,1)*IF(ISNUMBER(E374),E374,1)</f>
        <v>0</v>
      </c>
      <c r="AJ374" s="96">
        <f t="shared" si="714"/>
        <v>0</v>
      </c>
      <c r="AK374" s="97">
        <f t="array" ref="AK374">IFERROR(I374*INDEX(F!$P$21:$AB$33, MATCH(G374/$AH374, F!$O$21:$O$33,1), MATCH(E374, F!$P$20:$AB$20,1)), 0 ) +IFERROR( M374*INDEX(F!$P$21:$AB$33, MATCH(K374/$AH374, F!$O$21:$O$33,1), MATCH(E374, F!$P$20:$AB$20,1)),0) +  IFERROR( Q374*INDEX(F!$P$21:$AB$33, MATCH(O374/$AH374, F!$O$21:$O$33,1), MATCH(E374, F!$P$20:$AB$20,1)), 0) + IFERROR( U374*INDEX(F!$P$21:$AB$33, MATCH(S374/$AH374, F!$O$21:$O$33,1), MATCH(E374, F!$P$20:$AB$20,1)),0)  + IFERROR(Y374*INDEX(F!$P$21:$AB$33, MATCH(W374/$AH374, F!$O$21:$O$33,1), MATCH(E374, F!$P$20:$AB$20,1)),0)  + IFERROR( AC374*INDEX(F!$P$21:$AB$33, MATCH(AA374/$AH374, F!$O$21:$O$33,1), MATCH(E374, F!$P$20:$AB$20,1)),)</f>
        <v>0</v>
      </c>
      <c r="AL374" s="5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ht="15.75" hidden="1" customHeight="1">
      <c r="A375" s="98"/>
      <c r="B375" s="99"/>
      <c r="C375" s="100"/>
      <c r="D375" s="101"/>
      <c r="E375" s="102">
        <f>ROUND(IFERROR(SUMPRODUCT(AJ367:AJ374,E367:E374)/AJ375,0),3)</f>
        <v>0</v>
      </c>
      <c r="F375" s="199"/>
      <c r="G375" s="104"/>
      <c r="H375" s="105"/>
      <c r="I375" s="105"/>
      <c r="J375" s="106"/>
      <c r="K375" s="104"/>
      <c r="L375" s="105"/>
      <c r="M375" s="105"/>
      <c r="N375" s="106"/>
      <c r="O375" s="104"/>
      <c r="P375" s="105"/>
      <c r="Q375" s="105"/>
      <c r="R375" s="106"/>
      <c r="S375" s="104"/>
      <c r="T375" s="105"/>
      <c r="U375" s="105"/>
      <c r="V375" s="106"/>
      <c r="W375" s="104"/>
      <c r="X375" s="105"/>
      <c r="Y375" s="105"/>
      <c r="Z375" s="106"/>
      <c r="AA375" s="104"/>
      <c r="AB375" s="105"/>
      <c r="AC375" s="105"/>
      <c r="AD375" s="106"/>
      <c r="AE375" s="107">
        <f>SUM(AE367:AE374)</f>
        <v>0</v>
      </c>
      <c r="AF375" s="108">
        <f t="shared" si="654"/>
        <v>0</v>
      </c>
      <c r="AG375" s="109">
        <f>IFERROR(  SUMPRODUCT(AG367:AG374,AJ367:AJ374)/AJ375,0)</f>
        <v>0</v>
      </c>
      <c r="AH375" s="157"/>
      <c r="AI375" s="111">
        <f t="shared" ref="AI375:AJ375" si="721">SUM(AI367:AI374)</f>
        <v>0</v>
      </c>
      <c r="AJ375" s="111">
        <f t="shared" si="721"/>
        <v>0</v>
      </c>
      <c r="AK375" s="112">
        <f>IF(SUM(AK367:AK374)=0,TIME(,0,),TIME(,SUM(AK367:AK374)+F!$V$37,))</f>
        <v>0</v>
      </c>
      <c r="AL375" s="98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ht="15.75" hidden="1" customHeight="1">
      <c r="A376" s="113">
        <f>A377</f>
        <v>43828</v>
      </c>
      <c r="B376" s="114" t="str">
        <f t="shared" ref="B376:F376" si="722">IF(B320="","",B320)</f>
        <v/>
      </c>
      <c r="C376" s="115" t="str">
        <f t="shared" si="722"/>
        <v/>
      </c>
      <c r="D376" s="116" t="str">
        <f t="shared" si="722"/>
        <v/>
      </c>
      <c r="E376" s="29" t="str">
        <f t="shared" si="722"/>
        <v/>
      </c>
      <c r="F376" s="117" t="str">
        <f t="shared" si="722"/>
        <v/>
      </c>
      <c r="G376" s="118" t="str">
        <f t="shared" ref="G376:G383" si="724">IF(J376&lt;&gt;0, IFERROR(IF( $F376=2,  MROUND($AH376*J376,1),    IF( OR($F376="",$F376=1),   MROUND($AH376*J376,2.5),  MROUND($AH376*J376, 0.1))), "" ), "")</f>
        <v/>
      </c>
      <c r="H376" s="119"/>
      <c r="I376" s="119"/>
      <c r="J376" s="120"/>
      <c r="K376" s="118" t="str">
        <f t="shared" ref="K376:K383" si="725">IF(N376&lt;&gt;0, IFERROR(IF( $F376=2,  MROUND($AH376*N376,1),    IF( OR($F376="",$F376=1),   MROUND($AH376*N376,2.5),  MROUND($AH376*N376, 0.1))), "" ), "")</f>
        <v/>
      </c>
      <c r="L376" s="119"/>
      <c r="M376" s="119"/>
      <c r="N376" s="120"/>
      <c r="O376" s="118" t="str">
        <f t="shared" ref="O376:O383" si="726">IF(R376&lt;&gt;0, IFERROR(IF( $F376=2,  MROUND($AH376*R376,1),    IF( OR($F376="",$F376=1),   MROUND($AH376*R376,2.5),  MROUND($AH376*R376, 0.1))), "" ), "")</f>
        <v/>
      </c>
      <c r="P376" s="119"/>
      <c r="Q376" s="119"/>
      <c r="R376" s="120"/>
      <c r="S376" s="118" t="str">
        <f t="shared" ref="S376:S383" si="727">IF(V376&lt;&gt;0, IFERROR(IF( $F376=2,  MROUND($AH376*V376,1),    IF( OR($F376="",$F376=1),   MROUND($AH376*V376,2.5),  MROUND($AH376*V376, 0.1))), "" ), "")</f>
        <v/>
      </c>
      <c r="T376" s="119"/>
      <c r="U376" s="119"/>
      <c r="V376" s="120"/>
      <c r="W376" s="118" t="str">
        <f t="shared" ref="W376:W383" si="728">IF(Z376&lt;&gt;0, IFERROR(IF( $F376=2,  MROUND($AH376*Z376,1),    IF( OR($F376="",$F376=1),   MROUND($AH376*Z376,2.5),  MROUND($AH376*Z376, 0.1))), "" ), "")</f>
        <v/>
      </c>
      <c r="X376" s="119"/>
      <c r="Y376" s="119"/>
      <c r="Z376" s="120"/>
      <c r="AA376" s="118" t="str">
        <f t="shared" ref="AA376:AA383" si="729">IF(AD376&lt;&gt;0, IFERROR(IF( $F376=2,  MROUND($AH376*AD376,1),    IF( OR($F376="",$F376=1),   MROUND($AH376*AD376,2.5),  MROUND($AH376*AD376, 0.1))), "" ), "")</f>
        <v/>
      </c>
      <c r="AB376" s="119"/>
      <c r="AC376" s="119"/>
      <c r="AD376" s="120"/>
      <c r="AE376" s="121">
        <f t="shared" ref="AE376:AE383" si="730">(IF(ISNUMBER(G376),G376,0)*H376*I376+IF(ISNUMBER(K376),K376,1)*L376*M376+IF(ISNUMBER(O376),O376,1)*P376*Q376+IF(ISNUMBER(S376),S376,1)*T376*U376+IF(ISNUMBER(W376),W376,1)*X376*Y376+IF(ISNUMBER(AA376),AA376,1)*AB376*AC376)*IF(ISNUMBER(F376),F376,1)</f>
        <v>0</v>
      </c>
      <c r="AF376" s="122">
        <f t="shared" si="654"/>
        <v>0</v>
      </c>
      <c r="AG376" s="200">
        <f t="shared" ref="AG376:AG383" si="731">IFERROR((AF376/(AH376*IF(ISNUMBER(F376),F376,1))),0)</f>
        <v>0</v>
      </c>
      <c r="AH376" s="169" t="str">
        <f t="shared" ref="AH376:AH383" si="732">IF(ISNUMBER(AH320), AH320+(AH320*$AH$338),"")</f>
        <v/>
      </c>
      <c r="AI376" s="122">
        <f> ( IF(ISNUMBER(G376), VLOOKUP(G376/$AH376,F!$A1:$B101,2,1)*G376*$H376*$I376,0)+IF(ISNUMBER(K376), VLOOKUP(K376/$AH376,F!$A1:$B101,2,1)*K376*$L376*$M376,0)+IF(ISNUMBER(O376), VLOOKUP(O376/$AH376,F!$A1:$B101,2,1)*O376*$P376*$Q376,0)+IF(ISNUMBER(S376), VLOOKUP(S376/$AH376,F!$A1:$B101,2,1)*S376*$T376*$U376,0)+IF(ISNUMBER(W376), VLOOKUP(W376/$AH376,F!$A1:$B101,2,1)*W376*$X376*$Y376,0)+IF(ISNUMBER(AA376), VLOOKUP(AA376/$AH376,F!$A1:$B101,2,1)*AA376*$AB376*$AC376,0))*IF(ISNUMBER(F376),F376,1)*IF(ISNUMBER(E376),E376,1)</f>
        <v>0</v>
      </c>
      <c r="AJ376" s="119">
        <f t="shared" ref="AJ376:AJ383" si="733">H376*I376+L376*M376+P376*Q376+T376*U376+X376*Y376+AB376*AC376</f>
        <v>0</v>
      </c>
      <c r="AK376" s="125">
        <f t="array" ref="AK376">IFERROR(I376*INDEX(F!$P$21:$AB$33, MATCH(G376/$AH376, F!$O$21:$O$33,1), MATCH(E376, F!$P$20:$AB$20,1)), 0 ) +IFERROR( M376*INDEX(F!$P$21:$AB$33, MATCH(K376/$AH376, F!$O$21:$O$33,1), MATCH(E376, F!$P$20:$AB$20,1)),0) +  IFERROR( Q376*INDEX(F!$P$21:$AB$33, MATCH(O376/$AH376, F!$O$21:$O$33,1), MATCH(E376, F!$P$20:$AB$20,1)), 0) + IFERROR( U376*INDEX(F!$P$21:$AB$33, MATCH(S376/$AH376, F!$O$21:$O$33,1), MATCH(E376, F!$P$20:$AB$20,1)),0)  + IFERROR(Y376*INDEX(F!$P$21:$AB$33, MATCH(W376/$AH376, F!$O$21:$O$33,1), MATCH(E376, F!$P$20:$AB$20,1)),0)  + IFERROR( AC376*INDEX(F!$P$21:$AB$33, MATCH(AA376/$AH376, F!$O$21:$O$33,1), MATCH(E376, F!$P$20:$AB$20,1)),)</f>
        <v>0</v>
      </c>
      <c r="AL376" s="42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ht="15.75" hidden="1" customHeight="1">
      <c r="A377" s="44">
        <f>A321+A282</f>
        <v>43828</v>
      </c>
      <c r="B377" s="126" t="str">
        <f t="shared" ref="B377:F377" si="723">IF(B321="","",B321)</f>
        <v/>
      </c>
      <c r="C377" s="127" t="str">
        <f t="shared" si="723"/>
        <v/>
      </c>
      <c r="D377" s="128" t="str">
        <f t="shared" si="723"/>
        <v/>
      </c>
      <c r="E377" s="48" t="str">
        <f t="shared" si="723"/>
        <v/>
      </c>
      <c r="F377" s="129" t="str">
        <f t="shared" si="723"/>
        <v/>
      </c>
      <c r="G377" s="130" t="str">
        <f t="shared" si="724"/>
        <v/>
      </c>
      <c r="H377" s="34"/>
      <c r="I377" s="34"/>
      <c r="J377" s="65"/>
      <c r="K377" s="130" t="str">
        <f t="shared" si="725"/>
        <v/>
      </c>
      <c r="L377" s="34"/>
      <c r="M377" s="34"/>
      <c r="N377" s="65"/>
      <c r="O377" s="130" t="str">
        <f t="shared" si="726"/>
        <v/>
      </c>
      <c r="P377" s="34"/>
      <c r="Q377" s="34"/>
      <c r="R377" s="65"/>
      <c r="S377" s="130" t="str">
        <f t="shared" si="727"/>
        <v/>
      </c>
      <c r="T377" s="34"/>
      <c r="U377" s="34"/>
      <c r="V377" s="65"/>
      <c r="W377" s="130" t="str">
        <f t="shared" si="728"/>
        <v/>
      </c>
      <c r="X377" s="34"/>
      <c r="Y377" s="34"/>
      <c r="Z377" s="65"/>
      <c r="AA377" s="130" t="str">
        <f t="shared" si="729"/>
        <v/>
      </c>
      <c r="AB377" s="34"/>
      <c r="AC377" s="34"/>
      <c r="AD377" s="65"/>
      <c r="AE377" s="131">
        <f t="shared" si="730"/>
        <v>0</v>
      </c>
      <c r="AF377" s="132">
        <f t="shared" si="654"/>
        <v>0</v>
      </c>
      <c r="AG377" s="133">
        <f t="shared" si="731"/>
        <v>0</v>
      </c>
      <c r="AH377" s="76" t="str">
        <f t="shared" si="732"/>
        <v/>
      </c>
      <c r="AI377" s="132">
        <f> ( IF(ISNUMBER(G377), VLOOKUP(G377/$AH377,F!$A1:$B101,2,1)*G377*$H377*$I377,0)+IF(ISNUMBER(K377), VLOOKUP(K377/$AH377,F!$A1:$B101,2,1)*K377*$L377*$M377,0)+IF(ISNUMBER(O377), VLOOKUP(O377/$AH377,F!$A1:$B101,2,1)*O377*$P377*$Q377,0)+IF(ISNUMBER(S377), VLOOKUP(S377/$AH377,F!$A1:$B101,2,1)*S377*$T377*$U377,0)+IF(ISNUMBER(W377), VLOOKUP(W377/$AH377,F!$A1:$B101,2,1)*W377*$X377*$Y377,0)+IF(ISNUMBER(AA377), VLOOKUP(AA377/$AH377,F!$A1:$B101,2,1)*AA377*$AB377*$AC377,0))*IF(ISNUMBER(F377),F377,1)*IF(ISNUMBER(E377),E377,1)</f>
        <v>0</v>
      </c>
      <c r="AJ377" s="34">
        <f t="shared" si="733"/>
        <v>0</v>
      </c>
      <c r="AK377" s="134">
        <f t="array" ref="AK377">IFERROR(I377*INDEX(F!$P$21:$AB$33, MATCH(G377/$AH377, F!$O$21:$O$33,1), MATCH(E377, F!$P$20:$AB$20,1)), 0 ) +IFERROR( M377*INDEX(F!$P$21:$AB$33, MATCH(K377/$AH377, F!$O$21:$O$33,1), MATCH(E377, F!$P$20:$AB$20,1)),0) +  IFERROR( Q377*INDEX(F!$P$21:$AB$33, MATCH(O377/$AH377, F!$O$21:$O$33,1), MATCH(E377, F!$P$20:$AB$20,1)), 0) + IFERROR( U377*INDEX(F!$P$21:$AB$33, MATCH(S377/$AH377, F!$O$21:$O$33,1), MATCH(E377, F!$P$20:$AB$20,1)),0)  + IFERROR(Y377*INDEX(F!$P$21:$AB$33, MATCH(W377/$AH377, F!$O$21:$O$33,1), MATCH(E377, F!$P$20:$AB$20,1)),0)  + IFERROR( AC377*INDEX(F!$P$21:$AB$33, MATCH(AA377/$AH377, F!$O$21:$O$33,1), MATCH(E377, F!$P$20:$AB$20,1)),)</f>
        <v>0</v>
      </c>
      <c r="AL377" s="5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ht="15.0" hidden="1" customHeight="1">
      <c r="A378" s="59"/>
      <c r="B378" s="135" t="str">
        <f t="shared" ref="B378:F378" si="734">IF(B322="","",B322)</f>
        <v/>
      </c>
      <c r="C378" s="136" t="str">
        <f t="shared" si="734"/>
        <v/>
      </c>
      <c r="D378" s="137" t="str">
        <f t="shared" si="734"/>
        <v/>
      </c>
      <c r="E378" s="48" t="str">
        <f t="shared" si="734"/>
        <v/>
      </c>
      <c r="F378" s="138" t="str">
        <f t="shared" si="734"/>
        <v/>
      </c>
      <c r="G378" s="139" t="str">
        <f t="shared" si="724"/>
        <v/>
      </c>
      <c r="H378" s="140"/>
      <c r="I378" s="140"/>
      <c r="J378" s="141"/>
      <c r="K378" s="139" t="str">
        <f t="shared" si="725"/>
        <v/>
      </c>
      <c r="L378" s="140"/>
      <c r="M378" s="140"/>
      <c r="N378" s="141"/>
      <c r="O378" s="139" t="str">
        <f t="shared" si="726"/>
        <v/>
      </c>
      <c r="P378" s="140"/>
      <c r="Q378" s="140"/>
      <c r="R378" s="141"/>
      <c r="S378" s="139" t="str">
        <f t="shared" si="727"/>
        <v/>
      </c>
      <c r="T378" s="140"/>
      <c r="U378" s="140"/>
      <c r="V378" s="141"/>
      <c r="W378" s="139" t="str">
        <f t="shared" si="728"/>
        <v/>
      </c>
      <c r="X378" s="140"/>
      <c r="Y378" s="140"/>
      <c r="Z378" s="141"/>
      <c r="AA378" s="139" t="str">
        <f t="shared" si="729"/>
        <v/>
      </c>
      <c r="AB378" s="140"/>
      <c r="AC378" s="140"/>
      <c r="AD378" s="141"/>
      <c r="AE378" s="142">
        <f t="shared" si="730"/>
        <v>0</v>
      </c>
      <c r="AF378" s="143">
        <f t="shared" si="654"/>
        <v>0</v>
      </c>
      <c r="AG378" s="144">
        <f t="shared" si="731"/>
        <v>0</v>
      </c>
      <c r="AH378" s="76" t="str">
        <f t="shared" si="732"/>
        <v/>
      </c>
      <c r="AI378" s="143">
        <f> ( IF(ISNUMBER(G378), VLOOKUP(G378/$AH378,F!$A1:$B101,2,1)*G378*$H378*$I378,0)+IF(ISNUMBER(K378), VLOOKUP(K378/$AH378,F!$A1:$B101,2,1)*K378*$L378*$M378,0)+IF(ISNUMBER(O378), VLOOKUP(O378/$AH378,F!$A1:$B101,2,1)*O378*$P378*$Q378,0)+IF(ISNUMBER(S378), VLOOKUP(S378/$AH378,F!$A1:$B101,2,1)*S378*$T378*$U378,0)+IF(ISNUMBER(W378), VLOOKUP(W378/$AH378,F!$A1:$B101,2,1)*W378*$X378*$Y378,0)+IF(ISNUMBER(AA378), VLOOKUP(AA378/$AH378,F!$A1:$B101,2,1)*AA378*$AB378*$AC378,0))*IF(ISNUMBER(F378),F378,1)*IF(ISNUMBER(E378),E378,1)</f>
        <v>0</v>
      </c>
      <c r="AJ378" s="140">
        <f t="shared" si="733"/>
        <v>0</v>
      </c>
      <c r="AK378" s="145">
        <f t="array" ref="AK378">IFERROR(I378*INDEX(F!$P$21:$AB$33, MATCH(G378/$AH378, F!$O$21:$O$33,1), MATCH(E378, F!$P$20:$AB$20,1)), 0 ) +IFERROR( M378*INDEX(F!$P$21:$AB$33, MATCH(K378/$AH378, F!$O$21:$O$33,1), MATCH(E378, F!$P$20:$AB$20,1)),0) +  IFERROR( Q378*INDEX(F!$P$21:$AB$33, MATCH(O378/$AH378, F!$O$21:$O$33,1), MATCH(E378, F!$P$20:$AB$20,1)), 0) + IFERROR( U378*INDEX(F!$P$21:$AB$33, MATCH(S378/$AH378, F!$O$21:$O$33,1), MATCH(E378, F!$P$20:$AB$20,1)),0)  + IFERROR(Y378*INDEX(F!$P$21:$AB$33, MATCH(W378/$AH378, F!$O$21:$O$33,1), MATCH(E378, F!$P$20:$AB$20,1)),0)  + IFERROR( AC378*INDEX(F!$P$21:$AB$33, MATCH(AA378/$AH378, F!$O$21:$O$33,1), MATCH(E378, F!$P$20:$AB$20,1)),)</f>
        <v>0</v>
      </c>
      <c r="AL378" s="5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ht="15.75" hidden="1" customHeight="1">
      <c r="A379" s="59"/>
      <c r="B379" s="126" t="str">
        <f t="shared" ref="B379:F379" si="735">IF(B323="","",B323)</f>
        <v/>
      </c>
      <c r="C379" s="127" t="str">
        <f t="shared" si="735"/>
        <v/>
      </c>
      <c r="D379" s="128" t="str">
        <f t="shared" si="735"/>
        <v/>
      </c>
      <c r="E379" s="48" t="str">
        <f t="shared" si="735"/>
        <v/>
      </c>
      <c r="F379" s="129" t="str">
        <f t="shared" si="735"/>
        <v/>
      </c>
      <c r="G379" s="130" t="str">
        <f t="shared" si="724"/>
        <v/>
      </c>
      <c r="H379" s="34"/>
      <c r="I379" s="34"/>
      <c r="J379" s="65"/>
      <c r="K379" s="130" t="str">
        <f t="shared" si="725"/>
        <v/>
      </c>
      <c r="L379" s="34"/>
      <c r="M379" s="34"/>
      <c r="N379" s="65"/>
      <c r="O379" s="130" t="str">
        <f t="shared" si="726"/>
        <v/>
      </c>
      <c r="P379" s="34"/>
      <c r="Q379" s="34"/>
      <c r="R379" s="65"/>
      <c r="S379" s="130" t="str">
        <f t="shared" si="727"/>
        <v/>
      </c>
      <c r="T379" s="34"/>
      <c r="U379" s="34"/>
      <c r="V379" s="65"/>
      <c r="W379" s="130" t="str">
        <f t="shared" si="728"/>
        <v/>
      </c>
      <c r="X379" s="34"/>
      <c r="Y379" s="34"/>
      <c r="Z379" s="65"/>
      <c r="AA379" s="130" t="str">
        <f t="shared" si="729"/>
        <v/>
      </c>
      <c r="AB379" s="34"/>
      <c r="AC379" s="34"/>
      <c r="AD379" s="65"/>
      <c r="AE379" s="131">
        <f t="shared" si="730"/>
        <v>0</v>
      </c>
      <c r="AF379" s="132">
        <f t="shared" si="654"/>
        <v>0</v>
      </c>
      <c r="AG379" s="133">
        <f t="shared" si="731"/>
        <v>0</v>
      </c>
      <c r="AH379" s="76" t="str">
        <f t="shared" si="732"/>
        <v/>
      </c>
      <c r="AI379" s="132">
        <f> ( IF(ISNUMBER(G379), VLOOKUP(G379/$AH379,F!$A1:$B101,2,1)*G379*$H379*$I379,0)+IF(ISNUMBER(K379), VLOOKUP(K379/$AH379,F!$A1:$B101,2,1)*K379*$L379*$M379,0)+IF(ISNUMBER(O379), VLOOKUP(O379/$AH379,F!$A1:$B101,2,1)*O379*$P379*$Q379,0)+IF(ISNUMBER(S379), VLOOKUP(S379/$AH379,F!$A1:$B101,2,1)*S379*$T379*$U379,0)+IF(ISNUMBER(W379), VLOOKUP(W379/$AH379,F!$A1:$B101,2,1)*W379*$X379*$Y379,0)+IF(ISNUMBER(AA379), VLOOKUP(AA379/$AH379,F!$A1:$B101,2,1)*AA379*$AB379*$AC379,0))*IF(ISNUMBER(F379),F379,1)*IF(ISNUMBER(E379),E379,1)</f>
        <v>0</v>
      </c>
      <c r="AJ379" s="34">
        <f t="shared" si="733"/>
        <v>0</v>
      </c>
      <c r="AK379" s="134">
        <f t="array" ref="AK379">IFERROR(I379*INDEX(F!$P$21:$AB$33, MATCH(G379/$AH379, F!$O$21:$O$33,1), MATCH(E379, F!$P$20:$AB$20,1)), 0 ) +IFERROR( M379*INDEX(F!$P$21:$AB$33, MATCH(K379/$AH379, F!$O$21:$O$33,1), MATCH(E379, F!$P$20:$AB$20,1)),0) +  IFERROR( Q379*INDEX(F!$P$21:$AB$33, MATCH(O379/$AH379, F!$O$21:$O$33,1), MATCH(E379, F!$P$20:$AB$20,1)), 0) + IFERROR( U379*INDEX(F!$P$21:$AB$33, MATCH(S379/$AH379, F!$O$21:$O$33,1), MATCH(E379, F!$P$20:$AB$20,1)),0)  + IFERROR(Y379*INDEX(F!$P$21:$AB$33, MATCH(W379/$AH379, F!$O$21:$O$33,1), MATCH(E379, F!$P$20:$AB$20,1)),0)  + IFERROR( AC379*INDEX(F!$P$21:$AB$33, MATCH(AA379/$AH379, F!$O$21:$O$33,1), MATCH(E379, F!$P$20:$AB$20,1)),)</f>
        <v>0</v>
      </c>
      <c r="AL379" s="5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ht="15.75" hidden="1" customHeight="1">
      <c r="A380" s="59"/>
      <c r="B380" s="135" t="str">
        <f t="shared" ref="B380:F380" si="736">IF(B324="","",B324)</f>
        <v/>
      </c>
      <c r="C380" s="136" t="str">
        <f t="shared" si="736"/>
        <v/>
      </c>
      <c r="D380" s="137" t="str">
        <f t="shared" si="736"/>
        <v/>
      </c>
      <c r="E380" s="48" t="str">
        <f t="shared" si="736"/>
        <v/>
      </c>
      <c r="F380" s="138" t="str">
        <f t="shared" si="736"/>
        <v/>
      </c>
      <c r="G380" s="139" t="str">
        <f t="shared" si="724"/>
        <v/>
      </c>
      <c r="H380" s="140"/>
      <c r="I380" s="140"/>
      <c r="J380" s="141"/>
      <c r="K380" s="139" t="str">
        <f t="shared" si="725"/>
        <v/>
      </c>
      <c r="L380" s="140"/>
      <c r="M380" s="140"/>
      <c r="N380" s="141"/>
      <c r="O380" s="139" t="str">
        <f t="shared" si="726"/>
        <v/>
      </c>
      <c r="P380" s="140"/>
      <c r="Q380" s="140"/>
      <c r="R380" s="141"/>
      <c r="S380" s="139" t="str">
        <f t="shared" si="727"/>
        <v/>
      </c>
      <c r="T380" s="140"/>
      <c r="U380" s="140"/>
      <c r="V380" s="141"/>
      <c r="W380" s="139" t="str">
        <f t="shared" si="728"/>
        <v/>
      </c>
      <c r="X380" s="140"/>
      <c r="Y380" s="140"/>
      <c r="Z380" s="141"/>
      <c r="AA380" s="139" t="str">
        <f t="shared" si="729"/>
        <v/>
      </c>
      <c r="AB380" s="140"/>
      <c r="AC380" s="140"/>
      <c r="AD380" s="141"/>
      <c r="AE380" s="142">
        <f t="shared" si="730"/>
        <v>0</v>
      </c>
      <c r="AF380" s="143">
        <f t="shared" si="654"/>
        <v>0</v>
      </c>
      <c r="AG380" s="144">
        <f t="shared" si="731"/>
        <v>0</v>
      </c>
      <c r="AH380" s="76" t="str">
        <f t="shared" si="732"/>
        <v/>
      </c>
      <c r="AI380" s="143">
        <f> ( IF(ISNUMBER(G380), VLOOKUP(G380/$AH380,F!$A1:$B101,2,1)*G380*$H380*$I380,0)+IF(ISNUMBER(K380), VLOOKUP(K380/$AH380,F!$A1:$B101,2,1)*K380*$L380*$M380,0)+IF(ISNUMBER(O380), VLOOKUP(O380/$AH380,F!$A1:$B101,2,1)*O380*$P380*$Q380,0)+IF(ISNUMBER(S380), VLOOKUP(S380/$AH380,F!$A1:$B101,2,1)*S380*$T380*$U380,0)+IF(ISNUMBER(W380), VLOOKUP(W380/$AH380,F!$A1:$B101,2,1)*W380*$X380*$Y380,0)+IF(ISNUMBER(AA380), VLOOKUP(AA380/$AH380,F!$A1:$B101,2,1)*AA380*$AB380*$AC380,0))*IF(ISNUMBER(F380),F380,1)*IF(ISNUMBER(E380),E380,1)</f>
        <v>0</v>
      </c>
      <c r="AJ380" s="140">
        <f t="shared" si="733"/>
        <v>0</v>
      </c>
      <c r="AK380" s="145">
        <f t="array" ref="AK380">IFERROR(I380*INDEX(F!$P$21:$AB$33, MATCH(G380/$AH380, F!$O$21:$O$33,1), MATCH(E380, F!$P$20:$AB$20,1)), 0 ) +IFERROR( M380*INDEX(F!$P$21:$AB$33, MATCH(K380/$AH380, F!$O$21:$O$33,1), MATCH(E380, F!$P$20:$AB$20,1)),0) +  IFERROR( Q380*INDEX(F!$P$21:$AB$33, MATCH(O380/$AH380, F!$O$21:$O$33,1), MATCH(E380, F!$P$20:$AB$20,1)), 0) + IFERROR( U380*INDEX(F!$P$21:$AB$33, MATCH(S380/$AH380, F!$O$21:$O$33,1), MATCH(E380, F!$P$20:$AB$20,1)),0)  + IFERROR(Y380*INDEX(F!$P$21:$AB$33, MATCH(W380/$AH380, F!$O$21:$O$33,1), MATCH(E380, F!$P$20:$AB$20,1)),0)  + IFERROR( AC380*INDEX(F!$P$21:$AB$33, MATCH(AA380/$AH380, F!$O$21:$O$33,1), MATCH(E380, F!$P$20:$AB$20,1)),)</f>
        <v>0</v>
      </c>
      <c r="AL380" s="5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ht="15.75" hidden="1" customHeight="1">
      <c r="A381" s="59"/>
      <c r="B381" s="126" t="str">
        <f t="shared" ref="B381:F381" si="737">IF(B325="","",B325)</f>
        <v/>
      </c>
      <c r="C381" s="127" t="str">
        <f t="shared" si="737"/>
        <v/>
      </c>
      <c r="D381" s="128" t="str">
        <f t="shared" si="737"/>
        <v/>
      </c>
      <c r="E381" s="48" t="str">
        <f t="shared" si="737"/>
        <v/>
      </c>
      <c r="F381" s="129" t="str">
        <f t="shared" si="737"/>
        <v/>
      </c>
      <c r="G381" s="130" t="str">
        <f t="shared" si="724"/>
        <v/>
      </c>
      <c r="H381" s="34"/>
      <c r="I381" s="34"/>
      <c r="J381" s="65"/>
      <c r="K381" s="130" t="str">
        <f t="shared" si="725"/>
        <v/>
      </c>
      <c r="L381" s="34"/>
      <c r="M381" s="34"/>
      <c r="N381" s="65"/>
      <c r="O381" s="130" t="str">
        <f t="shared" si="726"/>
        <v/>
      </c>
      <c r="P381" s="34"/>
      <c r="Q381" s="34"/>
      <c r="R381" s="65"/>
      <c r="S381" s="130" t="str">
        <f t="shared" si="727"/>
        <v/>
      </c>
      <c r="T381" s="34"/>
      <c r="U381" s="34"/>
      <c r="V381" s="65"/>
      <c r="W381" s="130" t="str">
        <f t="shared" si="728"/>
        <v/>
      </c>
      <c r="X381" s="34"/>
      <c r="Y381" s="34"/>
      <c r="Z381" s="65"/>
      <c r="AA381" s="130" t="str">
        <f t="shared" si="729"/>
        <v/>
      </c>
      <c r="AB381" s="34"/>
      <c r="AC381" s="34"/>
      <c r="AD381" s="65"/>
      <c r="AE381" s="131">
        <f t="shared" si="730"/>
        <v>0</v>
      </c>
      <c r="AF381" s="132">
        <f t="shared" si="654"/>
        <v>0</v>
      </c>
      <c r="AG381" s="133">
        <f t="shared" si="731"/>
        <v>0</v>
      </c>
      <c r="AH381" s="76" t="str">
        <f t="shared" si="732"/>
        <v/>
      </c>
      <c r="AI381" s="132">
        <f> ( IF(ISNUMBER(G381), VLOOKUP(G381/$AH381,F!$A1:$B101,2,1)*G381*$H381*$I381,0)+IF(ISNUMBER(K381), VLOOKUP(K381/$AH381,F!$A1:$B101,2,1)*K381*$L381*$M381,0)+IF(ISNUMBER(O381), VLOOKUP(O381/$AH381,F!$A1:$B101,2,1)*O381*$P381*$Q381,0)+IF(ISNUMBER(S381), VLOOKUP(S381/$AH381,F!$A1:$B101,2,1)*S381*$T381*$U381,0)+IF(ISNUMBER(W381), VLOOKUP(W381/$AH381,F!$A1:$B101,2,1)*W381*$X381*$Y381,0)+IF(ISNUMBER(AA381), VLOOKUP(AA381/$AH381,F!$A1:$B101,2,1)*AA381*$AB381*$AC381,0))*IF(ISNUMBER(F381),F381,1)*IF(ISNUMBER(E381),E381,1)</f>
        <v>0</v>
      </c>
      <c r="AJ381" s="34">
        <f t="shared" si="733"/>
        <v>0</v>
      </c>
      <c r="AK381" s="134">
        <f t="array" ref="AK381">IFERROR(I381*INDEX(F!$P$21:$AB$33, MATCH(G381/$AH381, F!$O$21:$O$33,1), MATCH(E381, F!$P$20:$AB$20,1)), 0 ) +IFERROR( M381*INDEX(F!$P$21:$AB$33, MATCH(K381/$AH381, F!$O$21:$O$33,1), MATCH(E381, F!$P$20:$AB$20,1)),0) +  IFERROR( Q381*INDEX(F!$P$21:$AB$33, MATCH(O381/$AH381, F!$O$21:$O$33,1), MATCH(E381, F!$P$20:$AB$20,1)), 0) + IFERROR( U381*INDEX(F!$P$21:$AB$33, MATCH(S381/$AH381, F!$O$21:$O$33,1), MATCH(E381, F!$P$20:$AB$20,1)),0)  + IFERROR(Y381*INDEX(F!$P$21:$AB$33, MATCH(W381/$AH381, F!$O$21:$O$33,1), MATCH(E381, F!$P$20:$AB$20,1)),0)  + IFERROR( AC381*INDEX(F!$P$21:$AB$33, MATCH(AA381/$AH381, F!$O$21:$O$33,1), MATCH(E381, F!$P$20:$AB$20,1)),)</f>
        <v>0</v>
      </c>
      <c r="AL381" s="5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ht="15.75" hidden="1" customHeight="1">
      <c r="A382" s="59"/>
      <c r="B382" s="135" t="str">
        <f t="shared" ref="B382:F382" si="738">IF(B326="","",B326)</f>
        <v/>
      </c>
      <c r="C382" s="136" t="str">
        <f t="shared" si="738"/>
        <v/>
      </c>
      <c r="D382" s="137" t="str">
        <f t="shared" si="738"/>
        <v/>
      </c>
      <c r="E382" s="48" t="str">
        <f t="shared" si="738"/>
        <v/>
      </c>
      <c r="F382" s="138" t="str">
        <f t="shared" si="738"/>
        <v/>
      </c>
      <c r="G382" s="139" t="str">
        <f t="shared" si="724"/>
        <v/>
      </c>
      <c r="H382" s="140"/>
      <c r="I382" s="140"/>
      <c r="J382" s="141"/>
      <c r="K382" s="139" t="str">
        <f t="shared" si="725"/>
        <v/>
      </c>
      <c r="L382" s="140"/>
      <c r="M382" s="140"/>
      <c r="N382" s="141"/>
      <c r="O382" s="139" t="str">
        <f t="shared" si="726"/>
        <v/>
      </c>
      <c r="P382" s="140"/>
      <c r="Q382" s="140"/>
      <c r="R382" s="141"/>
      <c r="S382" s="139" t="str">
        <f t="shared" si="727"/>
        <v/>
      </c>
      <c r="T382" s="140"/>
      <c r="U382" s="140"/>
      <c r="V382" s="141"/>
      <c r="W382" s="139" t="str">
        <f t="shared" si="728"/>
        <v/>
      </c>
      <c r="X382" s="140"/>
      <c r="Y382" s="140"/>
      <c r="Z382" s="141"/>
      <c r="AA382" s="139" t="str">
        <f t="shared" si="729"/>
        <v/>
      </c>
      <c r="AB382" s="140"/>
      <c r="AC382" s="140"/>
      <c r="AD382" s="141"/>
      <c r="AE382" s="142">
        <f t="shared" si="730"/>
        <v>0</v>
      </c>
      <c r="AF382" s="143">
        <f t="shared" si="654"/>
        <v>0</v>
      </c>
      <c r="AG382" s="144">
        <f t="shared" si="731"/>
        <v>0</v>
      </c>
      <c r="AH382" s="76" t="str">
        <f t="shared" si="732"/>
        <v/>
      </c>
      <c r="AI382" s="143">
        <f> ( IF(ISNUMBER(G382), VLOOKUP(G382/$AH382,F!$A1:$B101,2,1)*G382*$H382*$I382,0)+IF(ISNUMBER(K382), VLOOKUP(K382/$AH382,F!$A1:$B101,2,1)*K382*$L382*$M382,0)+IF(ISNUMBER(O382), VLOOKUP(O382/$AH382,F!$A1:$B101,2,1)*O382*$P382*$Q382,0)+IF(ISNUMBER(S382), VLOOKUP(S382/$AH382,F!$A1:$B101,2,1)*S382*$T382*$U382,0)+IF(ISNUMBER(W382), VLOOKUP(W382/$AH382,F!$A1:$B101,2,1)*W382*$X382*$Y382,0)+IF(ISNUMBER(AA382), VLOOKUP(AA382/$AH382,F!$A1:$B101,2,1)*AA382*$AB382*$AC382,0))*IF(ISNUMBER(F382),F382,1)*IF(ISNUMBER(E382),E382,1)</f>
        <v>0</v>
      </c>
      <c r="AJ382" s="140">
        <f t="shared" si="733"/>
        <v>0</v>
      </c>
      <c r="AK382" s="145">
        <f t="array" ref="AK382">IFERROR(I382*INDEX(F!$P$21:$AB$33, MATCH(G382/$AH382, F!$O$21:$O$33,1), MATCH(E382, F!$P$20:$AB$20,1)), 0 ) +IFERROR( M382*INDEX(F!$P$21:$AB$33, MATCH(K382/$AH382, F!$O$21:$O$33,1), MATCH(E382, F!$P$20:$AB$20,1)),0) +  IFERROR( Q382*INDEX(F!$P$21:$AB$33, MATCH(O382/$AH382, F!$O$21:$O$33,1), MATCH(E382, F!$P$20:$AB$20,1)), 0) + IFERROR( U382*INDEX(F!$P$21:$AB$33, MATCH(S382/$AH382, F!$O$21:$O$33,1), MATCH(E382, F!$P$20:$AB$20,1)),0)  + IFERROR(Y382*INDEX(F!$P$21:$AB$33, MATCH(W382/$AH382, F!$O$21:$O$33,1), MATCH(E382, F!$P$20:$AB$20,1)),0)  + IFERROR( AC382*INDEX(F!$P$21:$AB$33, MATCH(AA382/$AH382, F!$O$21:$O$33,1), MATCH(E382, F!$P$20:$AB$20,1)),)</f>
        <v>0</v>
      </c>
      <c r="AL382" s="5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ht="15.75" hidden="1" customHeight="1">
      <c r="A383" s="59"/>
      <c r="B383" s="126" t="str">
        <f t="shared" ref="B383:F383" si="739">IF(B327="","",B327)</f>
        <v/>
      </c>
      <c r="C383" s="127" t="str">
        <f t="shared" si="739"/>
        <v/>
      </c>
      <c r="D383" s="128" t="str">
        <f t="shared" si="739"/>
        <v/>
      </c>
      <c r="E383" s="48" t="str">
        <f t="shared" si="739"/>
        <v/>
      </c>
      <c r="F383" s="129" t="str">
        <f t="shared" si="739"/>
        <v/>
      </c>
      <c r="G383" s="130" t="str">
        <f t="shared" si="724"/>
        <v/>
      </c>
      <c r="H383" s="34"/>
      <c r="I383" s="34"/>
      <c r="J383" s="65"/>
      <c r="K383" s="130" t="str">
        <f t="shared" si="725"/>
        <v/>
      </c>
      <c r="L383" s="34"/>
      <c r="M383" s="34"/>
      <c r="N383" s="65"/>
      <c r="O383" s="130" t="str">
        <f t="shared" si="726"/>
        <v/>
      </c>
      <c r="P383" s="34"/>
      <c r="Q383" s="34"/>
      <c r="R383" s="65"/>
      <c r="S383" s="130" t="str">
        <f t="shared" si="727"/>
        <v/>
      </c>
      <c r="T383" s="34"/>
      <c r="U383" s="34"/>
      <c r="V383" s="65"/>
      <c r="W383" s="130" t="str">
        <f t="shared" si="728"/>
        <v/>
      </c>
      <c r="X383" s="34"/>
      <c r="Y383" s="34"/>
      <c r="Z383" s="65"/>
      <c r="AA383" s="130" t="str">
        <f t="shared" si="729"/>
        <v/>
      </c>
      <c r="AB383" s="34"/>
      <c r="AC383" s="34"/>
      <c r="AD383" s="65"/>
      <c r="AE383" s="131">
        <f t="shared" si="730"/>
        <v>0</v>
      </c>
      <c r="AF383" s="132">
        <f t="shared" si="654"/>
        <v>0</v>
      </c>
      <c r="AG383" s="133">
        <f t="shared" si="731"/>
        <v>0</v>
      </c>
      <c r="AH383" s="76" t="str">
        <f t="shared" si="732"/>
        <v/>
      </c>
      <c r="AI383" s="132">
        <f> ( IF(ISNUMBER(G383), VLOOKUP(G383/$AH383,F!$A1:$B101,2,1)*G383*$H383*$I383,0)+IF(ISNUMBER(K383), VLOOKUP(K383/$AH383,F!$A1:$B101,2,1)*K383*$L383*$M383,0)+IF(ISNUMBER(O383), VLOOKUP(O383/$AH383,F!$A1:$B101,2,1)*O383*$P383*$Q383,0)+IF(ISNUMBER(S383), VLOOKUP(S383/$AH383,F!$A1:$B101,2,1)*S383*$T383*$U383,0)+IF(ISNUMBER(W383), VLOOKUP(W383/$AH383,F!$A1:$B101,2,1)*W383*$X383*$Y383,0)+IF(ISNUMBER(AA383), VLOOKUP(AA383/$AH383,F!$A1:$B101,2,1)*AA383*$AB383*$AC383,0))*IF(ISNUMBER(F383),F383,1)*IF(ISNUMBER(E383),E383,1)</f>
        <v>0</v>
      </c>
      <c r="AJ383" s="34">
        <f t="shared" si="733"/>
        <v>0</v>
      </c>
      <c r="AK383" s="134">
        <f t="array" ref="AK383">IFERROR(I383*INDEX(F!$P$21:$AB$33, MATCH(G383/$AH383, F!$O$21:$O$33,1), MATCH(E383, F!$P$20:$AB$20,1)), 0 ) +IFERROR( M383*INDEX(F!$P$21:$AB$33, MATCH(K383/$AH383, F!$O$21:$O$33,1), MATCH(E383, F!$P$20:$AB$20,1)),0) +  IFERROR( Q383*INDEX(F!$P$21:$AB$33, MATCH(O383/$AH383, F!$O$21:$O$33,1), MATCH(E383, F!$P$20:$AB$20,1)), 0) + IFERROR( U383*INDEX(F!$P$21:$AB$33, MATCH(S383/$AH383, F!$O$21:$O$33,1), MATCH(E383, F!$P$20:$AB$20,1)),0)  + IFERROR(Y383*INDEX(F!$P$21:$AB$33, MATCH(W383/$AH383, F!$O$21:$O$33,1), MATCH(E383, F!$P$20:$AB$20,1)),0)  + IFERROR( AC383*INDEX(F!$P$21:$AB$33, MATCH(AA383/$AH383, F!$O$21:$O$33,1), MATCH(E383, F!$P$20:$AB$20,1)),)</f>
        <v>0</v>
      </c>
      <c r="AL383" s="5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ht="15.75" hidden="1" customHeight="1">
      <c r="A384" s="98"/>
      <c r="B384" s="150"/>
      <c r="C384" s="151"/>
      <c r="D384" s="152"/>
      <c r="E384" s="102">
        <f>ROUND(IFERROR(SUMPRODUCT(AJ376:AJ383,E376:E383)/AJ384,0),3)</f>
        <v>0</v>
      </c>
      <c r="F384" s="153"/>
      <c r="G384" s="154"/>
      <c r="H384" s="155"/>
      <c r="I384" s="155"/>
      <c r="J384" s="156"/>
      <c r="K384" s="154"/>
      <c r="L384" s="155"/>
      <c r="M384" s="155"/>
      <c r="N384" s="156"/>
      <c r="O384" s="154"/>
      <c r="P384" s="155"/>
      <c r="Q384" s="155"/>
      <c r="R384" s="156"/>
      <c r="S384" s="154"/>
      <c r="T384" s="155"/>
      <c r="U384" s="155"/>
      <c r="V384" s="156"/>
      <c r="W384" s="154"/>
      <c r="X384" s="155"/>
      <c r="Y384" s="155"/>
      <c r="Z384" s="156"/>
      <c r="AA384" s="154"/>
      <c r="AB384" s="155"/>
      <c r="AC384" s="155"/>
      <c r="AD384" s="156"/>
      <c r="AE384" s="107">
        <f>SUM(AE376:AE383)</f>
        <v>0</v>
      </c>
      <c r="AF384" s="108">
        <f t="shared" si="654"/>
        <v>0</v>
      </c>
      <c r="AG384" s="109">
        <f>IFERROR(  SUMPRODUCT(AG376:AG383,AJ376:AJ383)/AJ384,0)</f>
        <v>0</v>
      </c>
      <c r="AH384" s="157"/>
      <c r="AI384" s="111">
        <f t="shared" ref="AI384:AJ384" si="740">SUM(AI376:AI383)</f>
        <v>0</v>
      </c>
      <c r="AJ384" s="111">
        <f t="shared" si="740"/>
        <v>0</v>
      </c>
      <c r="AK384" s="112">
        <f>IF(SUM(AK376:AK383)=0,TIME(,0,),TIME(,SUM(AK376:AK383)+F!$V$37,))</f>
        <v>0</v>
      </c>
      <c r="AL384" s="98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ht="15.0" hidden="1" customHeight="1">
      <c r="A385" s="158">
        <f>A386</f>
        <v>43829</v>
      </c>
      <c r="B385" s="159" t="str">
        <f t="shared" ref="B385:F385" si="741">IF(B329="","",B329)</f>
        <v/>
      </c>
      <c r="C385" s="160" t="str">
        <f t="shared" si="741"/>
        <v/>
      </c>
      <c r="D385" s="161" t="str">
        <f t="shared" si="741"/>
        <v/>
      </c>
      <c r="E385" s="29" t="str">
        <f t="shared" si="741"/>
        <v/>
      </c>
      <c r="F385" s="162" t="str">
        <f t="shared" si="741"/>
        <v/>
      </c>
      <c r="G385" s="163" t="str">
        <f t="shared" ref="G385:G392" si="743">IF(J385&lt;&gt;0, IFERROR(IF( $F385=2,  MROUND($AH385*J385,1),    IF( OR($F385="",$F385=1),   MROUND($AH385*J385,2.5),  MROUND($AH385*J385, 0.1))), "" ), "")</f>
        <v/>
      </c>
      <c r="H385" s="164"/>
      <c r="I385" s="164"/>
      <c r="J385" s="165"/>
      <c r="K385" s="163" t="str">
        <f t="shared" ref="K385:K392" si="744">IF(N385&lt;&gt;0, IFERROR(IF( $F385=2,  MROUND($AH385*N385,1),    IF( OR($F385="",$F385=1),   MROUND($AH385*N385,2.5),  MROUND($AH385*N385, 0.1))), "" ), "")</f>
        <v/>
      </c>
      <c r="L385" s="164"/>
      <c r="M385" s="164"/>
      <c r="N385" s="165"/>
      <c r="O385" s="163" t="str">
        <f t="shared" ref="O385:O392" si="745">IF(R385&lt;&gt;0, IFERROR(IF( $F385=2,  MROUND($AH385*R385,1),    IF( OR($F385="",$F385=1),   MROUND($AH385*R385,2.5),  MROUND($AH385*R385, 0.1))), "" ), "")</f>
        <v/>
      </c>
      <c r="P385" s="164"/>
      <c r="Q385" s="164"/>
      <c r="R385" s="165"/>
      <c r="S385" s="163" t="str">
        <f t="shared" ref="S385:S392" si="746">IF(V385&lt;&gt;0, IFERROR(IF( $F385=2,  MROUND($AH385*V385,1),    IF( OR($F385="",$F385=1),   MROUND($AH385*V385,2.5),  MROUND($AH385*V385, 0.1))), "" ), "")</f>
        <v/>
      </c>
      <c r="T385" s="164"/>
      <c r="U385" s="164"/>
      <c r="V385" s="165"/>
      <c r="W385" s="163" t="str">
        <f t="shared" ref="W385:W392" si="747">IF(Z385&lt;&gt;0, IFERROR(IF( $F385=2,  MROUND($AH385*Z385,1),    IF( OR($F385="",$F385=1),   MROUND($AH385*Z385,2.5),  MROUND($AH385*Z385, 0.1))), "" ), "")</f>
        <v/>
      </c>
      <c r="X385" s="164"/>
      <c r="Y385" s="164"/>
      <c r="Z385" s="165"/>
      <c r="AA385" s="163" t="str">
        <f t="shared" ref="AA385:AA392" si="748">IF(AD385&lt;&gt;0, IFERROR(IF( $F385=2,  MROUND($AH385*AD385,1),    IF( OR($F385="",$F385=1),   MROUND($AH385*AD385,2.5),  MROUND($AH385*AD385, 0.1))), "" ), "")</f>
        <v/>
      </c>
      <c r="AB385" s="164"/>
      <c r="AC385" s="164"/>
      <c r="AD385" s="165"/>
      <c r="AE385" s="166">
        <f t="shared" ref="AE385:AE392" si="749">(IF(ISNUMBER(G385),G385,0)*H385*I385+IF(ISNUMBER(K385),K385,1)*L385*M385+IF(ISNUMBER(O385),O385,1)*P385*Q385+IF(ISNUMBER(S385),S385,1)*T385*U385+IF(ISNUMBER(W385),W385,1)*X385*Y385+IF(ISNUMBER(AA385),AA385,1)*AB385*AC385)*IF(ISNUMBER(F385),F385,1)</f>
        <v>0</v>
      </c>
      <c r="AF385" s="167">
        <f t="shared" si="654"/>
        <v>0</v>
      </c>
      <c r="AG385" s="168">
        <f t="shared" ref="AG385:AG392" si="750">IFERROR((AF385/(AH385*IF(ISNUMBER(F385),F385,1))),0)</f>
        <v>0</v>
      </c>
      <c r="AH385" s="169" t="str">
        <f t="shared" ref="AH385:AH392" si="751">IF(ISNUMBER(AH329), AH329+(AH329*$AH$338),"")</f>
        <v/>
      </c>
      <c r="AI385" s="167">
        <f> ( IF(ISNUMBER(G385), VLOOKUP(G385/$AH385,F!$A1:$B101,2,1)*G385*$H385*$I385,0)+IF(ISNUMBER(K385), VLOOKUP(K385/$AH385,F!$A1:$B101,2,1)*K385*$L385*$M385,0)+IF(ISNUMBER(O385), VLOOKUP(O385/$AH385,F!$A1:$B101,2,1)*O385*$P385*$Q385,0)+IF(ISNUMBER(S385), VLOOKUP(S385/$AH385,F!$A1:$B101,2,1)*S385*$T385*$U385,0)+IF(ISNUMBER(W385), VLOOKUP(W385/$AH385,F!$A1:$B101,2,1)*W385*$X385*$Y385,0)+IF(ISNUMBER(AA385), VLOOKUP(AA385/$AH385,F!$A1:$B101,2,1)*AA385*$AB385*$AC385,0))*IF(ISNUMBER(F385),F385,1)*IF(ISNUMBER(E385),E385,1)</f>
        <v>0</v>
      </c>
      <c r="AJ385" s="164">
        <f t="shared" ref="AJ385:AJ392" si="752">H385*I385+L385*M385+P385*Q385+T385*U385+X385*Y385+AB385*AC385</f>
        <v>0</v>
      </c>
      <c r="AK385" s="170">
        <f t="array" ref="AK385">IFERROR(I385*INDEX(F!$P$21:$AB$33, MATCH(G385/$AH385, F!$O$21:$O$33,1), MATCH(E385, F!$P$20:$AB$20,1)), 0 ) +IFERROR( M385*INDEX(F!$P$21:$AB$33, MATCH(K385/$AH385, F!$O$21:$O$33,1), MATCH(E385, F!$P$20:$AB$20,1)),0) +  IFERROR( Q385*INDEX(F!$P$21:$AB$33, MATCH(O385/$AH385, F!$O$21:$O$33,1), MATCH(E385, F!$P$20:$AB$20,1)), 0) + IFERROR( U385*INDEX(F!$P$21:$AB$33, MATCH(S385/$AH385, F!$O$21:$O$33,1), MATCH(E385, F!$P$20:$AB$20,1)),0)  + IFERROR(Y385*INDEX(F!$P$21:$AB$33, MATCH(W385/$AH385, F!$O$21:$O$33,1), MATCH(E385, F!$P$20:$AB$20,1)),0)  + IFERROR( AC385*INDEX(F!$P$21:$AB$33, MATCH(AA385/$AH385, F!$O$21:$O$33,1), MATCH(E385, F!$P$20:$AB$20,1)),)</f>
        <v>0</v>
      </c>
      <c r="AL385" s="42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ht="15.75" hidden="1" customHeight="1">
      <c r="A386" s="44">
        <f>A330+A282</f>
        <v>43829</v>
      </c>
      <c r="B386" s="135" t="str">
        <f t="shared" ref="B386:F386" si="742">IF(B330="","",B330)</f>
        <v/>
      </c>
      <c r="C386" s="136" t="str">
        <f t="shared" si="742"/>
        <v/>
      </c>
      <c r="D386" s="137" t="str">
        <f t="shared" si="742"/>
        <v/>
      </c>
      <c r="E386" s="48" t="str">
        <f t="shared" si="742"/>
        <v/>
      </c>
      <c r="F386" s="138" t="str">
        <f t="shared" si="742"/>
        <v/>
      </c>
      <c r="G386" s="139" t="str">
        <f t="shared" si="743"/>
        <v/>
      </c>
      <c r="H386" s="140"/>
      <c r="I386" s="140"/>
      <c r="J386" s="141"/>
      <c r="K386" s="139" t="str">
        <f t="shared" si="744"/>
        <v/>
      </c>
      <c r="L386" s="140"/>
      <c r="M386" s="140"/>
      <c r="N386" s="141"/>
      <c r="O386" s="139" t="str">
        <f t="shared" si="745"/>
        <v/>
      </c>
      <c r="P386" s="140"/>
      <c r="Q386" s="140"/>
      <c r="R386" s="141"/>
      <c r="S386" s="139" t="str">
        <f t="shared" si="746"/>
        <v/>
      </c>
      <c r="T386" s="140"/>
      <c r="U386" s="140"/>
      <c r="V386" s="141"/>
      <c r="W386" s="139" t="str">
        <f t="shared" si="747"/>
        <v/>
      </c>
      <c r="X386" s="140"/>
      <c r="Y386" s="140"/>
      <c r="Z386" s="141"/>
      <c r="AA386" s="139" t="str">
        <f t="shared" si="748"/>
        <v/>
      </c>
      <c r="AB386" s="140"/>
      <c r="AC386" s="140"/>
      <c r="AD386" s="141"/>
      <c r="AE386" s="142">
        <f t="shared" si="749"/>
        <v>0</v>
      </c>
      <c r="AF386" s="143">
        <f t="shared" si="654"/>
        <v>0</v>
      </c>
      <c r="AG386" s="144">
        <f t="shared" si="750"/>
        <v>0</v>
      </c>
      <c r="AH386" s="76" t="str">
        <f t="shared" si="751"/>
        <v/>
      </c>
      <c r="AI386" s="143">
        <f> ( IF(ISNUMBER(G386), VLOOKUP(G386/$AH386,F!$A1:$B101,2,1)*G386*$H386*$I386,0)+IF(ISNUMBER(K386), VLOOKUP(K386/$AH386,F!$A1:$B101,2,1)*K386*$L386*$M386,0)+IF(ISNUMBER(O386), VLOOKUP(O386/$AH386,F!$A1:$B101,2,1)*O386*$P386*$Q386,0)+IF(ISNUMBER(S386), VLOOKUP(S386/$AH386,F!$A1:$B101,2,1)*S386*$T386*$U386,0)+IF(ISNUMBER(W386), VLOOKUP(W386/$AH386,F!$A1:$B101,2,1)*W386*$X386*$Y386,0)+IF(ISNUMBER(AA386), VLOOKUP(AA386/$AH386,F!$A1:$B101,2,1)*AA386*$AB386*$AC386,0))*IF(ISNUMBER(F386),F386,1)*IF(ISNUMBER(E386),E386,1)</f>
        <v>0</v>
      </c>
      <c r="AJ386" s="140">
        <f t="shared" si="752"/>
        <v>0</v>
      </c>
      <c r="AK386" s="145">
        <f t="array" ref="AK386">IFERROR(I386*INDEX(F!$P$21:$AB$33, MATCH(G386/$AH386, F!$O$21:$O$33,1), MATCH(E386, F!$P$20:$AB$20,1)), 0 ) +IFERROR( M386*INDEX(F!$P$21:$AB$33, MATCH(K386/$AH386, F!$O$21:$O$33,1), MATCH(E386, F!$P$20:$AB$20,1)),0) +  IFERROR( Q386*INDEX(F!$P$21:$AB$33, MATCH(O386/$AH386, F!$O$21:$O$33,1), MATCH(E386, F!$P$20:$AB$20,1)), 0) + IFERROR( U386*INDEX(F!$P$21:$AB$33, MATCH(S386/$AH386, F!$O$21:$O$33,1), MATCH(E386, F!$P$20:$AB$20,1)),0)  + IFERROR(Y386*INDEX(F!$P$21:$AB$33, MATCH(W386/$AH386, F!$O$21:$O$33,1), MATCH(E386, F!$P$20:$AB$20,1)),0)  + IFERROR( AC386*INDEX(F!$P$21:$AB$33, MATCH(AA386/$AH386, F!$O$21:$O$33,1), MATCH(E386, F!$P$20:$AB$20,1)),)</f>
        <v>0</v>
      </c>
      <c r="AL386" s="5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ht="15.75" hidden="1" customHeight="1">
      <c r="A387" s="59"/>
      <c r="B387" s="173" t="str">
        <f t="shared" ref="B387:F387" si="753">IF(B331="","",B331)</f>
        <v/>
      </c>
      <c r="C387" s="174" t="str">
        <f t="shared" si="753"/>
        <v/>
      </c>
      <c r="D387" s="175" t="str">
        <f t="shared" si="753"/>
        <v/>
      </c>
      <c r="E387" s="48" t="str">
        <f t="shared" si="753"/>
        <v/>
      </c>
      <c r="F387" s="176" t="str">
        <f t="shared" si="753"/>
        <v/>
      </c>
      <c r="G387" s="177" t="str">
        <f t="shared" si="743"/>
        <v/>
      </c>
      <c r="H387" s="178"/>
      <c r="I387" s="178"/>
      <c r="J387" s="179"/>
      <c r="K387" s="177" t="str">
        <f t="shared" si="744"/>
        <v/>
      </c>
      <c r="L387" s="178"/>
      <c r="M387" s="178"/>
      <c r="N387" s="179"/>
      <c r="O387" s="177" t="str">
        <f t="shared" si="745"/>
        <v/>
      </c>
      <c r="P387" s="178"/>
      <c r="Q387" s="178"/>
      <c r="R387" s="179"/>
      <c r="S387" s="177" t="str">
        <f t="shared" si="746"/>
        <v/>
      </c>
      <c r="T387" s="178"/>
      <c r="U387" s="178"/>
      <c r="V387" s="179"/>
      <c r="W387" s="177" t="str">
        <f t="shared" si="747"/>
        <v/>
      </c>
      <c r="X387" s="178"/>
      <c r="Y387" s="178"/>
      <c r="Z387" s="179"/>
      <c r="AA387" s="177" t="str">
        <f t="shared" si="748"/>
        <v/>
      </c>
      <c r="AB387" s="178"/>
      <c r="AC387" s="178"/>
      <c r="AD387" s="179"/>
      <c r="AE387" s="180">
        <f t="shared" si="749"/>
        <v>0</v>
      </c>
      <c r="AF387" s="181">
        <f t="shared" si="654"/>
        <v>0</v>
      </c>
      <c r="AG387" s="182">
        <f t="shared" si="750"/>
        <v>0</v>
      </c>
      <c r="AH387" s="76" t="str">
        <f t="shared" si="751"/>
        <v/>
      </c>
      <c r="AI387" s="181">
        <f> ( IF(ISNUMBER(G387), VLOOKUP(G387/$AH387,F!$A1:$B101,2,1)*G387*$H387*$I387,0)+IF(ISNUMBER(K387), VLOOKUP(K387/$AH387,F!$A1:$B101,2,1)*K387*$L387*$M387,0)+IF(ISNUMBER(O387), VLOOKUP(O387/$AH387,F!$A1:$B101,2,1)*O387*$P387*$Q387,0)+IF(ISNUMBER(S387), VLOOKUP(S387/$AH387,F!$A1:$B101,2,1)*S387*$T387*$U387,0)+IF(ISNUMBER(W387), VLOOKUP(W387/$AH387,F!$A1:$B101,2,1)*W387*$X387*$Y387,0)+IF(ISNUMBER(AA387), VLOOKUP(AA387/$AH387,F!$A1:$B101,2,1)*AA387*$AB387*$AC387,0))*IF(ISNUMBER(F387),F387,1)*IF(ISNUMBER(E387),E387,1)</f>
        <v>0</v>
      </c>
      <c r="AJ387" s="178">
        <f t="shared" si="752"/>
        <v>0</v>
      </c>
      <c r="AK387" s="183">
        <f t="array" ref="AK387">IFERROR(I387*INDEX(F!$P$21:$AB$33, MATCH(G387/$AH387, F!$O$21:$O$33,1), MATCH(E387, F!$P$20:$AB$20,1)), 0 ) +IFERROR( M387*INDEX(F!$P$21:$AB$33, MATCH(K387/$AH387, F!$O$21:$O$33,1), MATCH(E387, F!$P$20:$AB$20,1)),0) +  IFERROR( Q387*INDEX(F!$P$21:$AB$33, MATCH(O387/$AH387, F!$O$21:$O$33,1), MATCH(E387, F!$P$20:$AB$20,1)), 0) + IFERROR( U387*INDEX(F!$P$21:$AB$33, MATCH(S387/$AH387, F!$O$21:$O$33,1), MATCH(E387, F!$P$20:$AB$20,1)),0)  + IFERROR(Y387*INDEX(F!$P$21:$AB$33, MATCH(W387/$AH387, F!$O$21:$O$33,1), MATCH(E387, F!$P$20:$AB$20,1)),0)  + IFERROR( AC387*INDEX(F!$P$21:$AB$33, MATCH(AA387/$AH387, F!$O$21:$O$33,1), MATCH(E387, F!$P$20:$AB$20,1)),)</f>
        <v>0</v>
      </c>
      <c r="AL387" s="5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ht="15.75" hidden="1" customHeight="1">
      <c r="A388" s="59"/>
      <c r="B388" s="135" t="str">
        <f t="shared" ref="B388:F388" si="754">IF(B332="","",B332)</f>
        <v/>
      </c>
      <c r="C388" s="136" t="str">
        <f t="shared" si="754"/>
        <v/>
      </c>
      <c r="D388" s="137" t="str">
        <f t="shared" si="754"/>
        <v/>
      </c>
      <c r="E388" s="48" t="str">
        <f t="shared" si="754"/>
        <v/>
      </c>
      <c r="F388" s="138" t="str">
        <f t="shared" si="754"/>
        <v/>
      </c>
      <c r="G388" s="139" t="str">
        <f t="shared" si="743"/>
        <v/>
      </c>
      <c r="H388" s="140"/>
      <c r="I388" s="140"/>
      <c r="J388" s="141"/>
      <c r="K388" s="139" t="str">
        <f t="shared" si="744"/>
        <v/>
      </c>
      <c r="L388" s="140"/>
      <c r="M388" s="140"/>
      <c r="N388" s="141"/>
      <c r="O388" s="139" t="str">
        <f t="shared" si="745"/>
        <v/>
      </c>
      <c r="P388" s="140"/>
      <c r="Q388" s="140"/>
      <c r="R388" s="141"/>
      <c r="S388" s="139" t="str">
        <f t="shared" si="746"/>
        <v/>
      </c>
      <c r="T388" s="140"/>
      <c r="U388" s="140"/>
      <c r="V388" s="141"/>
      <c r="W388" s="139" t="str">
        <f t="shared" si="747"/>
        <v/>
      </c>
      <c r="X388" s="140"/>
      <c r="Y388" s="140"/>
      <c r="Z388" s="141"/>
      <c r="AA388" s="139" t="str">
        <f t="shared" si="748"/>
        <v/>
      </c>
      <c r="AB388" s="140"/>
      <c r="AC388" s="140"/>
      <c r="AD388" s="141"/>
      <c r="AE388" s="142">
        <f t="shared" si="749"/>
        <v>0</v>
      </c>
      <c r="AF388" s="143">
        <f t="shared" si="654"/>
        <v>0</v>
      </c>
      <c r="AG388" s="144">
        <f t="shared" si="750"/>
        <v>0</v>
      </c>
      <c r="AH388" s="76" t="str">
        <f t="shared" si="751"/>
        <v/>
      </c>
      <c r="AI388" s="143">
        <f> ( IF(ISNUMBER(G388), VLOOKUP(G388/$AH388,F!$A1:$B101,2,1)*G388*$H388*$I388,0)+IF(ISNUMBER(K388), VLOOKUP(K388/$AH388,F!$A1:$B101,2,1)*K388*$L388*$M388,0)+IF(ISNUMBER(O388), VLOOKUP(O388/$AH388,F!$A1:$B101,2,1)*O388*$P388*$Q388,0)+IF(ISNUMBER(S388), VLOOKUP(S388/$AH388,F!$A1:$B101,2,1)*S388*$T388*$U388,0)+IF(ISNUMBER(W388), VLOOKUP(W388/$AH388,F!$A1:$B101,2,1)*W388*$X388*$Y388,0)+IF(ISNUMBER(AA388), VLOOKUP(AA388/$AH388,F!$A1:$B101,2,1)*AA388*$AB388*$AC388,0))*IF(ISNUMBER(F388),F388,1)*IF(ISNUMBER(E388),E388,1)</f>
        <v>0</v>
      </c>
      <c r="AJ388" s="140">
        <f t="shared" si="752"/>
        <v>0</v>
      </c>
      <c r="AK388" s="145">
        <f t="array" ref="AK388">IFERROR(I388*INDEX(F!$P$21:$AB$33, MATCH(G388/$AH388, F!$O$21:$O$33,1), MATCH(E388, F!$P$20:$AB$20,1)), 0 ) +IFERROR( M388*INDEX(F!$P$21:$AB$33, MATCH(K388/$AH388, F!$O$21:$O$33,1), MATCH(E388, F!$P$20:$AB$20,1)),0) +  IFERROR( Q388*INDEX(F!$P$21:$AB$33, MATCH(O388/$AH388, F!$O$21:$O$33,1), MATCH(E388, F!$P$20:$AB$20,1)), 0) + IFERROR( U388*INDEX(F!$P$21:$AB$33, MATCH(S388/$AH388, F!$O$21:$O$33,1), MATCH(E388, F!$P$20:$AB$20,1)),0)  + IFERROR(Y388*INDEX(F!$P$21:$AB$33, MATCH(W388/$AH388, F!$O$21:$O$33,1), MATCH(E388, F!$P$20:$AB$20,1)),0)  + IFERROR( AC388*INDEX(F!$P$21:$AB$33, MATCH(AA388/$AH388, F!$O$21:$O$33,1), MATCH(E388, F!$P$20:$AB$20,1)),)</f>
        <v>0</v>
      </c>
      <c r="AL388" s="5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ht="15.75" hidden="1" customHeight="1">
      <c r="A389" s="59"/>
      <c r="B389" s="173" t="str">
        <f t="shared" ref="B389:F389" si="755">IF(B333="","",B333)</f>
        <v/>
      </c>
      <c r="C389" s="174" t="str">
        <f t="shared" si="755"/>
        <v/>
      </c>
      <c r="D389" s="175" t="str">
        <f t="shared" si="755"/>
        <v/>
      </c>
      <c r="E389" s="48" t="str">
        <f t="shared" si="755"/>
        <v/>
      </c>
      <c r="F389" s="176" t="str">
        <f t="shared" si="755"/>
        <v/>
      </c>
      <c r="G389" s="177" t="str">
        <f t="shared" si="743"/>
        <v/>
      </c>
      <c r="H389" s="178"/>
      <c r="I389" s="178"/>
      <c r="J389" s="179"/>
      <c r="K389" s="177" t="str">
        <f t="shared" si="744"/>
        <v/>
      </c>
      <c r="L389" s="178"/>
      <c r="M389" s="178"/>
      <c r="N389" s="179"/>
      <c r="O389" s="177" t="str">
        <f t="shared" si="745"/>
        <v/>
      </c>
      <c r="P389" s="178"/>
      <c r="Q389" s="178"/>
      <c r="R389" s="179"/>
      <c r="S389" s="177" t="str">
        <f t="shared" si="746"/>
        <v/>
      </c>
      <c r="T389" s="178"/>
      <c r="U389" s="178"/>
      <c r="V389" s="179"/>
      <c r="W389" s="177" t="str">
        <f t="shared" si="747"/>
        <v/>
      </c>
      <c r="X389" s="178"/>
      <c r="Y389" s="178"/>
      <c r="Z389" s="179"/>
      <c r="AA389" s="177" t="str">
        <f t="shared" si="748"/>
        <v/>
      </c>
      <c r="AB389" s="178"/>
      <c r="AC389" s="178"/>
      <c r="AD389" s="179"/>
      <c r="AE389" s="180">
        <f t="shared" si="749"/>
        <v>0</v>
      </c>
      <c r="AF389" s="181">
        <f t="shared" si="654"/>
        <v>0</v>
      </c>
      <c r="AG389" s="182">
        <f t="shared" si="750"/>
        <v>0</v>
      </c>
      <c r="AH389" s="76" t="str">
        <f t="shared" si="751"/>
        <v/>
      </c>
      <c r="AI389" s="181">
        <f> ( IF(ISNUMBER(G389), VLOOKUP(G389/$AH389,F!$A1:$B101,2,1)*G389*$H389*$I389,0)+IF(ISNUMBER(K389), VLOOKUP(K389/$AH389,F!$A1:$B101,2,1)*K389*$L389*$M389,0)+IF(ISNUMBER(O389), VLOOKUP(O389/$AH389,F!$A1:$B101,2,1)*O389*$P389*$Q389,0)+IF(ISNUMBER(S389), VLOOKUP(S389/$AH389,F!$A1:$B101,2,1)*S389*$T389*$U389,0)+IF(ISNUMBER(W389), VLOOKUP(W389/$AH389,F!$A1:$B101,2,1)*W389*$X389*$Y389,0)+IF(ISNUMBER(AA389), VLOOKUP(AA389/$AH389,F!$A1:$B101,2,1)*AA389*$AB389*$AC389,0))*IF(ISNUMBER(F389),F389,1)*IF(ISNUMBER(E389),E389,1)</f>
        <v>0</v>
      </c>
      <c r="AJ389" s="178">
        <f t="shared" si="752"/>
        <v>0</v>
      </c>
      <c r="AK389" s="183">
        <f t="array" ref="AK389">IFERROR(I389*INDEX(F!$P$21:$AB$33, MATCH(G389/$AH389, F!$O$21:$O$33,1), MATCH(E389, F!$P$20:$AB$20,1)), 0 ) +IFERROR( M389*INDEX(F!$P$21:$AB$33, MATCH(K389/$AH389, F!$O$21:$O$33,1), MATCH(E389, F!$P$20:$AB$20,1)),0) +  IFERROR( Q389*INDEX(F!$P$21:$AB$33, MATCH(O389/$AH389, F!$O$21:$O$33,1), MATCH(E389, F!$P$20:$AB$20,1)), 0) + IFERROR( U389*INDEX(F!$P$21:$AB$33, MATCH(S389/$AH389, F!$O$21:$O$33,1), MATCH(E389, F!$P$20:$AB$20,1)),0)  + IFERROR(Y389*INDEX(F!$P$21:$AB$33, MATCH(W389/$AH389, F!$O$21:$O$33,1), MATCH(E389, F!$P$20:$AB$20,1)),0)  + IFERROR( AC389*INDEX(F!$P$21:$AB$33, MATCH(AA389/$AH389, F!$O$21:$O$33,1), MATCH(E389, F!$P$20:$AB$20,1)),)</f>
        <v>0</v>
      </c>
      <c r="AL389" s="5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ht="15.75" hidden="1" customHeight="1">
      <c r="A390" s="59"/>
      <c r="B390" s="135" t="str">
        <f t="shared" ref="B390:F390" si="756">IF(B334="","",B334)</f>
        <v/>
      </c>
      <c r="C390" s="136" t="str">
        <f t="shared" si="756"/>
        <v/>
      </c>
      <c r="D390" s="137" t="str">
        <f t="shared" si="756"/>
        <v/>
      </c>
      <c r="E390" s="48" t="str">
        <f t="shared" si="756"/>
        <v/>
      </c>
      <c r="F390" s="138" t="str">
        <f t="shared" si="756"/>
        <v/>
      </c>
      <c r="G390" s="139" t="str">
        <f t="shared" si="743"/>
        <v/>
      </c>
      <c r="H390" s="140"/>
      <c r="I390" s="140"/>
      <c r="J390" s="141"/>
      <c r="K390" s="139" t="str">
        <f t="shared" si="744"/>
        <v/>
      </c>
      <c r="L390" s="140"/>
      <c r="M390" s="140"/>
      <c r="N390" s="141"/>
      <c r="O390" s="139" t="str">
        <f t="shared" si="745"/>
        <v/>
      </c>
      <c r="P390" s="140"/>
      <c r="Q390" s="140"/>
      <c r="R390" s="141"/>
      <c r="S390" s="139" t="str">
        <f t="shared" si="746"/>
        <v/>
      </c>
      <c r="T390" s="140"/>
      <c r="U390" s="140"/>
      <c r="V390" s="141"/>
      <c r="W390" s="139" t="str">
        <f t="shared" si="747"/>
        <v/>
      </c>
      <c r="X390" s="140"/>
      <c r="Y390" s="140"/>
      <c r="Z390" s="141"/>
      <c r="AA390" s="139" t="str">
        <f t="shared" si="748"/>
        <v/>
      </c>
      <c r="AB390" s="140"/>
      <c r="AC390" s="140"/>
      <c r="AD390" s="141"/>
      <c r="AE390" s="142">
        <f t="shared" si="749"/>
        <v>0</v>
      </c>
      <c r="AF390" s="143">
        <f t="shared" si="654"/>
        <v>0</v>
      </c>
      <c r="AG390" s="144">
        <f t="shared" si="750"/>
        <v>0</v>
      </c>
      <c r="AH390" s="76" t="str">
        <f t="shared" si="751"/>
        <v/>
      </c>
      <c r="AI390" s="143">
        <f> ( IF(ISNUMBER(G390), VLOOKUP(G390/$AH390,F!$A1:$B101,2,1)*G390*$H390*$I390,0)+IF(ISNUMBER(K390), VLOOKUP(K390/$AH390,F!$A1:$B101,2,1)*K390*$L390*$M390,0)+IF(ISNUMBER(O390), VLOOKUP(O390/$AH390,F!$A1:$B101,2,1)*O390*$P390*$Q390,0)+IF(ISNUMBER(S390), VLOOKUP(S390/$AH390,F!$A1:$B101,2,1)*S390*$T390*$U390,0)+IF(ISNUMBER(W390), VLOOKUP(W390/$AH390,F!$A1:$B101,2,1)*W390*$X390*$Y390,0)+IF(ISNUMBER(AA390), VLOOKUP(AA390/$AH390,F!$A1:$B101,2,1)*AA390*$AB390*$AC390,0))*IF(ISNUMBER(F390),F390,1)*IF(ISNUMBER(E390),E390,1)</f>
        <v>0</v>
      </c>
      <c r="AJ390" s="140">
        <f t="shared" si="752"/>
        <v>0</v>
      </c>
      <c r="AK390" s="145">
        <f t="array" ref="AK390">IFERROR(I390*INDEX(F!$P$21:$AB$33, MATCH(G390/$AH390, F!$O$21:$O$33,1), MATCH(E390, F!$P$20:$AB$20,1)), 0 ) +IFERROR( M390*INDEX(F!$P$21:$AB$33, MATCH(K390/$AH390, F!$O$21:$O$33,1), MATCH(E390, F!$P$20:$AB$20,1)),0) +  IFERROR( Q390*INDEX(F!$P$21:$AB$33, MATCH(O390/$AH390, F!$O$21:$O$33,1), MATCH(E390, F!$P$20:$AB$20,1)), 0) + IFERROR( U390*INDEX(F!$P$21:$AB$33, MATCH(S390/$AH390, F!$O$21:$O$33,1), MATCH(E390, F!$P$20:$AB$20,1)),0)  + IFERROR(Y390*INDEX(F!$P$21:$AB$33, MATCH(W390/$AH390, F!$O$21:$O$33,1), MATCH(E390, F!$P$20:$AB$20,1)),0)  + IFERROR( AC390*INDEX(F!$P$21:$AB$33, MATCH(AA390/$AH390, F!$O$21:$O$33,1), MATCH(E390, F!$P$20:$AB$20,1)),)</f>
        <v>0</v>
      </c>
      <c r="AL390" s="5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ht="15.75" hidden="1" customHeight="1">
      <c r="A391" s="59"/>
      <c r="B391" s="173" t="str">
        <f t="shared" ref="B391:F391" si="757">IF(B335="","",B335)</f>
        <v/>
      </c>
      <c r="C391" s="174" t="str">
        <f t="shared" si="757"/>
        <v/>
      </c>
      <c r="D391" s="175" t="str">
        <f t="shared" si="757"/>
        <v/>
      </c>
      <c r="E391" s="48" t="str">
        <f t="shared" si="757"/>
        <v/>
      </c>
      <c r="F391" s="176" t="str">
        <f t="shared" si="757"/>
        <v/>
      </c>
      <c r="G391" s="177" t="str">
        <f t="shared" si="743"/>
        <v/>
      </c>
      <c r="H391" s="178"/>
      <c r="I391" s="178"/>
      <c r="J391" s="179"/>
      <c r="K391" s="177" t="str">
        <f t="shared" si="744"/>
        <v/>
      </c>
      <c r="L391" s="178"/>
      <c r="M391" s="178"/>
      <c r="N391" s="179"/>
      <c r="O391" s="177" t="str">
        <f t="shared" si="745"/>
        <v/>
      </c>
      <c r="P391" s="178"/>
      <c r="Q391" s="178"/>
      <c r="R391" s="179"/>
      <c r="S391" s="177" t="str">
        <f t="shared" si="746"/>
        <v/>
      </c>
      <c r="T391" s="178"/>
      <c r="U391" s="178"/>
      <c r="V391" s="179"/>
      <c r="W391" s="177" t="str">
        <f t="shared" si="747"/>
        <v/>
      </c>
      <c r="X391" s="178"/>
      <c r="Y391" s="178"/>
      <c r="Z391" s="179"/>
      <c r="AA391" s="177" t="str">
        <f t="shared" si="748"/>
        <v/>
      </c>
      <c r="AB391" s="178"/>
      <c r="AC391" s="178"/>
      <c r="AD391" s="179"/>
      <c r="AE391" s="180">
        <f t="shared" si="749"/>
        <v>0</v>
      </c>
      <c r="AF391" s="181">
        <f t="shared" si="654"/>
        <v>0</v>
      </c>
      <c r="AG391" s="182">
        <f t="shared" si="750"/>
        <v>0</v>
      </c>
      <c r="AH391" s="76" t="str">
        <f t="shared" si="751"/>
        <v/>
      </c>
      <c r="AI391" s="181">
        <f> ( IF(ISNUMBER(G391), VLOOKUP(G391/$AH391,F!$A1:$B101,2,1)*G391*$H391*$I391,0)+IF(ISNUMBER(K391), VLOOKUP(K391/$AH391,F!$A1:$B101,2,1)*K391*$L391*$M391,0)+IF(ISNUMBER(O391), VLOOKUP(O391/$AH391,F!$A1:$B101,2,1)*O391*$P391*$Q391,0)+IF(ISNUMBER(S391), VLOOKUP(S391/$AH391,F!$A1:$B101,2,1)*S391*$T391*$U391,0)+IF(ISNUMBER(W391), VLOOKUP(W391/$AH391,F!$A1:$B101,2,1)*W391*$X391*$Y391,0)+IF(ISNUMBER(AA391), VLOOKUP(AA391/$AH391,F!$A1:$B101,2,1)*AA391*$AB391*$AC391,0))*IF(ISNUMBER(F391),F391,1)*IF(ISNUMBER(E391),E391,1)</f>
        <v>0</v>
      </c>
      <c r="AJ391" s="178">
        <f t="shared" si="752"/>
        <v>0</v>
      </c>
      <c r="AK391" s="183">
        <f t="array" ref="AK391">IFERROR(I391*INDEX(F!$P$21:$AB$33, MATCH(G391/$AH391, F!$O$21:$O$33,1), MATCH(E391, F!$P$20:$AB$20,1)), 0 ) +IFERROR( M391*INDEX(F!$P$21:$AB$33, MATCH(K391/$AH391, F!$O$21:$O$33,1), MATCH(E391, F!$P$20:$AB$20,1)),0) +  IFERROR( Q391*INDEX(F!$P$21:$AB$33, MATCH(O391/$AH391, F!$O$21:$O$33,1), MATCH(E391, F!$P$20:$AB$20,1)), 0) + IFERROR( U391*INDEX(F!$P$21:$AB$33, MATCH(S391/$AH391, F!$O$21:$O$33,1), MATCH(E391, F!$P$20:$AB$20,1)),0)  + IFERROR(Y391*INDEX(F!$P$21:$AB$33, MATCH(W391/$AH391, F!$O$21:$O$33,1), MATCH(E391, F!$P$20:$AB$20,1)),0)  + IFERROR( AC391*INDEX(F!$P$21:$AB$33, MATCH(AA391/$AH391, F!$O$21:$O$33,1), MATCH(E391, F!$P$20:$AB$20,1)),)</f>
        <v>0</v>
      </c>
      <c r="AL391" s="5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ht="15.75" hidden="1" customHeight="1">
      <c r="A392" s="59"/>
      <c r="B392" s="135" t="str">
        <f t="shared" ref="B392:F392" si="758">IF(B336="","",B336)</f>
        <v/>
      </c>
      <c r="C392" s="136" t="str">
        <f t="shared" si="758"/>
        <v/>
      </c>
      <c r="D392" s="137" t="str">
        <f t="shared" si="758"/>
        <v/>
      </c>
      <c r="E392" s="48" t="str">
        <f t="shared" si="758"/>
        <v/>
      </c>
      <c r="F392" s="138" t="str">
        <f t="shared" si="758"/>
        <v/>
      </c>
      <c r="G392" s="139" t="str">
        <f t="shared" si="743"/>
        <v/>
      </c>
      <c r="H392" s="140"/>
      <c r="I392" s="140"/>
      <c r="J392" s="141"/>
      <c r="K392" s="139" t="str">
        <f t="shared" si="744"/>
        <v/>
      </c>
      <c r="L392" s="140"/>
      <c r="M392" s="140"/>
      <c r="N392" s="141"/>
      <c r="O392" s="139" t="str">
        <f t="shared" si="745"/>
        <v/>
      </c>
      <c r="P392" s="140"/>
      <c r="Q392" s="140"/>
      <c r="R392" s="141"/>
      <c r="S392" s="139" t="str">
        <f t="shared" si="746"/>
        <v/>
      </c>
      <c r="T392" s="140"/>
      <c r="U392" s="140"/>
      <c r="V392" s="141"/>
      <c r="W392" s="139" t="str">
        <f t="shared" si="747"/>
        <v/>
      </c>
      <c r="X392" s="140"/>
      <c r="Y392" s="140"/>
      <c r="Z392" s="141"/>
      <c r="AA392" s="139" t="str">
        <f t="shared" si="748"/>
        <v/>
      </c>
      <c r="AB392" s="140"/>
      <c r="AC392" s="140"/>
      <c r="AD392" s="141"/>
      <c r="AE392" s="142">
        <f t="shared" si="749"/>
        <v>0</v>
      </c>
      <c r="AF392" s="143">
        <f t="shared" si="654"/>
        <v>0</v>
      </c>
      <c r="AG392" s="144">
        <f t="shared" si="750"/>
        <v>0</v>
      </c>
      <c r="AH392" s="76" t="str">
        <f t="shared" si="751"/>
        <v/>
      </c>
      <c r="AI392" s="143">
        <f> ( IF(ISNUMBER(G392), VLOOKUP(G392/$AH392,F!$A1:$B101,2,1)*G392*$H392*$I392,0)+IF(ISNUMBER(K392), VLOOKUP(K392/$AH392,F!$A1:$B101,2,1)*K392*$L392*$M392,0)+IF(ISNUMBER(O392), VLOOKUP(O392/$AH392,F!$A1:$B101,2,1)*O392*$P392*$Q392,0)+IF(ISNUMBER(S392), VLOOKUP(S392/$AH392,F!$A1:$B101,2,1)*S392*$T392*$U392,0)+IF(ISNUMBER(W392), VLOOKUP(W392/$AH392,F!$A1:$B101,2,1)*W392*$X392*$Y392,0)+IF(ISNUMBER(AA392), VLOOKUP(AA392/$AH392,F!$A1:$B101,2,1)*AA392*$AB392*$AC392,0))*IF(ISNUMBER(F392),F392,1)*IF(ISNUMBER(E392),E392,1)</f>
        <v>0</v>
      </c>
      <c r="AJ392" s="140">
        <f t="shared" si="752"/>
        <v>0</v>
      </c>
      <c r="AK392" s="145">
        <f t="array" ref="AK392">IFERROR(I392*INDEX(F!$P$21:$AB$33, MATCH(G392/$AH392, F!$O$21:$O$33,1), MATCH(E392, F!$P$20:$AB$20,1)), 0 ) +IFERROR( M392*INDEX(F!$P$21:$AB$33, MATCH(K392/$AH392, F!$O$21:$O$33,1), MATCH(E392, F!$P$20:$AB$20,1)),0) +  IFERROR( Q392*INDEX(F!$P$21:$AB$33, MATCH(O392/$AH392, F!$O$21:$O$33,1), MATCH(E392, F!$P$20:$AB$20,1)), 0) + IFERROR( U392*INDEX(F!$P$21:$AB$33, MATCH(S392/$AH392, F!$O$21:$O$33,1), MATCH(E392, F!$P$20:$AB$20,1)),0)  + IFERROR(Y392*INDEX(F!$P$21:$AB$33, MATCH(W392/$AH392, F!$O$21:$O$33,1), MATCH(E392, F!$P$20:$AB$20,1)),0)  + IFERROR( AC392*INDEX(F!$P$21:$AB$33, MATCH(AA392/$AH392, F!$O$21:$O$33,1), MATCH(E392, F!$P$20:$AB$20,1)),)</f>
        <v>0</v>
      </c>
      <c r="AL392" s="5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ht="15.75" hidden="1" customHeight="1">
      <c r="A393" s="98"/>
      <c r="B393" s="188"/>
      <c r="C393" s="189"/>
      <c r="D393" s="190"/>
      <c r="E393" s="102">
        <f>ROUND(IFERROR(SUMPRODUCT(AJ385:AJ392,E385:E392)/AJ393,0),3)</f>
        <v>0</v>
      </c>
      <c r="F393" s="191"/>
      <c r="G393" s="201"/>
      <c r="H393" s="193"/>
      <c r="I393" s="193"/>
      <c r="J393" s="194"/>
      <c r="K393" s="201"/>
      <c r="L393" s="193"/>
      <c r="M393" s="193"/>
      <c r="N393" s="194"/>
      <c r="O393" s="201"/>
      <c r="P393" s="193"/>
      <c r="Q393" s="193"/>
      <c r="R393" s="194"/>
      <c r="S393" s="201"/>
      <c r="T393" s="193"/>
      <c r="U393" s="193"/>
      <c r="V393" s="194"/>
      <c r="W393" s="201"/>
      <c r="X393" s="193"/>
      <c r="Y393" s="193"/>
      <c r="Z393" s="194"/>
      <c r="AA393" s="201"/>
      <c r="AB393" s="193"/>
      <c r="AC393" s="193"/>
      <c r="AD393" s="194"/>
      <c r="AE393" s="107">
        <f>SUM(AE385:AE392)</f>
        <v>0</v>
      </c>
      <c r="AF393" s="108">
        <f t="shared" si="654"/>
        <v>0</v>
      </c>
      <c r="AG393" s="109">
        <f>IFERROR(  SUMPRODUCT(AG385:AG392,AJ385:AJ392)/AJ393,0)</f>
        <v>0</v>
      </c>
      <c r="AH393" s="157"/>
      <c r="AI393" s="111">
        <f t="shared" ref="AI393:AJ393" si="759">SUM(AI385:AI392)</f>
        <v>0</v>
      </c>
      <c r="AJ393" s="111">
        <f t="shared" si="759"/>
        <v>0</v>
      </c>
      <c r="AK393" s="112">
        <f>IF(SUM(AK385:AK392)=0,TIME(,0,),TIME(,SUM(AK385:AK392)+F!$V$37,))</f>
        <v>0</v>
      </c>
      <c r="AL393" s="98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ht="15.75" hidden="1" customHeight="1">
      <c r="A394" s="204">
        <f>A338</f>
        <v>7</v>
      </c>
      <c r="B394" s="205"/>
      <c r="C394" s="205"/>
      <c r="D394" s="205"/>
      <c r="E394" s="7">
        <f>IF(AJ394=0,0,(E404*AJ404 + E413*AJ413 + E422*AJ422 + E431*AJ431 + E440*AJ440 + E449*AJ449   ) /AJ394 )</f>
        <v>0</v>
      </c>
      <c r="F394" s="206" t="s">
        <v>0</v>
      </c>
      <c r="G394" s="9"/>
      <c r="H394" s="9"/>
      <c r="I394" s="9"/>
      <c r="J394" s="9"/>
      <c r="K394" s="9"/>
      <c r="L394" s="9"/>
      <c r="M394" s="10"/>
      <c r="N394" s="221">
        <f>N338+1</f>
        <v>8</v>
      </c>
      <c r="O394" s="222"/>
      <c r="P394" s="222"/>
      <c r="Q394" s="222"/>
      <c r="R394" s="222"/>
      <c r="S394" s="222"/>
      <c r="T394" s="222"/>
      <c r="U394" s="222"/>
      <c r="V394" s="222"/>
      <c r="W394" s="222"/>
      <c r="X394" s="222"/>
      <c r="Y394" s="222"/>
      <c r="Z394" s="222"/>
      <c r="AA394" s="222"/>
      <c r="AB394" s="222"/>
      <c r="AC394" s="222"/>
      <c r="AD394" s="223"/>
      <c r="AE394" s="224">
        <f>AE404+AE413+AE422+AE431+AE440+AE449</f>
        <v>0</v>
      </c>
      <c r="AF394" s="225">
        <f t="shared" si="654"/>
        <v>0</v>
      </c>
      <c r="AG394" s="226">
        <f>IF(AJ394=0,0,(AG404*AJ404 + AG413*AJ413 + AG422*AJ422 + AG431*AJ431 + AG440*AJ440 + AG449*AJ449   ) /AJ394 )</f>
        <v>0</v>
      </c>
      <c r="AH394" s="210">
        <f>AH338</f>
        <v>0.02</v>
      </c>
      <c r="AI394" s="224">
        <f t="shared" ref="AI394:AK394" si="760">AI404+AI413+AI422+AI431+AI440+AI449</f>
        <v>0</v>
      </c>
      <c r="AJ394" s="224">
        <f t="shared" si="760"/>
        <v>0</v>
      </c>
      <c r="AK394" s="227">
        <f t="shared" si="760"/>
        <v>0</v>
      </c>
      <c r="AL394" s="212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ht="15.75" hidden="1" customHeight="1">
      <c r="A395" s="19" t="s">
        <v>1</v>
      </c>
      <c r="B395" s="20" t="s">
        <v>2</v>
      </c>
      <c r="C395" s="20" t="s">
        <v>3</v>
      </c>
      <c r="D395" s="20" t="s">
        <v>4</v>
      </c>
      <c r="E395" s="20" t="s">
        <v>5</v>
      </c>
      <c r="F395" s="20" t="s">
        <v>6</v>
      </c>
      <c r="G395" s="20" t="s">
        <v>7</v>
      </c>
      <c r="H395" s="20" t="s">
        <v>8</v>
      </c>
      <c r="I395" s="20" t="s">
        <v>9</v>
      </c>
      <c r="J395" s="20" t="s">
        <v>10</v>
      </c>
      <c r="K395" s="20" t="s">
        <v>7</v>
      </c>
      <c r="L395" s="20" t="s">
        <v>8</v>
      </c>
      <c r="M395" s="20" t="s">
        <v>9</v>
      </c>
      <c r="N395" s="20" t="s">
        <v>10</v>
      </c>
      <c r="O395" s="20" t="s">
        <v>7</v>
      </c>
      <c r="P395" s="20" t="s">
        <v>8</v>
      </c>
      <c r="Q395" s="20" t="s">
        <v>9</v>
      </c>
      <c r="R395" s="20" t="s">
        <v>10</v>
      </c>
      <c r="S395" s="20" t="s">
        <v>7</v>
      </c>
      <c r="T395" s="20" t="s">
        <v>8</v>
      </c>
      <c r="U395" s="20" t="s">
        <v>9</v>
      </c>
      <c r="V395" s="20" t="s">
        <v>10</v>
      </c>
      <c r="W395" s="20" t="s">
        <v>7</v>
      </c>
      <c r="X395" s="20" t="s">
        <v>8</v>
      </c>
      <c r="Y395" s="20" t="s">
        <v>9</v>
      </c>
      <c r="Z395" s="20" t="s">
        <v>10</v>
      </c>
      <c r="AA395" s="20" t="s">
        <v>7</v>
      </c>
      <c r="AB395" s="20" t="s">
        <v>8</v>
      </c>
      <c r="AC395" s="20" t="s">
        <v>9</v>
      </c>
      <c r="AD395" s="21" t="s">
        <v>10</v>
      </c>
      <c r="AE395" s="20" t="s">
        <v>11</v>
      </c>
      <c r="AF395" s="20" t="s">
        <v>12</v>
      </c>
      <c r="AG395" s="20" t="s">
        <v>13</v>
      </c>
      <c r="AH395" s="213" t="s">
        <v>14</v>
      </c>
      <c r="AI395" s="23" t="s">
        <v>15</v>
      </c>
      <c r="AJ395" s="20" t="s">
        <v>16</v>
      </c>
      <c r="AK395" s="21" t="s">
        <v>17</v>
      </c>
      <c r="AL395" s="214" t="s">
        <v>18</v>
      </c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ht="15.75" hidden="1" customHeight="1">
      <c r="A396" s="25">
        <f>A397</f>
        <v>43829</v>
      </c>
      <c r="B396" s="26" t="str">
        <f t="shared" ref="B396:F396" si="761">IF(B340="","",B340)</f>
        <v>Средняя</v>
      </c>
      <c r="C396" s="27" t="str">
        <f t="shared" si="761"/>
        <v>ПР</v>
      </c>
      <c r="D396" s="28" t="str">
        <f t="shared" si="761"/>
        <v>Присед</v>
      </c>
      <c r="E396" s="29">
        <f t="shared" si="761"/>
        <v>1.2</v>
      </c>
      <c r="F396" s="30" t="str">
        <f t="shared" si="761"/>
        <v/>
      </c>
      <c r="G396" s="31" t="str">
        <f t="shared" ref="G396:G403" si="763">IF(J396&lt;&gt;0, IFERROR(IF( $F396=2,  MROUND($AH396*J396,1),    IF( OR($F396="",$F396=1),   MROUND($AH396*J396,2.5),  MROUND($AH396*J396, 0.1))), "" ), "")</f>
        <v/>
      </c>
      <c r="H396" s="32"/>
      <c r="I396" s="32"/>
      <c r="J396" s="33"/>
      <c r="K396" s="31" t="str">
        <f t="shared" ref="K396:K403" si="764">IF(N396&lt;&gt;0, IFERROR(IF( $F396=2,  MROUND($AH396*N396,1),    IF( OR($F396="",$F396=1),   MROUND($AH396*N396,2.5),  MROUND($AH396*N396, 0.1))), "" ), "")</f>
        <v/>
      </c>
      <c r="L396" s="32"/>
      <c r="M396" s="32"/>
      <c r="N396" s="33"/>
      <c r="O396" s="31" t="str">
        <f t="shared" ref="O396:O403" si="765">IF(R396&lt;&gt;0, IFERROR(IF( $F396=2,  MROUND($AH396*R396,1),    IF( OR($F396="",$F396=1),   MROUND($AH396*R396,2.5),  MROUND($AH396*R396, 0.1))), "" ), "")</f>
        <v/>
      </c>
      <c r="P396" s="32"/>
      <c r="Q396" s="32"/>
      <c r="R396" s="33"/>
      <c r="S396" s="31" t="str">
        <f t="shared" ref="S396:S403" si="766">IF(V396&lt;&gt;0, IFERROR(IF( $F396=2,  MROUND($AH396*V396,1),    IF( OR($F396="",$F396=1),   MROUND($AH396*V396,2.5),  MROUND($AH396*V396, 0.1))), "" ), "")</f>
        <v/>
      </c>
      <c r="T396" s="32"/>
      <c r="U396" s="32"/>
      <c r="V396" s="33"/>
      <c r="W396" s="31" t="str">
        <f t="shared" ref="W396:W403" si="767">IF(Z396&lt;&gt;0, IFERROR(IF( $F396=2,  MROUND($AH396*Z396,1),    IF( OR($F396="",$F396=1),   MROUND($AH396*Z396,2.5),  MROUND($AH396*Z396, 0.1))), "" ), "")</f>
        <v/>
      </c>
      <c r="X396" s="32"/>
      <c r="Y396" s="32"/>
      <c r="Z396" s="33"/>
      <c r="AA396" s="31" t="str">
        <f t="shared" ref="AA396:AA403" si="768">IF(AD396&lt;&gt;0, IFERROR(IF( $F396=2,  MROUND($AH396*AD396,1),    IF( OR($F396="",$F396=1),   MROUND($AH396*AD396,2.5),  MROUND($AH396*AD396, 0.1))), "" ), "")</f>
        <v/>
      </c>
      <c r="AB396" s="32"/>
      <c r="AC396" s="32"/>
      <c r="AD396" s="33"/>
      <c r="AE396" s="35">
        <f t="shared" ref="AE396:AE403" si="769">(IF(ISNUMBER(G396),G396,0)*H396*I396+IF(ISNUMBER(K396),K396,1)*L396*M396+IF(ISNUMBER(O396),O396,1)*P396*Q396+IF(ISNUMBER(S396),S396,1)*T396*U396+IF(ISNUMBER(W396),W396,1)*X396*Y396+IF(ISNUMBER(AA396),AA396,1)*AB396*AC396)*IF(ISNUMBER(F396),F396,1)</f>
        <v>0</v>
      </c>
      <c r="AF396" s="36">
        <f t="shared" ref="AF396:AF450" si="770">IFERROR(AE396/AJ396,0)</f>
        <v>0</v>
      </c>
      <c r="AG396" s="195">
        <f t="shared" ref="AG396:AG403" si="771">IFERROR((AF396/(AH396*IF(ISNUMBER(F396),F396,1))),0)</f>
        <v>0</v>
      </c>
      <c r="AH396" s="169">
        <f t="shared" ref="AH396:AH403" si="772">IF(ISNUMBER(AH340), AH340+(AH340*$AH$394),"")</f>
        <v>155.0725651</v>
      </c>
      <c r="AI396" s="70">
        <f> ( IF(ISNUMBER(G396), VLOOKUP(G396/$AH396,F!$A1:$B101,2,1)*G396*$H396*$I396,0)+IF(ISNUMBER(K396), VLOOKUP(K396/$AH396,F!$A1:$B101,2,1)*K396*$L396*$M396,0)+IF(ISNUMBER(O396), VLOOKUP(O396/$AH396,F!$A1:$B101,2,1)*O396*$P396*$Q396,0)+IF(ISNUMBER(S396), VLOOKUP(S396/$AH396,F!$A1:$B101,2,1)*S396*$T396*$U396,0)+IF(ISNUMBER(W396), VLOOKUP(W396/$AH396,F!$A1:$B101,2,1)*W396*$X396*$Y396,0)+IF(ISNUMBER(AA396), VLOOKUP(AA396/$AH396,F!$A1:$B101,2,1)*AA396*$AB396*$AC396,0))*IF(ISNUMBER(F396),F396,1)*IF(ISNUMBER(E396),E396,1)</f>
        <v>0</v>
      </c>
      <c r="AJ396" s="40">
        <f t="shared" ref="AJ396:AJ403" si="773">H396*I396+L396*M396+P396*Q396+T396*U396+X396*Y396+AB396*AC396</f>
        <v>0</v>
      </c>
      <c r="AK396" s="41">
        <f t="array" ref="AK396">IFERROR(I396*INDEX(F!$P$21:$AB$33, MATCH(G396/$AH396, F!$O$21:$O$33,1), MATCH(E396, F!$P$20:$AB$20,1)), 0 ) +IFERROR( M396*INDEX(F!$P$21:$AB$33, MATCH(K396/$AH396, F!$O$21:$O$33,1), MATCH(E396, F!$P$20:$AB$20,1)),0) +  IFERROR( Q396*INDEX(F!$P$21:$AB$33, MATCH(O396/$AH396, F!$O$21:$O$33,1), MATCH(E396, F!$P$20:$AB$20,1)), 0) + IFERROR( U396*INDEX(F!$P$21:$AB$33, MATCH(S396/$AH396, F!$O$21:$O$33,1), MATCH(E396, F!$P$20:$AB$20,1)),0)  + IFERROR(Y396*INDEX(F!$P$21:$AB$33, MATCH(W396/$AH396, F!$O$21:$O$33,1), MATCH(E396, F!$P$20:$AB$20,1)),0)  + IFERROR( AC396*INDEX(F!$P$21:$AB$33, MATCH(AA396/$AH396, F!$O$21:$O$33,1), MATCH(E396, F!$P$20:$AB$20,1)),)</f>
        <v>0</v>
      </c>
      <c r="AL396" s="42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ht="15.75" hidden="1" customHeight="1">
      <c r="A397" s="44">
        <f>A341+A338</f>
        <v>43829</v>
      </c>
      <c r="B397" s="45" t="str">
        <f t="shared" ref="B397:F397" si="762">IF(B341="","",B341)</f>
        <v>Средняя</v>
      </c>
      <c r="C397" s="46" t="str">
        <f t="shared" si="762"/>
        <v>ЖМ</v>
      </c>
      <c r="D397" s="47" t="str">
        <f t="shared" si="762"/>
        <v>Жим лежа</v>
      </c>
      <c r="E397" s="48">
        <f t="shared" si="762"/>
        <v>1</v>
      </c>
      <c r="F397" s="49" t="str">
        <f t="shared" si="762"/>
        <v/>
      </c>
      <c r="G397" s="50" t="str">
        <f t="shared" si="763"/>
        <v/>
      </c>
      <c r="H397" s="51"/>
      <c r="I397" s="51"/>
      <c r="J397" s="52"/>
      <c r="K397" s="50" t="str">
        <f t="shared" si="764"/>
        <v/>
      </c>
      <c r="L397" s="51"/>
      <c r="M397" s="51"/>
      <c r="N397" s="52"/>
      <c r="O397" s="50" t="str">
        <f t="shared" si="765"/>
        <v/>
      </c>
      <c r="P397" s="51"/>
      <c r="Q397" s="51"/>
      <c r="R397" s="52"/>
      <c r="S397" s="50" t="str">
        <f t="shared" si="766"/>
        <v/>
      </c>
      <c r="T397" s="51"/>
      <c r="U397" s="51"/>
      <c r="V397" s="52"/>
      <c r="W397" s="50" t="str">
        <f t="shared" si="767"/>
        <v/>
      </c>
      <c r="X397" s="51"/>
      <c r="Y397" s="51"/>
      <c r="Z397" s="52"/>
      <c r="AA397" s="50" t="str">
        <f t="shared" si="768"/>
        <v/>
      </c>
      <c r="AB397" s="51"/>
      <c r="AC397" s="51"/>
      <c r="AD397" s="52"/>
      <c r="AE397" s="53">
        <f t="shared" si="769"/>
        <v>0</v>
      </c>
      <c r="AF397" s="54">
        <f t="shared" si="770"/>
        <v>0</v>
      </c>
      <c r="AG397" s="75">
        <f t="shared" si="771"/>
        <v>0</v>
      </c>
      <c r="AH397" s="76">
        <f t="shared" si="772"/>
        <v>109.1251384</v>
      </c>
      <c r="AI397" s="77">
        <f> ( IF(ISNUMBER(G397), VLOOKUP(G397/$AH397,F!$A1:$B101,2,1)*G397*$H397*$I397,0)+IF(ISNUMBER(K397), VLOOKUP(K397/$AH397,F!$A1:$B101,2,1)*K397*$L397*$M397,0)+IF(ISNUMBER(O397), VLOOKUP(O397/$AH397,F!$A1:$B101,2,1)*O397*$P397*$Q397,0)+IF(ISNUMBER(S397), VLOOKUP(S397/$AH397,F!$A1:$B101,2,1)*S397*$T397*$U397,0)+IF(ISNUMBER(W397), VLOOKUP(W397/$AH397,F!$A1:$B101,2,1)*W397*$X397*$Y397,0)+IF(ISNUMBER(AA397), VLOOKUP(AA397/$AH397,F!$A1:$B101,2,1)*AA397*$AB397*$AC397,0))*IF(ISNUMBER(F397),F397,1)*IF(ISNUMBER(E397),E397,1)</f>
        <v>0</v>
      </c>
      <c r="AJ397" s="57">
        <f t="shared" si="773"/>
        <v>0</v>
      </c>
      <c r="AK397" s="58">
        <f t="array" ref="AK397">IFERROR(I397*INDEX(F!$P$21:$AB$33, MATCH(G397/$AH397, F!$O$21:$O$33,1), MATCH(E397, F!$P$20:$AB$20,1)), 0 ) +IFERROR( M397*INDEX(F!$P$21:$AB$33, MATCH(K397/$AH397, F!$O$21:$O$33,1), MATCH(E397, F!$P$20:$AB$20,1)),0) +  IFERROR( Q397*INDEX(F!$P$21:$AB$33, MATCH(O397/$AH397, F!$O$21:$O$33,1), MATCH(E397, F!$P$20:$AB$20,1)), 0) + IFERROR( U397*INDEX(F!$P$21:$AB$33, MATCH(S397/$AH397, F!$O$21:$O$33,1), MATCH(E397, F!$P$20:$AB$20,1)),0)  + IFERROR(Y397*INDEX(F!$P$21:$AB$33, MATCH(W397/$AH397, F!$O$21:$O$33,1), MATCH(E397, F!$P$20:$AB$20,1)),0)  + IFERROR( AC397*INDEX(F!$P$21:$AB$33, MATCH(AA397/$AH397, F!$O$21:$O$33,1), MATCH(E397, F!$P$20:$AB$20,1)),)</f>
        <v>0</v>
      </c>
      <c r="AL397" s="5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ht="15.75" hidden="1" customHeight="1">
      <c r="A398" s="59"/>
      <c r="B398" s="60" t="str">
        <f t="shared" ref="B398:F398" si="774">IF(B342="","",B342)</f>
        <v>Тяжелая</v>
      </c>
      <c r="C398" s="61" t="str">
        <f t="shared" si="774"/>
        <v>ПР</v>
      </c>
      <c r="D398" s="62" t="str">
        <f t="shared" si="774"/>
        <v>Присед</v>
      </c>
      <c r="E398" s="48">
        <f t="shared" si="774"/>
        <v>1.2</v>
      </c>
      <c r="F398" s="63" t="str">
        <f t="shared" si="774"/>
        <v/>
      </c>
      <c r="G398" s="64" t="str">
        <f t="shared" si="763"/>
        <v/>
      </c>
      <c r="H398" s="34"/>
      <c r="I398" s="34"/>
      <c r="J398" s="65"/>
      <c r="K398" s="64" t="str">
        <f t="shared" si="764"/>
        <v/>
      </c>
      <c r="L398" s="34"/>
      <c r="M398" s="34"/>
      <c r="N398" s="65"/>
      <c r="O398" s="64" t="str">
        <f t="shared" si="765"/>
        <v/>
      </c>
      <c r="P398" s="34"/>
      <c r="Q398" s="34"/>
      <c r="R398" s="65"/>
      <c r="S398" s="64" t="str">
        <f t="shared" si="766"/>
        <v/>
      </c>
      <c r="T398" s="34"/>
      <c r="U398" s="34"/>
      <c r="V398" s="65"/>
      <c r="W398" s="64" t="str">
        <f t="shared" si="767"/>
        <v/>
      </c>
      <c r="X398" s="34"/>
      <c r="Y398" s="34"/>
      <c r="Z398" s="65"/>
      <c r="AA398" s="64" t="str">
        <f t="shared" si="768"/>
        <v/>
      </c>
      <c r="AB398" s="34"/>
      <c r="AC398" s="34"/>
      <c r="AD398" s="65"/>
      <c r="AE398" s="66">
        <f t="shared" si="769"/>
        <v>0</v>
      </c>
      <c r="AF398" s="67">
        <f t="shared" si="770"/>
        <v>0</v>
      </c>
      <c r="AG398" s="68">
        <f t="shared" si="771"/>
        <v>0</v>
      </c>
      <c r="AH398" s="76">
        <f t="shared" si="772"/>
        <v>155.0725651</v>
      </c>
      <c r="AI398" s="70">
        <f> ( IF(ISNUMBER(G398), VLOOKUP(G398/$AH398,F!$A1:$B101,2,1)*G398*$H398*$I398,0)+IF(ISNUMBER(K398), VLOOKUP(K398/$AH398,F!$A1:$B101,2,1)*K398*$L398*$M398,0)+IF(ISNUMBER(O398), VLOOKUP(O398/$AH398,F!$A1:$B101,2,1)*O398*$P398*$Q398,0)+IF(ISNUMBER(S398), VLOOKUP(S398/$AH398,F!$A1:$B101,2,1)*S398*$T398*$U398,0)+IF(ISNUMBER(W398), VLOOKUP(W398/$AH398,F!$A1:$B101,2,1)*W398*$X398*$Y398,0)+IF(ISNUMBER(AA398), VLOOKUP(AA398/$AH398,F!$A1:$B101,2,1)*AA398*$AB398*$AC398,0))*IF(ISNUMBER(F398),F398,1)*IF(ISNUMBER(E398),E398,1)</f>
        <v>0</v>
      </c>
      <c r="AJ398" s="71">
        <f t="shared" si="773"/>
        <v>0</v>
      </c>
      <c r="AK398" s="72">
        <f t="array" ref="AK398">IFERROR(I398*INDEX(F!$P$21:$AB$33, MATCH(G398/$AH398, F!$O$21:$O$33,1), MATCH(E398, F!$P$20:$AB$20,1)), 0 ) +IFERROR( M398*INDEX(F!$P$21:$AB$33, MATCH(K398/$AH398, F!$O$21:$O$33,1), MATCH(E398, F!$P$20:$AB$20,1)),0) +  IFERROR( Q398*INDEX(F!$P$21:$AB$33, MATCH(O398/$AH398, F!$O$21:$O$33,1), MATCH(E398, F!$P$20:$AB$20,1)), 0) + IFERROR( U398*INDEX(F!$P$21:$AB$33, MATCH(S398/$AH398, F!$O$21:$O$33,1), MATCH(E398, F!$P$20:$AB$20,1)),0)  + IFERROR(Y398*INDEX(F!$P$21:$AB$33, MATCH(W398/$AH398, F!$O$21:$O$33,1), MATCH(E398, F!$P$20:$AB$20,1)),0)  + IFERROR( AC398*INDEX(F!$P$21:$AB$33, MATCH(AA398/$AH398, F!$O$21:$O$33,1), MATCH(E398, F!$P$20:$AB$20,1)),)</f>
        <v>0</v>
      </c>
      <c r="AL398" s="5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ht="15.75" hidden="1" customHeight="1">
      <c r="A399" s="59"/>
      <c r="B399" s="215" t="str">
        <f t="shared" ref="B399:F399" si="775">IF(B343="","",B343)</f>
        <v>Средняя</v>
      </c>
      <c r="C399" s="73" t="str">
        <f t="shared" si="775"/>
        <v>ЖМ</v>
      </c>
      <c r="D399" s="47" t="str">
        <f t="shared" si="775"/>
        <v>Жим гантелей</v>
      </c>
      <c r="E399" s="48">
        <f t="shared" si="775"/>
        <v>1</v>
      </c>
      <c r="F399" s="74">
        <f t="shared" si="775"/>
        <v>2</v>
      </c>
      <c r="G399" s="50" t="str">
        <f t="shared" si="763"/>
        <v/>
      </c>
      <c r="H399" s="51"/>
      <c r="I399" s="51"/>
      <c r="J399" s="52"/>
      <c r="K399" s="50" t="str">
        <f t="shared" si="764"/>
        <v/>
      </c>
      <c r="L399" s="51"/>
      <c r="M399" s="51"/>
      <c r="N399" s="52"/>
      <c r="O399" s="50" t="str">
        <f t="shared" si="765"/>
        <v/>
      </c>
      <c r="P399" s="51"/>
      <c r="Q399" s="51"/>
      <c r="R399" s="52"/>
      <c r="S399" s="50" t="str">
        <f t="shared" si="766"/>
        <v/>
      </c>
      <c r="T399" s="51"/>
      <c r="U399" s="51"/>
      <c r="V399" s="52"/>
      <c r="W399" s="50" t="str">
        <f t="shared" si="767"/>
        <v/>
      </c>
      <c r="X399" s="51"/>
      <c r="Y399" s="51"/>
      <c r="Z399" s="52"/>
      <c r="AA399" s="50" t="str">
        <f t="shared" si="768"/>
        <v/>
      </c>
      <c r="AB399" s="51"/>
      <c r="AC399" s="51"/>
      <c r="AD399" s="52"/>
      <c r="AE399" s="53">
        <f t="shared" si="769"/>
        <v>0</v>
      </c>
      <c r="AF399" s="54">
        <f t="shared" si="770"/>
        <v>0</v>
      </c>
      <c r="AG399" s="75">
        <f t="shared" si="771"/>
        <v>0</v>
      </c>
      <c r="AH399" s="76">
        <f t="shared" si="772"/>
        <v>34.9200443</v>
      </c>
      <c r="AI399" s="77">
        <f> ( IF(ISNUMBER(G399), VLOOKUP(G399/$AH399,F!$A1:$B101,2,1)*G399*$H399*$I399,0)+IF(ISNUMBER(K399), VLOOKUP(K399/$AH399,F!$A1:$B101,2,1)*K399*$L399*$M399,0)+IF(ISNUMBER(O399), VLOOKUP(O399/$AH399,F!$A1:$B101,2,1)*O399*$P399*$Q399,0)+IF(ISNUMBER(S399), VLOOKUP(S399/$AH399,F!$A1:$B101,2,1)*S399*$T399*$U399,0)+IF(ISNUMBER(W399), VLOOKUP(W399/$AH399,F!$A1:$B101,2,1)*W399*$X399*$Y399,0)+IF(ISNUMBER(AA399), VLOOKUP(AA399/$AH399,F!$A1:$B101,2,1)*AA399*$AB399*$AC399,0))*IF(ISNUMBER(F399),F399,1)*IF(ISNUMBER(E399),E399,1)</f>
        <v>0</v>
      </c>
      <c r="AJ399" s="57">
        <f t="shared" si="773"/>
        <v>0</v>
      </c>
      <c r="AK399" s="58">
        <f t="array" ref="AK399">IFERROR(I399*INDEX(F!$P$21:$AB$33, MATCH(G399/$AH399, F!$O$21:$O$33,1), MATCH(E399, F!$P$20:$AB$20,1)), 0 ) +IFERROR( M399*INDEX(F!$P$21:$AB$33, MATCH(K399/$AH399, F!$O$21:$O$33,1), MATCH(E399, F!$P$20:$AB$20,1)),0) +  IFERROR( Q399*INDEX(F!$P$21:$AB$33, MATCH(O399/$AH399, F!$O$21:$O$33,1), MATCH(E399, F!$P$20:$AB$20,1)), 0) + IFERROR( U399*INDEX(F!$P$21:$AB$33, MATCH(S399/$AH399, F!$O$21:$O$33,1), MATCH(E399, F!$P$20:$AB$20,1)),0)  + IFERROR(Y399*INDEX(F!$P$21:$AB$33, MATCH(W399/$AH399, F!$O$21:$O$33,1), MATCH(E399, F!$P$20:$AB$20,1)),0)  + IFERROR( AC399*INDEX(F!$P$21:$AB$33, MATCH(AA399/$AH399, F!$O$21:$O$33,1), MATCH(E399, F!$P$20:$AB$20,1)),)</f>
        <v>0</v>
      </c>
      <c r="AL399" s="5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ht="15.75" hidden="1" customHeight="1">
      <c r="A400" s="59"/>
      <c r="B400" s="216" t="str">
        <f t="shared" ref="B400:F400" si="776">IF(B344="","",B344)</f>
        <v>Средняя</v>
      </c>
      <c r="C400" s="78" t="str">
        <f t="shared" si="776"/>
        <v>ОФП</v>
      </c>
      <c r="D400" s="62" t="str">
        <f t="shared" si="776"/>
        <v>Французский жим</v>
      </c>
      <c r="E400" s="48">
        <f t="shared" si="776"/>
        <v>0.4</v>
      </c>
      <c r="F400" s="79" t="str">
        <f t="shared" si="776"/>
        <v/>
      </c>
      <c r="G400" s="64" t="str">
        <f t="shared" si="763"/>
        <v/>
      </c>
      <c r="H400" s="34"/>
      <c r="I400" s="34"/>
      <c r="J400" s="65"/>
      <c r="K400" s="64" t="str">
        <f t="shared" si="764"/>
        <v/>
      </c>
      <c r="L400" s="34"/>
      <c r="M400" s="34"/>
      <c r="N400" s="65"/>
      <c r="O400" s="64" t="str">
        <f t="shared" si="765"/>
        <v/>
      </c>
      <c r="P400" s="34"/>
      <c r="Q400" s="34"/>
      <c r="R400" s="65"/>
      <c r="S400" s="64" t="str">
        <f t="shared" si="766"/>
        <v/>
      </c>
      <c r="T400" s="34"/>
      <c r="U400" s="34"/>
      <c r="V400" s="65"/>
      <c r="W400" s="64" t="str">
        <f t="shared" si="767"/>
        <v/>
      </c>
      <c r="X400" s="34"/>
      <c r="Y400" s="34"/>
      <c r="Z400" s="65"/>
      <c r="AA400" s="64" t="str">
        <f t="shared" si="768"/>
        <v/>
      </c>
      <c r="AB400" s="34"/>
      <c r="AC400" s="34"/>
      <c r="AD400" s="65"/>
      <c r="AE400" s="66">
        <f t="shared" si="769"/>
        <v>0</v>
      </c>
      <c r="AF400" s="67">
        <f t="shared" si="770"/>
        <v>0</v>
      </c>
      <c r="AG400" s="68">
        <f t="shared" si="771"/>
        <v>0</v>
      </c>
      <c r="AH400" s="76">
        <f t="shared" si="772"/>
        <v>50.19756368</v>
      </c>
      <c r="AI400" s="70">
        <f> ( IF(ISNUMBER(G400), VLOOKUP(G400/$AH400,F!$A1:$B101,2,1)*G400*$H400*$I400,0)+IF(ISNUMBER(K400), VLOOKUP(K400/$AH400,F!$A1:$B101,2,1)*K400*$L400*$M400,0)+IF(ISNUMBER(O400), VLOOKUP(O400/$AH400,F!$A1:$B101,2,1)*O400*$P400*$Q400,0)+IF(ISNUMBER(S400), VLOOKUP(S400/$AH400,F!$A1:$B101,2,1)*S400*$T400*$U400,0)+IF(ISNUMBER(W400), VLOOKUP(W400/$AH400,F!$A1:$B101,2,1)*W400*$X400*$Y400,0)+IF(ISNUMBER(AA400), VLOOKUP(AA400/$AH400,F!$A1:$B101,2,1)*AA400*$AB400*$AC400,0))*IF(ISNUMBER(F400),F400,1)*IF(ISNUMBER(E400),E400,1)</f>
        <v>0</v>
      </c>
      <c r="AJ400" s="71">
        <f t="shared" si="773"/>
        <v>0</v>
      </c>
      <c r="AK400" s="72">
        <f t="array" ref="AK400">IFERROR(I400*INDEX(F!$P$21:$AB$33, MATCH(G400/$AH400, F!$O$21:$O$33,1), MATCH(E400, F!$P$20:$AB$20,1)), 0 ) +IFERROR( M400*INDEX(F!$P$21:$AB$33, MATCH(K400/$AH400, F!$O$21:$O$33,1), MATCH(E400, F!$P$20:$AB$20,1)),0) +  IFERROR( Q400*INDEX(F!$P$21:$AB$33, MATCH(O400/$AH400, F!$O$21:$O$33,1), MATCH(E400, F!$P$20:$AB$20,1)), 0) + IFERROR( U400*INDEX(F!$P$21:$AB$33, MATCH(S400/$AH400, F!$O$21:$O$33,1), MATCH(E400, F!$P$20:$AB$20,1)),0)  + IFERROR(Y400*INDEX(F!$P$21:$AB$33, MATCH(W400/$AH400, F!$O$21:$O$33,1), MATCH(E400, F!$P$20:$AB$20,1)),0)  + IFERROR( AC400*INDEX(F!$P$21:$AB$33, MATCH(AA400/$AH400, F!$O$21:$O$33,1), MATCH(E400, F!$P$20:$AB$20,1)),)</f>
        <v>0</v>
      </c>
      <c r="AL400" s="5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ht="15.75" hidden="1" customHeight="1">
      <c r="A401" s="59"/>
      <c r="B401" s="45" t="str">
        <f t="shared" ref="B401:F401" si="777">IF(B345="","",B345)</f>
        <v/>
      </c>
      <c r="C401" s="46" t="str">
        <f t="shared" si="777"/>
        <v/>
      </c>
      <c r="D401" s="197" t="str">
        <f t="shared" si="777"/>
        <v/>
      </c>
      <c r="E401" s="48" t="str">
        <f t="shared" si="777"/>
        <v/>
      </c>
      <c r="F401" s="83" t="str">
        <f t="shared" si="777"/>
        <v/>
      </c>
      <c r="G401" s="50" t="str">
        <f t="shared" si="763"/>
        <v/>
      </c>
      <c r="H401" s="51"/>
      <c r="I401" s="51"/>
      <c r="J401" s="52"/>
      <c r="K401" s="50" t="str">
        <f t="shared" si="764"/>
        <v/>
      </c>
      <c r="L401" s="51"/>
      <c r="M401" s="51"/>
      <c r="N401" s="52"/>
      <c r="O401" s="50" t="str">
        <f t="shared" si="765"/>
        <v/>
      </c>
      <c r="P401" s="51"/>
      <c r="Q401" s="51"/>
      <c r="R401" s="52"/>
      <c r="S401" s="50" t="str">
        <f t="shared" si="766"/>
        <v/>
      </c>
      <c r="T401" s="51"/>
      <c r="U401" s="51"/>
      <c r="V401" s="52"/>
      <c r="W401" s="50" t="str">
        <f t="shared" si="767"/>
        <v/>
      </c>
      <c r="X401" s="51"/>
      <c r="Y401" s="51"/>
      <c r="Z401" s="52"/>
      <c r="AA401" s="50" t="str">
        <f t="shared" si="768"/>
        <v/>
      </c>
      <c r="AB401" s="51"/>
      <c r="AC401" s="51"/>
      <c r="AD401" s="52"/>
      <c r="AE401" s="53">
        <f t="shared" si="769"/>
        <v>0</v>
      </c>
      <c r="AF401" s="54">
        <f t="shared" si="770"/>
        <v>0</v>
      </c>
      <c r="AG401" s="75">
        <f t="shared" si="771"/>
        <v>0</v>
      </c>
      <c r="AH401" s="76" t="str">
        <f t="shared" si="772"/>
        <v/>
      </c>
      <c r="AI401" s="77">
        <f> ( IF(ISNUMBER(G401), VLOOKUP(G401/$AH401,F!$A1:$B101,2,1)*G401*$H401*$I401,0)+IF(ISNUMBER(K401), VLOOKUP(K401/$AH401,F!$A1:$B101,2,1)*K401*$L401*$M401,0)+IF(ISNUMBER(O401), VLOOKUP(O401/$AH401,F!$A1:$B101,2,1)*O401*$P401*$Q401,0)+IF(ISNUMBER(S401), VLOOKUP(S401/$AH401,F!$A1:$B101,2,1)*S401*$T401*$U401,0)+IF(ISNUMBER(W401), VLOOKUP(W401/$AH401,F!$A1:$B101,2,1)*W401*$X401*$Y401,0)+IF(ISNUMBER(AA401), VLOOKUP(AA401/$AH401,F!$A1:$B101,2,1)*AA401*$AB401*$AC401,0))*IF(ISNUMBER(F401),F401,1)*IF(ISNUMBER(E401),E401,1)</f>
        <v>0</v>
      </c>
      <c r="AJ401" s="86">
        <f t="shared" si="773"/>
        <v>0</v>
      </c>
      <c r="AK401" s="58">
        <f t="array" ref="AK401">IFERROR(I401*INDEX(F!$P$21:$AB$33, MATCH(G401/$AH401, F!$O$21:$O$33,1), MATCH(E401, F!$P$20:$AB$20,1)), 0 ) +IFERROR( M401*INDEX(F!$P$21:$AB$33, MATCH(K401/$AH401, F!$O$21:$O$33,1), MATCH(E401, F!$P$20:$AB$20,1)),0) +  IFERROR( Q401*INDEX(F!$P$21:$AB$33, MATCH(O401/$AH401, F!$O$21:$O$33,1), MATCH(E401, F!$P$20:$AB$20,1)), 0) + IFERROR( U401*INDEX(F!$P$21:$AB$33, MATCH(S401/$AH401, F!$O$21:$O$33,1), MATCH(E401, F!$P$20:$AB$20,1)),0)  + IFERROR(Y401*INDEX(F!$P$21:$AB$33, MATCH(W401/$AH401, F!$O$21:$O$33,1), MATCH(E401, F!$P$20:$AB$20,1)),0)  + IFERROR( AC401*INDEX(F!$P$21:$AB$33, MATCH(AA401/$AH401, F!$O$21:$O$33,1), MATCH(E401, F!$P$20:$AB$20,1)),)</f>
        <v>0</v>
      </c>
      <c r="AL401" s="5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ht="15.0" hidden="1" customHeight="1">
      <c r="A402" s="59"/>
      <c r="B402" s="60" t="str">
        <f t="shared" ref="B402:F402" si="778">IF(B346="","",B346)</f>
        <v/>
      </c>
      <c r="C402" s="61" t="str">
        <f t="shared" si="778"/>
        <v/>
      </c>
      <c r="D402" s="198" t="str">
        <f t="shared" si="778"/>
        <v/>
      </c>
      <c r="E402" s="48" t="str">
        <f t="shared" si="778"/>
        <v/>
      </c>
      <c r="F402" s="79" t="str">
        <f t="shared" si="778"/>
        <v/>
      </c>
      <c r="G402" s="64" t="str">
        <f t="shared" si="763"/>
        <v/>
      </c>
      <c r="H402" s="34"/>
      <c r="I402" s="34"/>
      <c r="J402" s="65"/>
      <c r="K402" s="64" t="str">
        <f t="shared" si="764"/>
        <v/>
      </c>
      <c r="L402" s="34"/>
      <c r="M402" s="34"/>
      <c r="N402" s="65"/>
      <c r="O402" s="64" t="str">
        <f t="shared" si="765"/>
        <v/>
      </c>
      <c r="P402" s="34"/>
      <c r="Q402" s="34"/>
      <c r="R402" s="65"/>
      <c r="S402" s="64" t="str">
        <f t="shared" si="766"/>
        <v/>
      </c>
      <c r="T402" s="34"/>
      <c r="U402" s="34"/>
      <c r="V402" s="65"/>
      <c r="W402" s="64" t="str">
        <f t="shared" si="767"/>
        <v/>
      </c>
      <c r="X402" s="34"/>
      <c r="Y402" s="34"/>
      <c r="Z402" s="65"/>
      <c r="AA402" s="64" t="str">
        <f t="shared" si="768"/>
        <v/>
      </c>
      <c r="AB402" s="34"/>
      <c r="AC402" s="34"/>
      <c r="AD402" s="65"/>
      <c r="AE402" s="66">
        <f t="shared" si="769"/>
        <v>0</v>
      </c>
      <c r="AF402" s="67">
        <f t="shared" si="770"/>
        <v>0</v>
      </c>
      <c r="AG402" s="68">
        <f t="shared" si="771"/>
        <v>0</v>
      </c>
      <c r="AH402" s="76" t="str">
        <f t="shared" si="772"/>
        <v/>
      </c>
      <c r="AI402" s="90">
        <f> ( IF(ISNUMBER(G402), VLOOKUP(G402/$AH402,F!$A1:$B101,2,1)*G402*$H402*$I402,0)+IF(ISNUMBER(K402), VLOOKUP(K402/$AH402,F!$A1:$B101,2,1)*K402*$L402*$M402,0)+IF(ISNUMBER(O402), VLOOKUP(O402/$AH402,F!$A1:$B101,2,1)*O402*$P402*$Q402,0)+IF(ISNUMBER(S402), VLOOKUP(S402/$AH402,F!$A1:$B101,2,1)*S402*$T402*$U402,0)+IF(ISNUMBER(W402), VLOOKUP(W402/$AH402,F!$A1:$B101,2,1)*W402*$X402*$Y402,0)+IF(ISNUMBER(AA402), VLOOKUP(AA402/$AH402,F!$A1:$B101,2,1)*AA402*$AB402*$AC402,0))*IF(ISNUMBER(F402),F402,1)*IF(ISNUMBER(E402),E402,1)</f>
        <v>0</v>
      </c>
      <c r="AJ402" s="34">
        <f t="shared" si="773"/>
        <v>0</v>
      </c>
      <c r="AK402" s="91">
        <f t="array" ref="AK402">IFERROR(I402*INDEX(F!$P$21:$AB$33, MATCH(G402/$AH402, F!$O$21:$O$33,1), MATCH(E402, F!$P$20:$AB$20,1)), 0 ) +IFERROR( M402*INDEX(F!$P$21:$AB$33, MATCH(K402/$AH402, F!$O$21:$O$33,1), MATCH(E402, F!$P$20:$AB$20,1)),0) +  IFERROR( Q402*INDEX(F!$P$21:$AB$33, MATCH(O402/$AH402, F!$O$21:$O$33,1), MATCH(E402, F!$P$20:$AB$20,1)), 0) + IFERROR( U402*INDEX(F!$P$21:$AB$33, MATCH(S402/$AH402, F!$O$21:$O$33,1), MATCH(E402, F!$P$20:$AB$20,1)),0)  + IFERROR(Y402*INDEX(F!$P$21:$AB$33, MATCH(W402/$AH402, F!$O$21:$O$33,1), MATCH(E402, F!$P$20:$AB$20,1)),0)  + IFERROR( AC402*INDEX(F!$P$21:$AB$33, MATCH(AA402/$AH402, F!$O$21:$O$33,1), MATCH(E402, F!$P$20:$AB$20,1)),)</f>
        <v>0</v>
      </c>
      <c r="AL402" s="5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ht="15.0" hidden="1" customHeight="1">
      <c r="A403" s="59"/>
      <c r="B403" s="45" t="str">
        <f t="shared" ref="B403:F403" si="779">IF(B347="","",B347)</f>
        <v/>
      </c>
      <c r="C403" s="46" t="str">
        <f t="shared" si="779"/>
        <v/>
      </c>
      <c r="D403" s="92" t="str">
        <f t="shared" si="779"/>
        <v/>
      </c>
      <c r="E403" s="48" t="str">
        <f t="shared" si="779"/>
        <v/>
      </c>
      <c r="F403" s="74" t="str">
        <f t="shared" si="779"/>
        <v/>
      </c>
      <c r="G403" s="50" t="str">
        <f t="shared" si="763"/>
        <v/>
      </c>
      <c r="H403" s="51"/>
      <c r="I403" s="51"/>
      <c r="J403" s="52"/>
      <c r="K403" s="50" t="str">
        <f t="shared" si="764"/>
        <v/>
      </c>
      <c r="L403" s="51"/>
      <c r="M403" s="51"/>
      <c r="N403" s="52"/>
      <c r="O403" s="50" t="str">
        <f t="shared" si="765"/>
        <v/>
      </c>
      <c r="P403" s="51"/>
      <c r="Q403" s="51"/>
      <c r="R403" s="52"/>
      <c r="S403" s="50" t="str">
        <f t="shared" si="766"/>
        <v/>
      </c>
      <c r="T403" s="51"/>
      <c r="U403" s="51"/>
      <c r="V403" s="52"/>
      <c r="W403" s="50" t="str">
        <f t="shared" si="767"/>
        <v/>
      </c>
      <c r="X403" s="51"/>
      <c r="Y403" s="51"/>
      <c r="Z403" s="52"/>
      <c r="AA403" s="50" t="str">
        <f t="shared" si="768"/>
        <v/>
      </c>
      <c r="AB403" s="51"/>
      <c r="AC403" s="51"/>
      <c r="AD403" s="52"/>
      <c r="AE403" s="53">
        <f t="shared" si="769"/>
        <v>0</v>
      </c>
      <c r="AF403" s="93">
        <f t="shared" si="770"/>
        <v>0</v>
      </c>
      <c r="AG403" s="94">
        <f t="shared" si="771"/>
        <v>0</v>
      </c>
      <c r="AH403" s="76" t="str">
        <f t="shared" si="772"/>
        <v/>
      </c>
      <c r="AI403" s="95">
        <f> ( IF(ISNUMBER(G403), VLOOKUP(G403/$AH403,F!$A1:$B101,2,1)*G403*$H403*$I403,0)+IF(ISNUMBER(K403), VLOOKUP(K403/$AH403,F!$A1:$B101,2,1)*K403*$L403*$M403,0)+IF(ISNUMBER(O403), VLOOKUP(O403/$AH403,F!$A1:$B101,2,1)*O403*$P403*$Q403,0)+IF(ISNUMBER(S403), VLOOKUP(S403/$AH403,F!$A1:$B101,2,1)*S403*$T403*$U403,0)+IF(ISNUMBER(W403), VLOOKUP(W403/$AH403,F!$A1:$B101,2,1)*W403*$X403*$Y403,0)+IF(ISNUMBER(AA403), VLOOKUP(AA403/$AH403,F!$A1:$B101,2,1)*AA403*$AB403*$AC403,0))*IF(ISNUMBER(F403),F403,1)*IF(ISNUMBER(E403),E403,1)</f>
        <v>0</v>
      </c>
      <c r="AJ403" s="96">
        <f t="shared" si="773"/>
        <v>0</v>
      </c>
      <c r="AK403" s="97">
        <f t="array" ref="AK403">IFERROR(I403*INDEX(F!$P$21:$AB$33, MATCH(G403/$AH403, F!$O$21:$O$33,1), MATCH(E403, F!$P$20:$AB$20,1)), 0 ) +IFERROR( M403*INDEX(F!$P$21:$AB$33, MATCH(K403/$AH403, F!$O$21:$O$33,1), MATCH(E403, F!$P$20:$AB$20,1)),0) +  IFERROR( Q403*INDEX(F!$P$21:$AB$33, MATCH(O403/$AH403, F!$O$21:$O$33,1), MATCH(E403, F!$P$20:$AB$20,1)), 0) + IFERROR( U403*INDEX(F!$P$21:$AB$33, MATCH(S403/$AH403, F!$O$21:$O$33,1), MATCH(E403, F!$P$20:$AB$20,1)),0)  + IFERROR(Y403*INDEX(F!$P$21:$AB$33, MATCH(W403/$AH403, F!$O$21:$O$33,1), MATCH(E403, F!$P$20:$AB$20,1)),0)  + IFERROR( AC403*INDEX(F!$P$21:$AB$33, MATCH(AA403/$AH403, F!$O$21:$O$33,1), MATCH(E403, F!$P$20:$AB$20,1)),)</f>
        <v>0</v>
      </c>
      <c r="AL403" s="5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ht="15.75" hidden="1" customHeight="1">
      <c r="A404" s="98"/>
      <c r="B404" s="99"/>
      <c r="C404" s="100"/>
      <c r="D404" s="101"/>
      <c r="E404" s="102">
        <f>ROUND(IFERROR(SUMPRODUCT(AJ396:AJ403,E396:E403)/AJ404,0),3)</f>
        <v>0</v>
      </c>
      <c r="F404" s="199"/>
      <c r="G404" s="104"/>
      <c r="H404" s="105"/>
      <c r="I404" s="105"/>
      <c r="J404" s="106"/>
      <c r="K404" s="104"/>
      <c r="L404" s="105"/>
      <c r="M404" s="105"/>
      <c r="N404" s="106"/>
      <c r="O404" s="104"/>
      <c r="P404" s="105"/>
      <c r="Q404" s="105"/>
      <c r="R404" s="106"/>
      <c r="S404" s="104"/>
      <c r="T404" s="105"/>
      <c r="U404" s="105"/>
      <c r="V404" s="106"/>
      <c r="W404" s="104"/>
      <c r="X404" s="105"/>
      <c r="Y404" s="105"/>
      <c r="Z404" s="106"/>
      <c r="AA404" s="104"/>
      <c r="AB404" s="105"/>
      <c r="AC404" s="105"/>
      <c r="AD404" s="106"/>
      <c r="AE404" s="107">
        <f>SUM(AE396:AE403)</f>
        <v>0</v>
      </c>
      <c r="AF404" s="108">
        <f t="shared" si="770"/>
        <v>0</v>
      </c>
      <c r="AG404" s="109">
        <f>IFERROR(  SUMPRODUCT(AG396:AG403,AJ396:AJ403)/AJ404,0)</f>
        <v>0</v>
      </c>
      <c r="AH404" s="157"/>
      <c r="AI404" s="111">
        <f t="shared" ref="AI404:AJ404" si="780">SUM(AI396:AI403)</f>
        <v>0</v>
      </c>
      <c r="AJ404" s="111">
        <f t="shared" si="780"/>
        <v>0</v>
      </c>
      <c r="AK404" s="112">
        <f>IF(SUM(AK396:AK403)=0,TIME(,0,),TIME(,SUM(AK396:AK403)+F!$V$37,))</f>
        <v>0</v>
      </c>
      <c r="AL404" s="98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ht="15.75" hidden="1" customHeight="1">
      <c r="A405" s="113">
        <f>A406</f>
        <v>43831</v>
      </c>
      <c r="B405" s="114" t="str">
        <f t="shared" ref="B405:F405" si="781">IF(B349="","",B349)</f>
        <v>Тяжелая</v>
      </c>
      <c r="C405" s="115" t="str">
        <f t="shared" si="781"/>
        <v>ТГ</v>
      </c>
      <c r="D405" s="116" t="str">
        <f t="shared" si="781"/>
        <v>Становая тяга</v>
      </c>
      <c r="E405" s="29">
        <f t="shared" si="781"/>
        <v>1.4</v>
      </c>
      <c r="F405" s="117" t="str">
        <f t="shared" si="781"/>
        <v/>
      </c>
      <c r="G405" s="118" t="str">
        <f t="shared" ref="G405:G412" si="783">IF(J405&lt;&gt;0, IFERROR(IF( $F405=2,  MROUND($AH405*J405,1),    IF( OR($F405="",$F405=1),   MROUND($AH405*J405,2.5),  MROUND($AH405*J405, 0.1))), "" ), "")</f>
        <v/>
      </c>
      <c r="H405" s="119"/>
      <c r="I405" s="119"/>
      <c r="J405" s="120"/>
      <c r="K405" s="118" t="str">
        <f t="shared" ref="K405:K412" si="784">IF(N405&lt;&gt;0, IFERROR(IF( $F405=2,  MROUND($AH405*N405,1),    IF( OR($F405="",$F405=1),   MROUND($AH405*N405,2.5),  MROUND($AH405*N405, 0.1))), "" ), "")</f>
        <v/>
      </c>
      <c r="L405" s="119"/>
      <c r="M405" s="119"/>
      <c r="N405" s="120"/>
      <c r="O405" s="118" t="str">
        <f t="shared" ref="O405:O412" si="785">IF(R405&lt;&gt;0, IFERROR(IF( $F405=2,  MROUND($AH405*R405,1),    IF( OR($F405="",$F405=1),   MROUND($AH405*R405,2.5),  MROUND($AH405*R405, 0.1))), "" ), "")</f>
        <v/>
      </c>
      <c r="P405" s="119"/>
      <c r="Q405" s="119"/>
      <c r="R405" s="120"/>
      <c r="S405" s="118" t="str">
        <f t="shared" ref="S405:S412" si="786">IF(V405&lt;&gt;0, IFERROR(IF( $F405=2,  MROUND($AH405*V405,1),    IF( OR($F405="",$F405=1),   MROUND($AH405*V405,2.5),  MROUND($AH405*V405, 0.1))), "" ), "")</f>
        <v/>
      </c>
      <c r="T405" s="119"/>
      <c r="U405" s="119"/>
      <c r="V405" s="120"/>
      <c r="W405" s="118" t="str">
        <f t="shared" ref="W405:W412" si="787">IF(Z405&lt;&gt;0, IFERROR(IF( $F405=2,  MROUND($AH405*Z405,1),    IF( OR($F405="",$F405=1),   MROUND($AH405*Z405,2.5),  MROUND($AH405*Z405, 0.1))), "" ), "")</f>
        <v/>
      </c>
      <c r="X405" s="119"/>
      <c r="Y405" s="119"/>
      <c r="Z405" s="120"/>
      <c r="AA405" s="118" t="str">
        <f t="shared" ref="AA405:AA412" si="788">IF(AD405&lt;&gt;0, IFERROR(IF( $F405=2,  MROUND($AH405*AD405,1),    IF( OR($F405="",$F405=1),   MROUND($AH405*AD405,2.5),  MROUND($AH405*AD405, 0.1))), "" ), "")</f>
        <v/>
      </c>
      <c r="AB405" s="119"/>
      <c r="AC405" s="119"/>
      <c r="AD405" s="120"/>
      <c r="AE405" s="121">
        <f t="shared" ref="AE405:AE412" si="789">(IF(ISNUMBER(G405),G405,0)*H405*I405+IF(ISNUMBER(K405),K405,1)*L405*M405+IF(ISNUMBER(O405),O405,1)*P405*Q405+IF(ISNUMBER(S405),S405,1)*T405*U405+IF(ISNUMBER(W405),W405,1)*X405*Y405+IF(ISNUMBER(AA405),AA405,1)*AB405*AC405)*IF(ISNUMBER(F405),F405,1)</f>
        <v>0</v>
      </c>
      <c r="AF405" s="122">
        <f t="shared" si="770"/>
        <v>0</v>
      </c>
      <c r="AG405" s="200">
        <f t="shared" ref="AG405:AG412" si="790">IFERROR((AF405/(AH405*IF(ISNUMBER(F405),F405,1))),0)</f>
        <v>0</v>
      </c>
      <c r="AH405" s="169">
        <f t="shared" ref="AH405:AH412" si="791">IF(ISNUMBER(AH349), AH349+(AH349*$AH$394),"")</f>
        <v>212.5068485</v>
      </c>
      <c r="AI405" s="122">
        <f> ( IF(ISNUMBER(G405), VLOOKUP(G405/$AH405,F!$A1:$B101,2,1)*G405*$H405*$I405,0)+IF(ISNUMBER(K405), VLOOKUP(K405/$AH405,F!$A1:$B101,2,1)*K405*$L405*$M405,0)+IF(ISNUMBER(O405), VLOOKUP(O405/$AH405,F!$A1:$B101,2,1)*O405*$P405*$Q405,0)+IF(ISNUMBER(S405), VLOOKUP(S405/$AH405,F!$A1:$B101,2,1)*S405*$T405*$U405,0)+IF(ISNUMBER(W405), VLOOKUP(W405/$AH405,F!$A1:$B101,2,1)*W405*$X405*$Y405,0)+IF(ISNUMBER(AA405), VLOOKUP(AA405/$AH405,F!$A1:$B101,2,1)*AA405*$AB405*$AC405,0))*IF(ISNUMBER(F405),F405,1)*IF(ISNUMBER(E405),E405,1)</f>
        <v>0</v>
      </c>
      <c r="AJ405" s="119">
        <f t="shared" ref="AJ405:AJ412" si="792">H405*I405+L405*M405+P405*Q405+T405*U405+X405*Y405+AB405*AC405</f>
        <v>0</v>
      </c>
      <c r="AK405" s="125">
        <f t="array" ref="AK405">IFERROR(I405*INDEX(F!$P$21:$AB$33, MATCH(G405/$AH405, F!$O$21:$O$33,1), MATCH(E405, F!$P$20:$AB$20,1)), 0 ) +IFERROR( M405*INDEX(F!$P$21:$AB$33, MATCH(K405/$AH405, F!$O$21:$O$33,1), MATCH(E405, F!$P$20:$AB$20,1)),0) +  IFERROR( Q405*INDEX(F!$P$21:$AB$33, MATCH(O405/$AH405, F!$O$21:$O$33,1), MATCH(E405, F!$P$20:$AB$20,1)), 0) + IFERROR( U405*INDEX(F!$P$21:$AB$33, MATCH(S405/$AH405, F!$O$21:$O$33,1), MATCH(E405, F!$P$20:$AB$20,1)),0)  + IFERROR(Y405*INDEX(F!$P$21:$AB$33, MATCH(W405/$AH405, F!$O$21:$O$33,1), MATCH(E405, F!$P$20:$AB$20,1)),0)  + IFERROR( AC405*INDEX(F!$P$21:$AB$33, MATCH(AA405/$AH405, F!$O$21:$O$33,1), MATCH(E405, F!$P$20:$AB$20,1)),)</f>
        <v>0</v>
      </c>
      <c r="AL405" s="42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ht="15.75" hidden="1" customHeight="1">
      <c r="A406" s="44">
        <f>A350+A338</f>
        <v>43831</v>
      </c>
      <c r="B406" s="126" t="str">
        <f t="shared" ref="B406:F406" si="782">IF(B350="","",B350)</f>
        <v>Средняя</v>
      </c>
      <c r="C406" s="127" t="str">
        <f t="shared" si="782"/>
        <v>ЖМ</v>
      </c>
      <c r="D406" s="128" t="str">
        <f t="shared" si="782"/>
        <v>Жим лежа</v>
      </c>
      <c r="E406" s="48">
        <f t="shared" si="782"/>
        <v>1</v>
      </c>
      <c r="F406" s="129" t="str">
        <f t="shared" si="782"/>
        <v/>
      </c>
      <c r="G406" s="130" t="str">
        <f t="shared" si="783"/>
        <v/>
      </c>
      <c r="H406" s="34"/>
      <c r="I406" s="34"/>
      <c r="J406" s="65"/>
      <c r="K406" s="130" t="str">
        <f t="shared" si="784"/>
        <v/>
      </c>
      <c r="L406" s="34"/>
      <c r="M406" s="34"/>
      <c r="N406" s="65"/>
      <c r="O406" s="130" t="str">
        <f t="shared" si="785"/>
        <v/>
      </c>
      <c r="P406" s="34"/>
      <c r="Q406" s="34"/>
      <c r="R406" s="65"/>
      <c r="S406" s="130" t="str">
        <f t="shared" si="786"/>
        <v/>
      </c>
      <c r="T406" s="34"/>
      <c r="U406" s="34"/>
      <c r="V406" s="65"/>
      <c r="W406" s="130" t="str">
        <f t="shared" si="787"/>
        <v/>
      </c>
      <c r="X406" s="34"/>
      <c r="Y406" s="34"/>
      <c r="Z406" s="65"/>
      <c r="AA406" s="130" t="str">
        <f t="shared" si="788"/>
        <v/>
      </c>
      <c r="AB406" s="34"/>
      <c r="AC406" s="34"/>
      <c r="AD406" s="65"/>
      <c r="AE406" s="131">
        <f t="shared" si="789"/>
        <v>0</v>
      </c>
      <c r="AF406" s="132">
        <f t="shared" si="770"/>
        <v>0</v>
      </c>
      <c r="AG406" s="133">
        <f t="shared" si="790"/>
        <v>0</v>
      </c>
      <c r="AH406" s="76">
        <f t="shared" si="791"/>
        <v>109.1251384</v>
      </c>
      <c r="AI406" s="132">
        <f> ( IF(ISNUMBER(G406), VLOOKUP(G406/$AH406,F!$A1:$B101,2,1)*G406*$H406*$I406,0)+IF(ISNUMBER(K406), VLOOKUP(K406/$AH406,F!$A1:$B101,2,1)*K406*$L406*$M406,0)+IF(ISNUMBER(O406), VLOOKUP(O406/$AH406,F!$A1:$B101,2,1)*O406*$P406*$Q406,0)+IF(ISNUMBER(S406), VLOOKUP(S406/$AH406,F!$A1:$B101,2,1)*S406*$T406*$U406,0)+IF(ISNUMBER(W406), VLOOKUP(W406/$AH406,F!$A1:$B101,2,1)*W406*$X406*$Y406,0)+IF(ISNUMBER(AA406), VLOOKUP(AA406/$AH406,F!$A1:$B101,2,1)*AA406*$AB406*$AC406,0))*IF(ISNUMBER(F406),F406,1)*IF(ISNUMBER(E406),E406,1)</f>
        <v>0</v>
      </c>
      <c r="AJ406" s="34">
        <f t="shared" si="792"/>
        <v>0</v>
      </c>
      <c r="AK406" s="134">
        <f t="array" ref="AK406">IFERROR(I406*INDEX(F!$P$21:$AB$33, MATCH(G406/$AH406, F!$O$21:$O$33,1), MATCH(E406, F!$P$20:$AB$20,1)), 0 ) +IFERROR( M406*INDEX(F!$P$21:$AB$33, MATCH(K406/$AH406, F!$O$21:$O$33,1), MATCH(E406, F!$P$20:$AB$20,1)),0) +  IFERROR( Q406*INDEX(F!$P$21:$AB$33, MATCH(O406/$AH406, F!$O$21:$O$33,1), MATCH(E406, F!$P$20:$AB$20,1)), 0) + IFERROR( U406*INDEX(F!$P$21:$AB$33, MATCH(S406/$AH406, F!$O$21:$O$33,1), MATCH(E406, F!$P$20:$AB$20,1)),0)  + IFERROR(Y406*INDEX(F!$P$21:$AB$33, MATCH(W406/$AH406, F!$O$21:$O$33,1), MATCH(E406, F!$P$20:$AB$20,1)),0)  + IFERROR( AC406*INDEX(F!$P$21:$AB$33, MATCH(AA406/$AH406, F!$O$21:$O$33,1), MATCH(E406, F!$P$20:$AB$20,1)),)</f>
        <v>0</v>
      </c>
      <c r="AL406" s="5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ht="15.75" hidden="1" customHeight="1">
      <c r="A407" s="59"/>
      <c r="B407" s="135" t="str">
        <f t="shared" ref="B407:F407" si="793">IF(B351="","",B351)</f>
        <v>Легкая</v>
      </c>
      <c r="C407" s="136" t="str">
        <f t="shared" si="793"/>
        <v>ОФП</v>
      </c>
      <c r="D407" s="137" t="str">
        <f t="shared" si="793"/>
        <v>Наклоны со штангой</v>
      </c>
      <c r="E407" s="48">
        <f t="shared" si="793"/>
        <v>0.8</v>
      </c>
      <c r="F407" s="138" t="str">
        <f t="shared" si="793"/>
        <v/>
      </c>
      <c r="G407" s="139" t="str">
        <f t="shared" si="783"/>
        <v/>
      </c>
      <c r="H407" s="140"/>
      <c r="I407" s="140"/>
      <c r="J407" s="141"/>
      <c r="K407" s="139" t="str">
        <f t="shared" si="784"/>
        <v/>
      </c>
      <c r="L407" s="140"/>
      <c r="M407" s="140"/>
      <c r="N407" s="141"/>
      <c r="O407" s="139" t="str">
        <f t="shared" si="785"/>
        <v/>
      </c>
      <c r="P407" s="140"/>
      <c r="Q407" s="140"/>
      <c r="R407" s="141"/>
      <c r="S407" s="139" t="str">
        <f t="shared" si="786"/>
        <v/>
      </c>
      <c r="T407" s="140"/>
      <c r="U407" s="140"/>
      <c r="V407" s="141"/>
      <c r="W407" s="139" t="str">
        <f t="shared" si="787"/>
        <v/>
      </c>
      <c r="X407" s="140"/>
      <c r="Y407" s="140"/>
      <c r="Z407" s="141"/>
      <c r="AA407" s="139" t="str">
        <f t="shared" si="788"/>
        <v/>
      </c>
      <c r="AB407" s="140"/>
      <c r="AC407" s="140"/>
      <c r="AD407" s="141"/>
      <c r="AE407" s="142">
        <f t="shared" si="789"/>
        <v>0</v>
      </c>
      <c r="AF407" s="143">
        <f t="shared" si="770"/>
        <v>0</v>
      </c>
      <c r="AG407" s="144">
        <f t="shared" si="790"/>
        <v>0</v>
      </c>
      <c r="AH407" s="76">
        <f t="shared" si="791"/>
        <v>116.8787667</v>
      </c>
      <c r="AI407" s="143">
        <f> ( IF(ISNUMBER(G407), VLOOKUP(G407/$AH407,F!$A1:$B101,2,1)*G407*$H407*$I407,0)+IF(ISNUMBER(K407), VLOOKUP(K407/$AH407,F!$A1:$B101,2,1)*K407*$L407*$M407,0)+IF(ISNUMBER(O407), VLOOKUP(O407/$AH407,F!$A1:$B101,2,1)*O407*$P407*$Q407,0)+IF(ISNUMBER(S407), VLOOKUP(S407/$AH407,F!$A1:$B101,2,1)*S407*$T407*$U407,0)+IF(ISNUMBER(W407), VLOOKUP(W407/$AH407,F!$A1:$B101,2,1)*W407*$X407*$Y407,0)+IF(ISNUMBER(AA407), VLOOKUP(AA407/$AH407,F!$A1:$B101,2,1)*AA407*$AB407*$AC407,0))*IF(ISNUMBER(F407),F407,1)*IF(ISNUMBER(E407),E407,1)</f>
        <v>0</v>
      </c>
      <c r="AJ407" s="140">
        <f t="shared" si="792"/>
        <v>0</v>
      </c>
      <c r="AK407" s="145">
        <f t="array" ref="AK407">IFERROR(I407*INDEX(F!$P$21:$AB$33, MATCH(G407/$AH407, F!$O$21:$O$33,1), MATCH(E407, F!$P$20:$AB$20,1)), 0 ) +IFERROR( M407*INDEX(F!$P$21:$AB$33, MATCH(K407/$AH407, F!$O$21:$O$33,1), MATCH(E407, F!$P$20:$AB$20,1)),0) +  IFERROR( Q407*INDEX(F!$P$21:$AB$33, MATCH(O407/$AH407, F!$O$21:$O$33,1), MATCH(E407, F!$P$20:$AB$20,1)), 0) + IFERROR( U407*INDEX(F!$P$21:$AB$33, MATCH(S407/$AH407, F!$O$21:$O$33,1), MATCH(E407, F!$P$20:$AB$20,1)),0)  + IFERROR(Y407*INDEX(F!$P$21:$AB$33, MATCH(W407/$AH407, F!$O$21:$O$33,1), MATCH(E407, F!$P$20:$AB$20,1)),0)  + IFERROR( AC407*INDEX(F!$P$21:$AB$33, MATCH(AA407/$AH407, F!$O$21:$O$33,1), MATCH(E407, F!$P$20:$AB$20,1)),)</f>
        <v>0</v>
      </c>
      <c r="AL407" s="5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ht="15.75" hidden="1" customHeight="1">
      <c r="A408" s="59"/>
      <c r="B408" s="126" t="str">
        <f t="shared" ref="B408:F408" si="794">IF(B352="","",B352)</f>
        <v>Средняя</v>
      </c>
      <c r="C408" s="127" t="str">
        <f t="shared" si="794"/>
        <v>ОФП</v>
      </c>
      <c r="D408" s="128" t="str">
        <f t="shared" si="794"/>
        <v>Жим стоя</v>
      </c>
      <c r="E408" s="48">
        <f t="shared" si="794"/>
        <v>1</v>
      </c>
      <c r="F408" s="129" t="str">
        <f t="shared" si="794"/>
        <v/>
      </c>
      <c r="G408" s="130" t="str">
        <f t="shared" si="783"/>
        <v/>
      </c>
      <c r="H408" s="34"/>
      <c r="I408" s="34"/>
      <c r="J408" s="65"/>
      <c r="K408" s="130" t="str">
        <f t="shared" si="784"/>
        <v/>
      </c>
      <c r="L408" s="34"/>
      <c r="M408" s="34"/>
      <c r="N408" s="65"/>
      <c r="O408" s="130" t="str">
        <f t="shared" si="785"/>
        <v/>
      </c>
      <c r="P408" s="34"/>
      <c r="Q408" s="34"/>
      <c r="R408" s="65"/>
      <c r="S408" s="130" t="str">
        <f t="shared" si="786"/>
        <v/>
      </c>
      <c r="T408" s="34"/>
      <c r="U408" s="34"/>
      <c r="V408" s="65"/>
      <c r="W408" s="130" t="str">
        <f t="shared" si="787"/>
        <v/>
      </c>
      <c r="X408" s="34"/>
      <c r="Y408" s="34"/>
      <c r="Z408" s="65"/>
      <c r="AA408" s="130" t="str">
        <f t="shared" si="788"/>
        <v/>
      </c>
      <c r="AB408" s="34"/>
      <c r="AC408" s="34"/>
      <c r="AD408" s="65"/>
      <c r="AE408" s="131">
        <f t="shared" si="789"/>
        <v>0</v>
      </c>
      <c r="AF408" s="132">
        <f t="shared" si="770"/>
        <v>0</v>
      </c>
      <c r="AG408" s="133">
        <f t="shared" si="790"/>
        <v>0</v>
      </c>
      <c r="AH408" s="76">
        <f t="shared" si="791"/>
        <v>65.47508306</v>
      </c>
      <c r="AI408" s="132">
        <f> ( IF(ISNUMBER(G408), VLOOKUP(G408/$AH408,F!$A1:$B101,2,1)*G408*$H408*$I408,0)+IF(ISNUMBER(K408), VLOOKUP(K408/$AH408,F!$A1:$B101,2,1)*K408*$L408*$M408,0)+IF(ISNUMBER(O408), VLOOKUP(O408/$AH408,F!$A1:$B101,2,1)*O408*$P408*$Q408,0)+IF(ISNUMBER(S408), VLOOKUP(S408/$AH408,F!$A1:$B101,2,1)*S408*$T408*$U408,0)+IF(ISNUMBER(W408), VLOOKUP(W408/$AH408,F!$A1:$B101,2,1)*W408*$X408*$Y408,0)+IF(ISNUMBER(AA408), VLOOKUP(AA408/$AH408,F!$A1:$B101,2,1)*AA408*$AB408*$AC408,0))*IF(ISNUMBER(F408),F408,1)*IF(ISNUMBER(E408),E408,1)</f>
        <v>0</v>
      </c>
      <c r="AJ408" s="34">
        <f t="shared" si="792"/>
        <v>0</v>
      </c>
      <c r="AK408" s="134">
        <f t="array" ref="AK408">IFERROR(I408*INDEX(F!$P$21:$AB$33, MATCH(G408/$AH408, F!$O$21:$O$33,1), MATCH(E408, F!$P$20:$AB$20,1)), 0 ) +IFERROR( M408*INDEX(F!$P$21:$AB$33, MATCH(K408/$AH408, F!$O$21:$O$33,1), MATCH(E408, F!$P$20:$AB$20,1)),0) +  IFERROR( Q408*INDEX(F!$P$21:$AB$33, MATCH(O408/$AH408, F!$O$21:$O$33,1), MATCH(E408, F!$P$20:$AB$20,1)), 0) + IFERROR( U408*INDEX(F!$P$21:$AB$33, MATCH(S408/$AH408, F!$O$21:$O$33,1), MATCH(E408, F!$P$20:$AB$20,1)),0)  + IFERROR(Y408*INDEX(F!$P$21:$AB$33, MATCH(W408/$AH408, F!$O$21:$O$33,1), MATCH(E408, F!$P$20:$AB$20,1)),0)  + IFERROR( AC408*INDEX(F!$P$21:$AB$33, MATCH(AA408/$AH408, F!$O$21:$O$33,1), MATCH(E408, F!$P$20:$AB$20,1)),)</f>
        <v>0</v>
      </c>
      <c r="AL408" s="5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ht="15.75" hidden="1" customHeight="1">
      <c r="A409" s="59"/>
      <c r="B409" s="135" t="str">
        <f t="shared" ref="B409:F409" si="795">IF(B353="","",B353)</f>
        <v>Средняя</v>
      </c>
      <c r="C409" s="136" t="str">
        <f t="shared" si="795"/>
        <v>ЖМ</v>
      </c>
      <c r="D409" s="137" t="str">
        <f t="shared" si="795"/>
        <v>Жим средним хватом</v>
      </c>
      <c r="E409" s="48">
        <f t="shared" si="795"/>
        <v>1</v>
      </c>
      <c r="F409" s="138" t="str">
        <f t="shared" si="795"/>
        <v/>
      </c>
      <c r="G409" s="139" t="str">
        <f t="shared" si="783"/>
        <v/>
      </c>
      <c r="H409" s="140"/>
      <c r="I409" s="140"/>
      <c r="J409" s="141"/>
      <c r="K409" s="139" t="str">
        <f t="shared" si="784"/>
        <v/>
      </c>
      <c r="L409" s="140"/>
      <c r="M409" s="140"/>
      <c r="N409" s="141"/>
      <c r="O409" s="139" t="str">
        <f t="shared" si="785"/>
        <v/>
      </c>
      <c r="P409" s="140"/>
      <c r="Q409" s="140"/>
      <c r="R409" s="141"/>
      <c r="S409" s="139" t="str">
        <f t="shared" si="786"/>
        <v/>
      </c>
      <c r="T409" s="140"/>
      <c r="U409" s="140"/>
      <c r="V409" s="141"/>
      <c r="W409" s="139" t="str">
        <f t="shared" si="787"/>
        <v/>
      </c>
      <c r="X409" s="140"/>
      <c r="Y409" s="140"/>
      <c r="Z409" s="141"/>
      <c r="AA409" s="139" t="str">
        <f t="shared" si="788"/>
        <v/>
      </c>
      <c r="AB409" s="140"/>
      <c r="AC409" s="140"/>
      <c r="AD409" s="141"/>
      <c r="AE409" s="142">
        <f t="shared" si="789"/>
        <v>0</v>
      </c>
      <c r="AF409" s="143">
        <f t="shared" si="770"/>
        <v>0</v>
      </c>
      <c r="AG409" s="144">
        <f t="shared" si="790"/>
        <v>0</v>
      </c>
      <c r="AH409" s="76">
        <f t="shared" si="791"/>
        <v>92.75636766</v>
      </c>
      <c r="AI409" s="143">
        <f> ( IF(ISNUMBER(G409), VLOOKUP(G409/$AH409,F!$A1:$B101,2,1)*G409*$H409*$I409,0)+IF(ISNUMBER(K409), VLOOKUP(K409/$AH409,F!$A1:$B101,2,1)*K409*$L409*$M409,0)+IF(ISNUMBER(O409), VLOOKUP(O409/$AH409,F!$A1:$B101,2,1)*O409*$P409*$Q409,0)+IF(ISNUMBER(S409), VLOOKUP(S409/$AH409,F!$A1:$B101,2,1)*S409*$T409*$U409,0)+IF(ISNUMBER(W409), VLOOKUP(W409/$AH409,F!$A1:$B101,2,1)*W409*$X409*$Y409,0)+IF(ISNUMBER(AA409), VLOOKUP(AA409/$AH409,F!$A1:$B101,2,1)*AA409*$AB409*$AC409,0))*IF(ISNUMBER(F409),F409,1)*IF(ISNUMBER(E409),E409,1)</f>
        <v>0</v>
      </c>
      <c r="AJ409" s="140">
        <f t="shared" si="792"/>
        <v>0</v>
      </c>
      <c r="AK409" s="145">
        <f t="array" ref="AK409">IFERROR(I409*INDEX(F!$P$21:$AB$33, MATCH(G409/$AH409, F!$O$21:$O$33,1), MATCH(E409, F!$P$20:$AB$20,1)), 0 ) +IFERROR( M409*INDEX(F!$P$21:$AB$33, MATCH(K409/$AH409, F!$O$21:$O$33,1), MATCH(E409, F!$P$20:$AB$20,1)),0) +  IFERROR( Q409*INDEX(F!$P$21:$AB$33, MATCH(O409/$AH409, F!$O$21:$O$33,1), MATCH(E409, F!$P$20:$AB$20,1)), 0) + IFERROR( U409*INDEX(F!$P$21:$AB$33, MATCH(S409/$AH409, F!$O$21:$O$33,1), MATCH(E409, F!$P$20:$AB$20,1)),0)  + IFERROR(Y409*INDEX(F!$P$21:$AB$33, MATCH(W409/$AH409, F!$O$21:$O$33,1), MATCH(E409, F!$P$20:$AB$20,1)),0)  + IFERROR( AC409*INDEX(F!$P$21:$AB$33, MATCH(AA409/$AH409, F!$O$21:$O$33,1), MATCH(E409, F!$P$20:$AB$20,1)),)</f>
        <v>0</v>
      </c>
      <c r="AL409" s="5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ht="15.75" hidden="1" customHeight="1">
      <c r="A410" s="59"/>
      <c r="B410" s="126" t="str">
        <f t="shared" ref="B410:F410" si="796">IF(B354="","",B354)</f>
        <v/>
      </c>
      <c r="C410" s="127" t="str">
        <f t="shared" si="796"/>
        <v/>
      </c>
      <c r="D410" s="128" t="str">
        <f t="shared" si="796"/>
        <v/>
      </c>
      <c r="E410" s="48" t="str">
        <f t="shared" si="796"/>
        <v/>
      </c>
      <c r="F410" s="129" t="str">
        <f t="shared" si="796"/>
        <v/>
      </c>
      <c r="G410" s="130" t="str">
        <f t="shared" si="783"/>
        <v/>
      </c>
      <c r="H410" s="34"/>
      <c r="I410" s="34"/>
      <c r="J410" s="65"/>
      <c r="K410" s="130" t="str">
        <f t="shared" si="784"/>
        <v/>
      </c>
      <c r="L410" s="34"/>
      <c r="M410" s="34"/>
      <c r="N410" s="65"/>
      <c r="O410" s="130" t="str">
        <f t="shared" si="785"/>
        <v/>
      </c>
      <c r="P410" s="34"/>
      <c r="Q410" s="34"/>
      <c r="R410" s="65"/>
      <c r="S410" s="130" t="str">
        <f t="shared" si="786"/>
        <v/>
      </c>
      <c r="T410" s="34"/>
      <c r="U410" s="34"/>
      <c r="V410" s="65"/>
      <c r="W410" s="130" t="str">
        <f t="shared" si="787"/>
        <v/>
      </c>
      <c r="X410" s="34"/>
      <c r="Y410" s="34"/>
      <c r="Z410" s="65"/>
      <c r="AA410" s="130" t="str">
        <f t="shared" si="788"/>
        <v/>
      </c>
      <c r="AB410" s="34"/>
      <c r="AC410" s="34"/>
      <c r="AD410" s="65"/>
      <c r="AE410" s="131">
        <f t="shared" si="789"/>
        <v>0</v>
      </c>
      <c r="AF410" s="132">
        <f t="shared" si="770"/>
        <v>0</v>
      </c>
      <c r="AG410" s="133">
        <f t="shared" si="790"/>
        <v>0</v>
      </c>
      <c r="AH410" s="76" t="str">
        <f t="shared" si="791"/>
        <v/>
      </c>
      <c r="AI410" s="132">
        <f> ( IF(ISNUMBER(G410), VLOOKUP(G410/$AH410,F!$A1:$B101,2,1)*G410*$H410*$I410,0)+IF(ISNUMBER(K410), VLOOKUP(K410/$AH410,F!$A1:$B101,2,1)*K410*$L410*$M410,0)+IF(ISNUMBER(O410), VLOOKUP(O410/$AH410,F!$A1:$B101,2,1)*O410*$P410*$Q410,0)+IF(ISNUMBER(S410), VLOOKUP(S410/$AH410,F!$A1:$B101,2,1)*S410*$T410*$U410,0)+IF(ISNUMBER(W410), VLOOKUP(W410/$AH410,F!$A1:$B101,2,1)*W410*$X410*$Y410,0)+IF(ISNUMBER(AA410), VLOOKUP(AA410/$AH410,F!$A1:$B101,2,1)*AA410*$AB410*$AC410,0))*IF(ISNUMBER(F410),F410,1)*IF(ISNUMBER(E410),E410,1)</f>
        <v>0</v>
      </c>
      <c r="AJ410" s="34">
        <f t="shared" si="792"/>
        <v>0</v>
      </c>
      <c r="AK410" s="134">
        <f t="array" ref="AK410">IFERROR(I410*INDEX(F!$P$21:$AB$33, MATCH(G410/$AH410, F!$O$21:$O$33,1), MATCH(E410, F!$P$20:$AB$20,1)), 0 ) +IFERROR( M410*INDEX(F!$P$21:$AB$33, MATCH(K410/$AH410, F!$O$21:$O$33,1), MATCH(E410, F!$P$20:$AB$20,1)),0) +  IFERROR( Q410*INDEX(F!$P$21:$AB$33, MATCH(O410/$AH410, F!$O$21:$O$33,1), MATCH(E410, F!$P$20:$AB$20,1)), 0) + IFERROR( U410*INDEX(F!$P$21:$AB$33, MATCH(S410/$AH410, F!$O$21:$O$33,1), MATCH(E410, F!$P$20:$AB$20,1)),0)  + IFERROR(Y410*INDEX(F!$P$21:$AB$33, MATCH(W410/$AH410, F!$O$21:$O$33,1), MATCH(E410, F!$P$20:$AB$20,1)),0)  + IFERROR( AC410*INDEX(F!$P$21:$AB$33, MATCH(AA410/$AH410, F!$O$21:$O$33,1), MATCH(E410, F!$P$20:$AB$20,1)),)</f>
        <v>0</v>
      </c>
      <c r="AL410" s="5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ht="15.75" hidden="1" customHeight="1">
      <c r="A411" s="59"/>
      <c r="B411" s="135" t="str">
        <f t="shared" ref="B411:F411" si="797">IF(B355="","",B355)</f>
        <v/>
      </c>
      <c r="C411" s="136" t="str">
        <f t="shared" si="797"/>
        <v/>
      </c>
      <c r="D411" s="137" t="str">
        <f t="shared" si="797"/>
        <v/>
      </c>
      <c r="E411" s="48" t="str">
        <f t="shared" si="797"/>
        <v/>
      </c>
      <c r="F411" s="138" t="str">
        <f t="shared" si="797"/>
        <v/>
      </c>
      <c r="G411" s="139" t="str">
        <f t="shared" si="783"/>
        <v/>
      </c>
      <c r="H411" s="140"/>
      <c r="I411" s="140"/>
      <c r="J411" s="141"/>
      <c r="K411" s="139" t="str">
        <f t="shared" si="784"/>
        <v/>
      </c>
      <c r="L411" s="140"/>
      <c r="M411" s="140"/>
      <c r="N411" s="141"/>
      <c r="O411" s="139" t="str">
        <f t="shared" si="785"/>
        <v/>
      </c>
      <c r="P411" s="140"/>
      <c r="Q411" s="140"/>
      <c r="R411" s="141"/>
      <c r="S411" s="139" t="str">
        <f t="shared" si="786"/>
        <v/>
      </c>
      <c r="T411" s="140"/>
      <c r="U411" s="140"/>
      <c r="V411" s="141"/>
      <c r="W411" s="139" t="str">
        <f t="shared" si="787"/>
        <v/>
      </c>
      <c r="X411" s="140"/>
      <c r="Y411" s="140"/>
      <c r="Z411" s="141"/>
      <c r="AA411" s="139" t="str">
        <f t="shared" si="788"/>
        <v/>
      </c>
      <c r="AB411" s="140"/>
      <c r="AC411" s="140"/>
      <c r="AD411" s="141"/>
      <c r="AE411" s="142">
        <f t="shared" si="789"/>
        <v>0</v>
      </c>
      <c r="AF411" s="143">
        <f t="shared" si="770"/>
        <v>0</v>
      </c>
      <c r="AG411" s="144">
        <f t="shared" si="790"/>
        <v>0</v>
      </c>
      <c r="AH411" s="76" t="str">
        <f t="shared" si="791"/>
        <v/>
      </c>
      <c r="AI411" s="143">
        <f> ( IF(ISNUMBER(G411), VLOOKUP(G411/$AH411,F!$A1:$B101,2,1)*G411*$H411*$I411,0)+IF(ISNUMBER(K411), VLOOKUP(K411/$AH411,F!$A1:$B101,2,1)*K411*$L411*$M411,0)+IF(ISNUMBER(O411), VLOOKUP(O411/$AH411,F!$A1:$B101,2,1)*O411*$P411*$Q411,0)+IF(ISNUMBER(S411), VLOOKUP(S411/$AH411,F!$A1:$B101,2,1)*S411*$T411*$U411,0)+IF(ISNUMBER(W411), VLOOKUP(W411/$AH411,F!$A1:$B101,2,1)*W411*$X411*$Y411,0)+IF(ISNUMBER(AA411), VLOOKUP(AA411/$AH411,F!$A1:$B101,2,1)*AA411*$AB411*$AC411,0))*IF(ISNUMBER(F411),F411,1)*IF(ISNUMBER(E411),E411,1)</f>
        <v>0</v>
      </c>
      <c r="AJ411" s="140">
        <f t="shared" si="792"/>
        <v>0</v>
      </c>
      <c r="AK411" s="145">
        <f t="array" ref="AK411">IFERROR(I411*INDEX(F!$P$21:$AB$33, MATCH(G411/$AH411, F!$O$21:$O$33,1), MATCH(E411, F!$P$20:$AB$20,1)), 0 ) +IFERROR( M411*INDEX(F!$P$21:$AB$33, MATCH(K411/$AH411, F!$O$21:$O$33,1), MATCH(E411, F!$P$20:$AB$20,1)),0) +  IFERROR( Q411*INDEX(F!$P$21:$AB$33, MATCH(O411/$AH411, F!$O$21:$O$33,1), MATCH(E411, F!$P$20:$AB$20,1)), 0) + IFERROR( U411*INDEX(F!$P$21:$AB$33, MATCH(S411/$AH411, F!$O$21:$O$33,1), MATCH(E411, F!$P$20:$AB$20,1)),0)  + IFERROR(Y411*INDEX(F!$P$21:$AB$33, MATCH(W411/$AH411, F!$O$21:$O$33,1), MATCH(E411, F!$P$20:$AB$20,1)),0)  + IFERROR( AC411*INDEX(F!$P$21:$AB$33, MATCH(AA411/$AH411, F!$O$21:$O$33,1), MATCH(E411, F!$P$20:$AB$20,1)),)</f>
        <v>0</v>
      </c>
      <c r="AL411" s="5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ht="15.75" hidden="1" customHeight="1">
      <c r="A412" s="59"/>
      <c r="B412" s="126" t="str">
        <f t="shared" ref="B412:F412" si="798">IF(B356="","",B356)</f>
        <v/>
      </c>
      <c r="C412" s="127" t="str">
        <f t="shared" si="798"/>
        <v/>
      </c>
      <c r="D412" s="128" t="str">
        <f t="shared" si="798"/>
        <v/>
      </c>
      <c r="E412" s="48" t="str">
        <f t="shared" si="798"/>
        <v/>
      </c>
      <c r="F412" s="129" t="str">
        <f t="shared" si="798"/>
        <v/>
      </c>
      <c r="G412" s="130" t="str">
        <f t="shared" si="783"/>
        <v/>
      </c>
      <c r="H412" s="34"/>
      <c r="I412" s="34"/>
      <c r="J412" s="65"/>
      <c r="K412" s="130" t="str">
        <f t="shared" si="784"/>
        <v/>
      </c>
      <c r="L412" s="34"/>
      <c r="M412" s="34"/>
      <c r="N412" s="65"/>
      <c r="O412" s="130" t="str">
        <f t="shared" si="785"/>
        <v/>
      </c>
      <c r="P412" s="34"/>
      <c r="Q412" s="34"/>
      <c r="R412" s="65"/>
      <c r="S412" s="130" t="str">
        <f t="shared" si="786"/>
        <v/>
      </c>
      <c r="T412" s="34"/>
      <c r="U412" s="34"/>
      <c r="V412" s="65"/>
      <c r="W412" s="130" t="str">
        <f t="shared" si="787"/>
        <v/>
      </c>
      <c r="X412" s="34"/>
      <c r="Y412" s="34"/>
      <c r="Z412" s="65"/>
      <c r="AA412" s="130" t="str">
        <f t="shared" si="788"/>
        <v/>
      </c>
      <c r="AB412" s="34"/>
      <c r="AC412" s="34"/>
      <c r="AD412" s="65"/>
      <c r="AE412" s="131">
        <f t="shared" si="789"/>
        <v>0</v>
      </c>
      <c r="AF412" s="132">
        <f t="shared" si="770"/>
        <v>0</v>
      </c>
      <c r="AG412" s="133">
        <f t="shared" si="790"/>
        <v>0</v>
      </c>
      <c r="AH412" s="76" t="str">
        <f t="shared" si="791"/>
        <v/>
      </c>
      <c r="AI412" s="132">
        <f> ( IF(ISNUMBER(G412), VLOOKUP(G412/$AH412,F!$A1:$B101,2,1)*G412*$H412*$I412,0)+IF(ISNUMBER(K412), VLOOKUP(K412/$AH412,F!$A1:$B101,2,1)*K412*$L412*$M412,0)+IF(ISNUMBER(O412), VLOOKUP(O412/$AH412,F!$A1:$B101,2,1)*O412*$P412*$Q412,0)+IF(ISNUMBER(S412), VLOOKUP(S412/$AH412,F!$A1:$B101,2,1)*S412*$T412*$U412,0)+IF(ISNUMBER(W412), VLOOKUP(W412/$AH412,F!$A1:$B101,2,1)*W412*$X412*$Y412,0)+IF(ISNUMBER(AA412), VLOOKUP(AA412/$AH412,F!$A1:$B101,2,1)*AA412*$AB412*$AC412,0))*IF(ISNUMBER(F412),F412,1)*IF(ISNUMBER(E412),E412,1)</f>
        <v>0</v>
      </c>
      <c r="AJ412" s="34">
        <f t="shared" si="792"/>
        <v>0</v>
      </c>
      <c r="AK412" s="134">
        <f t="array" ref="AK412">IFERROR(I412*INDEX(F!$P$21:$AB$33, MATCH(G412/$AH412, F!$O$21:$O$33,1), MATCH(E412, F!$P$20:$AB$20,1)), 0 ) +IFERROR( M412*INDEX(F!$P$21:$AB$33, MATCH(K412/$AH412, F!$O$21:$O$33,1), MATCH(E412, F!$P$20:$AB$20,1)),0) +  IFERROR( Q412*INDEX(F!$P$21:$AB$33, MATCH(O412/$AH412, F!$O$21:$O$33,1), MATCH(E412, F!$P$20:$AB$20,1)), 0) + IFERROR( U412*INDEX(F!$P$21:$AB$33, MATCH(S412/$AH412, F!$O$21:$O$33,1), MATCH(E412, F!$P$20:$AB$20,1)),0)  + IFERROR(Y412*INDEX(F!$P$21:$AB$33, MATCH(W412/$AH412, F!$O$21:$O$33,1), MATCH(E412, F!$P$20:$AB$20,1)),0)  + IFERROR( AC412*INDEX(F!$P$21:$AB$33, MATCH(AA412/$AH412, F!$O$21:$O$33,1), MATCH(E412, F!$P$20:$AB$20,1)),)</f>
        <v>0</v>
      </c>
      <c r="AL412" s="5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ht="15.75" hidden="1" customHeight="1">
      <c r="A413" s="98"/>
      <c r="B413" s="150"/>
      <c r="C413" s="151"/>
      <c r="D413" s="152"/>
      <c r="E413" s="102">
        <f>ROUND(IFERROR(SUMPRODUCT(AJ405:AJ412,E405:E412)/AJ413,0),3)</f>
        <v>0</v>
      </c>
      <c r="F413" s="153"/>
      <c r="G413" s="154"/>
      <c r="H413" s="155"/>
      <c r="I413" s="155"/>
      <c r="J413" s="156"/>
      <c r="K413" s="154"/>
      <c r="L413" s="155"/>
      <c r="M413" s="155"/>
      <c r="N413" s="156"/>
      <c r="O413" s="154"/>
      <c r="P413" s="155"/>
      <c r="Q413" s="155"/>
      <c r="R413" s="156"/>
      <c r="S413" s="154"/>
      <c r="T413" s="155"/>
      <c r="U413" s="155"/>
      <c r="V413" s="156"/>
      <c r="W413" s="154"/>
      <c r="X413" s="155"/>
      <c r="Y413" s="155"/>
      <c r="Z413" s="156"/>
      <c r="AA413" s="154"/>
      <c r="AB413" s="155"/>
      <c r="AC413" s="155"/>
      <c r="AD413" s="156"/>
      <c r="AE413" s="107">
        <f>SUM(AE405:AE412)</f>
        <v>0</v>
      </c>
      <c r="AF413" s="108">
        <f t="shared" si="770"/>
        <v>0</v>
      </c>
      <c r="AG413" s="109">
        <f>IFERROR(  SUMPRODUCT(AG405:AG412,AJ405:AJ412)/AJ413,0)</f>
        <v>0</v>
      </c>
      <c r="AH413" s="157"/>
      <c r="AI413" s="111">
        <f t="shared" ref="AI413:AJ413" si="799">SUM(AI405:AI412)</f>
        <v>0</v>
      </c>
      <c r="AJ413" s="111">
        <f t="shared" si="799"/>
        <v>0</v>
      </c>
      <c r="AK413" s="112">
        <f>IF(SUM(AK405:AK412)=0,TIME(,0,),TIME(,SUM(AK405:AK412)+F!$V$37,))</f>
        <v>0</v>
      </c>
      <c r="AL413" s="98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ht="15.75" hidden="1" customHeight="1">
      <c r="A414" s="158">
        <f>A415</f>
        <v>43833</v>
      </c>
      <c r="B414" s="159" t="str">
        <f t="shared" ref="B414:F414" si="800">IF(B358="","",B358)</f>
        <v>Тяжелая</v>
      </c>
      <c r="C414" s="160" t="str">
        <f t="shared" si="800"/>
        <v>ПР</v>
      </c>
      <c r="D414" s="161" t="str">
        <f t="shared" si="800"/>
        <v>Присед</v>
      </c>
      <c r="E414" s="29">
        <f t="shared" si="800"/>
        <v>1.2</v>
      </c>
      <c r="F414" s="162" t="str">
        <f t="shared" si="800"/>
        <v/>
      </c>
      <c r="G414" s="163" t="str">
        <f t="shared" ref="G414:G421" si="802">IF(J414&lt;&gt;0, IFERROR(IF( $F414=2,  MROUND($AH414*J414,1),    IF( OR($F414="",$F414=1),   MROUND($AH414*J414,2.5),  MROUND($AH414*J414, 0.1))), "" ), "")</f>
        <v/>
      </c>
      <c r="H414" s="164"/>
      <c r="I414" s="164"/>
      <c r="J414" s="165"/>
      <c r="K414" s="163" t="str">
        <f t="shared" ref="K414:K421" si="803">IF(N414&lt;&gt;0, IFERROR(IF( $F414=2,  MROUND($AH414*N414,1),    IF( OR($F414="",$F414=1),   MROUND($AH414*N414,2.5),  MROUND($AH414*N414, 0.1))), "" ), "")</f>
        <v/>
      </c>
      <c r="L414" s="164"/>
      <c r="M414" s="164"/>
      <c r="N414" s="165"/>
      <c r="O414" s="163" t="str">
        <f t="shared" ref="O414:O421" si="804">IF(R414&lt;&gt;0, IFERROR(IF( $F414=2,  MROUND($AH414*R414,1),    IF( OR($F414="",$F414=1),   MROUND($AH414*R414,2.5),  MROUND($AH414*R414, 0.1))), "" ), "")</f>
        <v/>
      </c>
      <c r="P414" s="164"/>
      <c r="Q414" s="164"/>
      <c r="R414" s="165"/>
      <c r="S414" s="163" t="str">
        <f t="shared" ref="S414:S421" si="805">IF(V414&lt;&gt;0, IFERROR(IF( $F414=2,  MROUND($AH414*V414,1),    IF( OR($F414="",$F414=1),   MROUND($AH414*V414,2.5),  MROUND($AH414*V414, 0.1))), "" ), "")</f>
        <v/>
      </c>
      <c r="T414" s="164"/>
      <c r="U414" s="164"/>
      <c r="V414" s="165"/>
      <c r="W414" s="163" t="str">
        <f t="shared" ref="W414:W421" si="806">IF(Z414&lt;&gt;0, IFERROR(IF( $F414=2,  MROUND($AH414*Z414,1),    IF( OR($F414="",$F414=1),   MROUND($AH414*Z414,2.5),  MROUND($AH414*Z414, 0.1))), "" ), "")</f>
        <v/>
      </c>
      <c r="X414" s="164"/>
      <c r="Y414" s="164"/>
      <c r="Z414" s="165"/>
      <c r="AA414" s="163" t="str">
        <f t="shared" ref="AA414:AA421" si="807">IF(AD414&lt;&gt;0, IFERROR(IF( $F414=2,  MROUND($AH414*AD414,1),    IF( OR($F414="",$F414=1),   MROUND($AH414*AD414,2.5),  MROUND($AH414*AD414, 0.1))), "" ), "")</f>
        <v/>
      </c>
      <c r="AB414" s="164"/>
      <c r="AC414" s="164"/>
      <c r="AD414" s="165"/>
      <c r="AE414" s="166">
        <f t="shared" ref="AE414:AE421" si="808">(IF(ISNUMBER(G414),G414,0)*H414*I414+IF(ISNUMBER(K414),K414,1)*L414*M414+IF(ISNUMBER(O414),O414,1)*P414*Q414+IF(ISNUMBER(S414),S414,1)*T414*U414+IF(ISNUMBER(W414),W414,1)*X414*Y414+IF(ISNUMBER(AA414),AA414,1)*AB414*AC414)*IF(ISNUMBER(F414),F414,1)</f>
        <v>0</v>
      </c>
      <c r="AF414" s="167">
        <f t="shared" si="770"/>
        <v>0</v>
      </c>
      <c r="AG414" s="168">
        <f t="shared" ref="AG414:AG421" si="809">IFERROR((AF414/(AH414*IF(ISNUMBER(F414),F414,1))),0)</f>
        <v>0</v>
      </c>
      <c r="AH414" s="169">
        <f t="shared" ref="AH414:AH421" si="810">IF(ISNUMBER(AH358), AH358+(AH358*$AH$394),"")</f>
        <v>155.0725651</v>
      </c>
      <c r="AI414" s="167">
        <f> ( IF(ISNUMBER(G414), VLOOKUP(G414/$AH414,F!$A1:$B101,2,1)*G414*$H414*$I414,0)+IF(ISNUMBER(K414), VLOOKUP(K414/$AH414,F!$A1:$B101,2,1)*K414*$L414*$M414,0)+IF(ISNUMBER(O414), VLOOKUP(O414/$AH414,F!$A1:$B101,2,1)*O414*$P414*$Q414,0)+IF(ISNUMBER(S414), VLOOKUP(S414/$AH414,F!$A1:$B101,2,1)*S414*$T414*$U414,0)+IF(ISNUMBER(W414), VLOOKUP(W414/$AH414,F!$A1:$B101,2,1)*W414*$X414*$Y414,0)+IF(ISNUMBER(AA414), VLOOKUP(AA414/$AH414,F!$A1:$B101,2,1)*AA414*$AB414*$AC414,0))*IF(ISNUMBER(F414),F414,1)*IF(ISNUMBER(E414),E414,1)</f>
        <v>0</v>
      </c>
      <c r="AJ414" s="164">
        <f t="shared" ref="AJ414:AJ421" si="811">H414*I414+L414*M414+P414*Q414+T414*U414+X414*Y414+AB414*AC414</f>
        <v>0</v>
      </c>
      <c r="AK414" s="170">
        <f t="array" ref="AK414">IFERROR(I414*INDEX(F!$P$21:$AB$33, MATCH(G414/$AH414, F!$O$21:$O$33,1), MATCH(E414, F!$P$20:$AB$20,1)), 0 ) +IFERROR( M414*INDEX(F!$P$21:$AB$33, MATCH(K414/$AH414, F!$O$21:$O$33,1), MATCH(E414, F!$P$20:$AB$20,1)),0) +  IFERROR( Q414*INDEX(F!$P$21:$AB$33, MATCH(O414/$AH414, F!$O$21:$O$33,1), MATCH(E414, F!$P$20:$AB$20,1)), 0) + IFERROR( U414*INDEX(F!$P$21:$AB$33, MATCH(S414/$AH414, F!$O$21:$O$33,1), MATCH(E414, F!$P$20:$AB$20,1)),0)  + IFERROR(Y414*INDEX(F!$P$21:$AB$33, MATCH(W414/$AH414, F!$O$21:$O$33,1), MATCH(E414, F!$P$20:$AB$20,1)),0)  + IFERROR( AC414*INDEX(F!$P$21:$AB$33, MATCH(AA414/$AH414, F!$O$21:$O$33,1), MATCH(E414, F!$P$20:$AB$20,1)),)</f>
        <v>0</v>
      </c>
      <c r="AL414" s="42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ht="15.75" hidden="1" customHeight="1">
      <c r="A415" s="44">
        <f>A359+A338</f>
        <v>43833</v>
      </c>
      <c r="B415" s="135" t="str">
        <f t="shared" ref="B415:F415" si="801">IF(B359="","",B359)</f>
        <v>Тяжелая</v>
      </c>
      <c r="C415" s="136" t="str">
        <f t="shared" si="801"/>
        <v>ЖМ</v>
      </c>
      <c r="D415" s="137" t="str">
        <f t="shared" si="801"/>
        <v>Жим лежа</v>
      </c>
      <c r="E415" s="48">
        <f t="shared" si="801"/>
        <v>1</v>
      </c>
      <c r="F415" s="138" t="str">
        <f t="shared" si="801"/>
        <v/>
      </c>
      <c r="G415" s="139" t="str">
        <f t="shared" si="802"/>
        <v/>
      </c>
      <c r="H415" s="140"/>
      <c r="I415" s="140"/>
      <c r="J415" s="141"/>
      <c r="K415" s="139" t="str">
        <f t="shared" si="803"/>
        <v/>
      </c>
      <c r="L415" s="140"/>
      <c r="M415" s="140"/>
      <c r="N415" s="141"/>
      <c r="O415" s="139" t="str">
        <f t="shared" si="804"/>
        <v/>
      </c>
      <c r="P415" s="140"/>
      <c r="Q415" s="140"/>
      <c r="R415" s="141"/>
      <c r="S415" s="139" t="str">
        <f t="shared" si="805"/>
        <v/>
      </c>
      <c r="T415" s="140"/>
      <c r="U415" s="140"/>
      <c r="V415" s="141"/>
      <c r="W415" s="139" t="str">
        <f t="shared" si="806"/>
        <v/>
      </c>
      <c r="X415" s="140"/>
      <c r="Y415" s="140"/>
      <c r="Z415" s="141"/>
      <c r="AA415" s="139" t="str">
        <f t="shared" si="807"/>
        <v/>
      </c>
      <c r="AB415" s="140"/>
      <c r="AC415" s="140"/>
      <c r="AD415" s="141"/>
      <c r="AE415" s="142">
        <f t="shared" si="808"/>
        <v>0</v>
      </c>
      <c r="AF415" s="143">
        <f t="shared" si="770"/>
        <v>0</v>
      </c>
      <c r="AG415" s="144">
        <f t="shared" si="809"/>
        <v>0</v>
      </c>
      <c r="AH415" s="76">
        <f t="shared" si="810"/>
        <v>109.1251384</v>
      </c>
      <c r="AI415" s="143">
        <f> ( IF(ISNUMBER(G415), VLOOKUP(G415/$AH415,F!$A1:$B101,2,1)*G415*$H415*$I415,0)+IF(ISNUMBER(K415), VLOOKUP(K415/$AH415,F!$A1:$B101,2,1)*K415*$L415*$M415,0)+IF(ISNUMBER(O415), VLOOKUP(O415/$AH415,F!$A1:$B101,2,1)*O415*$P415*$Q415,0)+IF(ISNUMBER(S415), VLOOKUP(S415/$AH415,F!$A1:$B101,2,1)*S415*$T415*$U415,0)+IF(ISNUMBER(W415), VLOOKUP(W415/$AH415,F!$A1:$B101,2,1)*W415*$X415*$Y415,0)+IF(ISNUMBER(AA415), VLOOKUP(AA415/$AH415,F!$A1:$B101,2,1)*AA415*$AB415*$AC415,0))*IF(ISNUMBER(F415),F415,1)*IF(ISNUMBER(E415),E415,1)</f>
        <v>0</v>
      </c>
      <c r="AJ415" s="140">
        <f t="shared" si="811"/>
        <v>0</v>
      </c>
      <c r="AK415" s="145">
        <f t="array" ref="AK415">IFERROR(I415*INDEX(F!$P$21:$AB$33, MATCH(G415/$AH415, F!$O$21:$O$33,1), MATCH(E415, F!$P$20:$AB$20,1)), 0 ) +IFERROR( M415*INDEX(F!$P$21:$AB$33, MATCH(K415/$AH415, F!$O$21:$O$33,1), MATCH(E415, F!$P$20:$AB$20,1)),0) +  IFERROR( Q415*INDEX(F!$P$21:$AB$33, MATCH(O415/$AH415, F!$O$21:$O$33,1), MATCH(E415, F!$P$20:$AB$20,1)), 0) + IFERROR( U415*INDEX(F!$P$21:$AB$33, MATCH(S415/$AH415, F!$O$21:$O$33,1), MATCH(E415, F!$P$20:$AB$20,1)),0)  + IFERROR(Y415*INDEX(F!$P$21:$AB$33, MATCH(W415/$AH415, F!$O$21:$O$33,1), MATCH(E415, F!$P$20:$AB$20,1)),0)  + IFERROR( AC415*INDEX(F!$P$21:$AB$33, MATCH(AA415/$AH415, F!$O$21:$O$33,1), MATCH(E415, F!$P$20:$AB$20,1)),)</f>
        <v>0</v>
      </c>
      <c r="AL415" s="5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ht="15.75" hidden="1" customHeight="1">
      <c r="A416" s="59"/>
      <c r="B416" s="173" t="str">
        <f t="shared" ref="B416:F416" si="812">IF(B360="","",B360)</f>
        <v>Средняя</v>
      </c>
      <c r="C416" s="174" t="str">
        <f t="shared" si="812"/>
        <v>ПР</v>
      </c>
      <c r="D416" s="175" t="str">
        <f t="shared" si="812"/>
        <v>Присед</v>
      </c>
      <c r="E416" s="48">
        <f t="shared" si="812"/>
        <v>1.2</v>
      </c>
      <c r="F416" s="176" t="str">
        <f t="shared" si="812"/>
        <v/>
      </c>
      <c r="G416" s="177" t="str">
        <f t="shared" si="802"/>
        <v/>
      </c>
      <c r="H416" s="178"/>
      <c r="I416" s="178"/>
      <c r="J416" s="179"/>
      <c r="K416" s="177" t="str">
        <f t="shared" si="803"/>
        <v/>
      </c>
      <c r="L416" s="178"/>
      <c r="M416" s="178"/>
      <c r="N416" s="179"/>
      <c r="O416" s="177" t="str">
        <f t="shared" si="804"/>
        <v/>
      </c>
      <c r="P416" s="178"/>
      <c r="Q416" s="178"/>
      <c r="R416" s="179"/>
      <c r="S416" s="177" t="str">
        <f t="shared" si="805"/>
        <v/>
      </c>
      <c r="T416" s="178"/>
      <c r="U416" s="178"/>
      <c r="V416" s="179"/>
      <c r="W416" s="177" t="str">
        <f t="shared" si="806"/>
        <v/>
      </c>
      <c r="X416" s="178"/>
      <c r="Y416" s="178"/>
      <c r="Z416" s="179"/>
      <c r="AA416" s="177" t="str">
        <f t="shared" si="807"/>
        <v/>
      </c>
      <c r="AB416" s="178"/>
      <c r="AC416" s="178"/>
      <c r="AD416" s="179"/>
      <c r="AE416" s="180">
        <f t="shared" si="808"/>
        <v>0</v>
      </c>
      <c r="AF416" s="181">
        <f t="shared" si="770"/>
        <v>0</v>
      </c>
      <c r="AG416" s="182">
        <f t="shared" si="809"/>
        <v>0</v>
      </c>
      <c r="AH416" s="76">
        <f t="shared" si="810"/>
        <v>155.0725651</v>
      </c>
      <c r="AI416" s="181">
        <f> ( IF(ISNUMBER(G416), VLOOKUP(G416/$AH416,F!$A1:$B101,2,1)*G416*$H416*$I416,0)+IF(ISNUMBER(K416), VLOOKUP(K416/$AH416,F!$A1:$B101,2,1)*K416*$L416*$M416,0)+IF(ISNUMBER(O416), VLOOKUP(O416/$AH416,F!$A1:$B101,2,1)*O416*$P416*$Q416,0)+IF(ISNUMBER(S416), VLOOKUP(S416/$AH416,F!$A1:$B101,2,1)*S416*$T416*$U416,0)+IF(ISNUMBER(W416), VLOOKUP(W416/$AH416,F!$A1:$B101,2,1)*W416*$X416*$Y416,0)+IF(ISNUMBER(AA416), VLOOKUP(AA416/$AH416,F!$A1:$B101,2,1)*AA416*$AB416*$AC416,0))*IF(ISNUMBER(F416),F416,1)*IF(ISNUMBER(E416),E416,1)</f>
        <v>0</v>
      </c>
      <c r="AJ416" s="178">
        <f t="shared" si="811"/>
        <v>0</v>
      </c>
      <c r="AK416" s="183">
        <f t="array" ref="AK416">IFERROR(I416*INDEX(F!$P$21:$AB$33, MATCH(G416/$AH416, F!$O$21:$O$33,1), MATCH(E416, F!$P$20:$AB$20,1)), 0 ) +IFERROR( M416*INDEX(F!$P$21:$AB$33, MATCH(K416/$AH416, F!$O$21:$O$33,1), MATCH(E416, F!$P$20:$AB$20,1)),0) +  IFERROR( Q416*INDEX(F!$P$21:$AB$33, MATCH(O416/$AH416, F!$O$21:$O$33,1), MATCH(E416, F!$P$20:$AB$20,1)), 0) + IFERROR( U416*INDEX(F!$P$21:$AB$33, MATCH(S416/$AH416, F!$O$21:$O$33,1), MATCH(E416, F!$P$20:$AB$20,1)),0)  + IFERROR(Y416*INDEX(F!$P$21:$AB$33, MATCH(W416/$AH416, F!$O$21:$O$33,1), MATCH(E416, F!$P$20:$AB$20,1)),0)  + IFERROR( AC416*INDEX(F!$P$21:$AB$33, MATCH(AA416/$AH416, F!$O$21:$O$33,1), MATCH(E416, F!$P$20:$AB$20,1)),)</f>
        <v>0</v>
      </c>
      <c r="AL416" s="5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ht="15.75" hidden="1" customHeight="1">
      <c r="A417" s="59"/>
      <c r="B417" s="135" t="str">
        <f t="shared" ref="B417:F417" si="813">IF(B361="","",B361)</f>
        <v>Средняя</v>
      </c>
      <c r="C417" s="136" t="str">
        <f t="shared" si="813"/>
        <v>ЖМ</v>
      </c>
      <c r="D417" s="137" t="str">
        <f t="shared" si="813"/>
        <v>Жим на наклонной скамье</v>
      </c>
      <c r="E417" s="48">
        <f t="shared" si="813"/>
        <v>1</v>
      </c>
      <c r="F417" s="138" t="str">
        <f t="shared" si="813"/>
        <v/>
      </c>
      <c r="G417" s="139" t="str">
        <f t="shared" si="802"/>
        <v/>
      </c>
      <c r="H417" s="140"/>
      <c r="I417" s="140"/>
      <c r="J417" s="141"/>
      <c r="K417" s="139" t="str">
        <f t="shared" si="803"/>
        <v/>
      </c>
      <c r="L417" s="140"/>
      <c r="M417" s="140"/>
      <c r="N417" s="141"/>
      <c r="O417" s="139" t="str">
        <f t="shared" si="804"/>
        <v/>
      </c>
      <c r="P417" s="140"/>
      <c r="Q417" s="140"/>
      <c r="R417" s="141"/>
      <c r="S417" s="139" t="str">
        <f t="shared" si="805"/>
        <v/>
      </c>
      <c r="T417" s="140"/>
      <c r="U417" s="140"/>
      <c r="V417" s="141"/>
      <c r="W417" s="139" t="str">
        <f t="shared" si="806"/>
        <v/>
      </c>
      <c r="X417" s="140"/>
      <c r="Y417" s="140"/>
      <c r="Z417" s="141"/>
      <c r="AA417" s="139" t="str">
        <f t="shared" si="807"/>
        <v/>
      </c>
      <c r="AB417" s="140"/>
      <c r="AC417" s="140"/>
      <c r="AD417" s="141"/>
      <c r="AE417" s="142">
        <f t="shared" si="808"/>
        <v>0</v>
      </c>
      <c r="AF417" s="143">
        <f t="shared" si="770"/>
        <v>0</v>
      </c>
      <c r="AG417" s="144">
        <f t="shared" si="809"/>
        <v>0</v>
      </c>
      <c r="AH417" s="76">
        <f t="shared" si="810"/>
        <v>87.30011074</v>
      </c>
      <c r="AI417" s="143">
        <f> ( IF(ISNUMBER(G417), VLOOKUP(G417/$AH417,F!$A1:$B101,2,1)*G417*$H417*$I417,0)+IF(ISNUMBER(K417), VLOOKUP(K417/$AH417,F!$A1:$B101,2,1)*K417*$L417*$M417,0)+IF(ISNUMBER(O417), VLOOKUP(O417/$AH417,F!$A1:$B101,2,1)*O417*$P417*$Q417,0)+IF(ISNUMBER(S417), VLOOKUP(S417/$AH417,F!$A1:$B101,2,1)*S417*$T417*$U417,0)+IF(ISNUMBER(W417), VLOOKUP(W417/$AH417,F!$A1:$B101,2,1)*W417*$X417*$Y417,0)+IF(ISNUMBER(AA417), VLOOKUP(AA417/$AH417,F!$A1:$B101,2,1)*AA417*$AB417*$AC417,0))*IF(ISNUMBER(F417),F417,1)*IF(ISNUMBER(E417),E417,1)</f>
        <v>0</v>
      </c>
      <c r="AJ417" s="140">
        <f t="shared" si="811"/>
        <v>0</v>
      </c>
      <c r="AK417" s="145">
        <f t="array" ref="AK417">IFERROR(I417*INDEX(F!$P$21:$AB$33, MATCH(G417/$AH417, F!$O$21:$O$33,1), MATCH(E417, F!$P$20:$AB$20,1)), 0 ) +IFERROR( M417*INDEX(F!$P$21:$AB$33, MATCH(K417/$AH417, F!$O$21:$O$33,1), MATCH(E417, F!$P$20:$AB$20,1)),0) +  IFERROR( Q417*INDEX(F!$P$21:$AB$33, MATCH(O417/$AH417, F!$O$21:$O$33,1), MATCH(E417, F!$P$20:$AB$20,1)), 0) + IFERROR( U417*INDEX(F!$P$21:$AB$33, MATCH(S417/$AH417, F!$O$21:$O$33,1), MATCH(E417, F!$P$20:$AB$20,1)),0)  + IFERROR(Y417*INDEX(F!$P$21:$AB$33, MATCH(W417/$AH417, F!$O$21:$O$33,1), MATCH(E417, F!$P$20:$AB$20,1)),0)  + IFERROR( AC417*INDEX(F!$P$21:$AB$33, MATCH(AA417/$AH417, F!$O$21:$O$33,1), MATCH(E417, F!$P$20:$AB$20,1)),)</f>
        <v>0</v>
      </c>
      <c r="AL417" s="5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ht="15.75" hidden="1" customHeight="1">
      <c r="A418" s="59"/>
      <c r="B418" s="173" t="str">
        <f t="shared" ref="B418:F418" si="814">IF(B362="","",B362)</f>
        <v>Средняя</v>
      </c>
      <c r="C418" s="174" t="str">
        <f t="shared" si="814"/>
        <v>ОФП</v>
      </c>
      <c r="D418" s="175" t="str">
        <f t="shared" si="814"/>
        <v>Бицепс стоя</v>
      </c>
      <c r="E418" s="48">
        <f t="shared" si="814"/>
        <v>0.5</v>
      </c>
      <c r="F418" s="176" t="str">
        <f t="shared" si="814"/>
        <v/>
      </c>
      <c r="G418" s="177" t="str">
        <f t="shared" si="802"/>
        <v/>
      </c>
      <c r="H418" s="178"/>
      <c r="I418" s="178"/>
      <c r="J418" s="179"/>
      <c r="K418" s="177" t="str">
        <f t="shared" si="803"/>
        <v/>
      </c>
      <c r="L418" s="178"/>
      <c r="M418" s="178"/>
      <c r="N418" s="179"/>
      <c r="O418" s="177" t="str">
        <f t="shared" si="804"/>
        <v/>
      </c>
      <c r="P418" s="178"/>
      <c r="Q418" s="178"/>
      <c r="R418" s="179"/>
      <c r="S418" s="177" t="str">
        <f t="shared" si="805"/>
        <v/>
      </c>
      <c r="T418" s="178"/>
      <c r="U418" s="178"/>
      <c r="V418" s="179"/>
      <c r="W418" s="177" t="str">
        <f t="shared" si="806"/>
        <v/>
      </c>
      <c r="X418" s="178"/>
      <c r="Y418" s="178"/>
      <c r="Z418" s="179"/>
      <c r="AA418" s="177" t="str">
        <f t="shared" si="807"/>
        <v/>
      </c>
      <c r="AB418" s="178"/>
      <c r="AC418" s="178"/>
      <c r="AD418" s="179"/>
      <c r="AE418" s="180">
        <f t="shared" si="808"/>
        <v>0</v>
      </c>
      <c r="AF418" s="181">
        <f t="shared" si="770"/>
        <v>0</v>
      </c>
      <c r="AG418" s="182">
        <f t="shared" si="809"/>
        <v>0</v>
      </c>
      <c r="AH418" s="76" t="str">
        <f t="shared" si="810"/>
        <v/>
      </c>
      <c r="AI418" s="181">
        <f> ( IF(ISNUMBER(G418), VLOOKUP(G418/$AH418,F!$A1:$B101,2,1)*G418*$H418*$I418,0)+IF(ISNUMBER(K418), VLOOKUP(K418/$AH418,F!$A1:$B101,2,1)*K418*$L418*$M418,0)+IF(ISNUMBER(O418), VLOOKUP(O418/$AH418,F!$A1:$B101,2,1)*O418*$P418*$Q418,0)+IF(ISNUMBER(S418), VLOOKUP(S418/$AH418,F!$A1:$B101,2,1)*S418*$T418*$U418,0)+IF(ISNUMBER(W418), VLOOKUP(W418/$AH418,F!$A1:$B101,2,1)*W418*$X418*$Y418,0)+IF(ISNUMBER(AA418), VLOOKUP(AA418/$AH418,F!$A1:$B101,2,1)*AA418*$AB418*$AC418,0))*IF(ISNUMBER(F418),F418,1)*IF(ISNUMBER(E418),E418,1)</f>
        <v>0</v>
      </c>
      <c r="AJ418" s="178">
        <f t="shared" si="811"/>
        <v>0</v>
      </c>
      <c r="AK418" s="183">
        <f t="array" ref="AK418">IFERROR(I418*INDEX(F!$P$21:$AB$33, MATCH(G418/$AH418, F!$O$21:$O$33,1), MATCH(E418, F!$P$20:$AB$20,1)), 0 ) +IFERROR( M418*INDEX(F!$P$21:$AB$33, MATCH(K418/$AH418, F!$O$21:$O$33,1), MATCH(E418, F!$P$20:$AB$20,1)),0) +  IFERROR( Q418*INDEX(F!$P$21:$AB$33, MATCH(O418/$AH418, F!$O$21:$O$33,1), MATCH(E418, F!$P$20:$AB$20,1)), 0) + IFERROR( U418*INDEX(F!$P$21:$AB$33, MATCH(S418/$AH418, F!$O$21:$O$33,1), MATCH(E418, F!$P$20:$AB$20,1)),0)  + IFERROR(Y418*INDEX(F!$P$21:$AB$33, MATCH(W418/$AH418, F!$O$21:$O$33,1), MATCH(E418, F!$P$20:$AB$20,1)),0)  + IFERROR( AC418*INDEX(F!$P$21:$AB$33, MATCH(AA418/$AH418, F!$O$21:$O$33,1), MATCH(E418, F!$P$20:$AB$20,1)),)</f>
        <v>0</v>
      </c>
      <c r="AL418" s="5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ht="15.75" hidden="1" customHeight="1">
      <c r="A419" s="59"/>
      <c r="B419" s="135" t="str">
        <f t="shared" ref="B419:F419" si="815">IF(B363="","",B363)</f>
        <v/>
      </c>
      <c r="C419" s="136" t="str">
        <f t="shared" si="815"/>
        <v/>
      </c>
      <c r="D419" s="137" t="str">
        <f t="shared" si="815"/>
        <v/>
      </c>
      <c r="E419" s="48" t="str">
        <f t="shared" si="815"/>
        <v/>
      </c>
      <c r="F419" s="138" t="str">
        <f t="shared" si="815"/>
        <v/>
      </c>
      <c r="G419" s="139" t="str">
        <f t="shared" si="802"/>
        <v/>
      </c>
      <c r="H419" s="140"/>
      <c r="I419" s="140"/>
      <c r="J419" s="141"/>
      <c r="K419" s="139" t="str">
        <f t="shared" si="803"/>
        <v/>
      </c>
      <c r="L419" s="140"/>
      <c r="M419" s="140"/>
      <c r="N419" s="141"/>
      <c r="O419" s="139" t="str">
        <f t="shared" si="804"/>
        <v/>
      </c>
      <c r="P419" s="140"/>
      <c r="Q419" s="140"/>
      <c r="R419" s="141"/>
      <c r="S419" s="139" t="str">
        <f t="shared" si="805"/>
        <v/>
      </c>
      <c r="T419" s="140"/>
      <c r="U419" s="140"/>
      <c r="V419" s="141"/>
      <c r="W419" s="139" t="str">
        <f t="shared" si="806"/>
        <v/>
      </c>
      <c r="X419" s="140"/>
      <c r="Y419" s="140"/>
      <c r="Z419" s="141"/>
      <c r="AA419" s="139" t="str">
        <f t="shared" si="807"/>
        <v/>
      </c>
      <c r="AB419" s="140"/>
      <c r="AC419" s="140"/>
      <c r="AD419" s="141"/>
      <c r="AE419" s="142">
        <f t="shared" si="808"/>
        <v>0</v>
      </c>
      <c r="AF419" s="143">
        <f t="shared" si="770"/>
        <v>0</v>
      </c>
      <c r="AG419" s="144">
        <f t="shared" si="809"/>
        <v>0</v>
      </c>
      <c r="AH419" s="76" t="str">
        <f t="shared" si="810"/>
        <v/>
      </c>
      <c r="AI419" s="143">
        <f> ( IF(ISNUMBER(G419), VLOOKUP(G419/$AH419,F!$A1:$B101,2,1)*G419*$H419*$I419,0)+IF(ISNUMBER(K419), VLOOKUP(K419/$AH419,F!$A1:$B101,2,1)*K419*$L419*$M419,0)+IF(ISNUMBER(O419), VLOOKUP(O419/$AH419,F!$A1:$B101,2,1)*O419*$P419*$Q419,0)+IF(ISNUMBER(S419), VLOOKUP(S419/$AH419,F!$A1:$B101,2,1)*S419*$T419*$U419,0)+IF(ISNUMBER(W419), VLOOKUP(W419/$AH419,F!$A1:$B101,2,1)*W419*$X419*$Y419,0)+IF(ISNUMBER(AA419), VLOOKUP(AA419/$AH419,F!$A1:$B101,2,1)*AA419*$AB419*$AC419,0))*IF(ISNUMBER(F419),F419,1)*IF(ISNUMBER(E419),E419,1)</f>
        <v>0</v>
      </c>
      <c r="AJ419" s="140">
        <f t="shared" si="811"/>
        <v>0</v>
      </c>
      <c r="AK419" s="145">
        <f t="array" ref="AK419">IFERROR(I419*INDEX(F!$P$21:$AB$33, MATCH(G419/$AH419, F!$O$21:$O$33,1), MATCH(E419, F!$P$20:$AB$20,1)), 0 ) +IFERROR( M419*INDEX(F!$P$21:$AB$33, MATCH(K419/$AH419, F!$O$21:$O$33,1), MATCH(E419, F!$P$20:$AB$20,1)),0) +  IFERROR( Q419*INDEX(F!$P$21:$AB$33, MATCH(O419/$AH419, F!$O$21:$O$33,1), MATCH(E419, F!$P$20:$AB$20,1)), 0) + IFERROR( U419*INDEX(F!$P$21:$AB$33, MATCH(S419/$AH419, F!$O$21:$O$33,1), MATCH(E419, F!$P$20:$AB$20,1)),0)  + IFERROR(Y419*INDEX(F!$P$21:$AB$33, MATCH(W419/$AH419, F!$O$21:$O$33,1), MATCH(E419, F!$P$20:$AB$20,1)),0)  + IFERROR( AC419*INDEX(F!$P$21:$AB$33, MATCH(AA419/$AH419, F!$O$21:$O$33,1), MATCH(E419, F!$P$20:$AB$20,1)),)</f>
        <v>0</v>
      </c>
      <c r="AL419" s="5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ht="15.75" hidden="1" customHeight="1">
      <c r="A420" s="59"/>
      <c r="B420" s="173" t="str">
        <f t="shared" ref="B420:F420" si="816">IF(B364="","",B364)</f>
        <v/>
      </c>
      <c r="C420" s="174" t="str">
        <f t="shared" si="816"/>
        <v/>
      </c>
      <c r="D420" s="175" t="str">
        <f t="shared" si="816"/>
        <v/>
      </c>
      <c r="E420" s="48" t="str">
        <f t="shared" si="816"/>
        <v/>
      </c>
      <c r="F420" s="176" t="str">
        <f t="shared" si="816"/>
        <v/>
      </c>
      <c r="G420" s="177" t="str">
        <f t="shared" si="802"/>
        <v/>
      </c>
      <c r="H420" s="178"/>
      <c r="I420" s="178"/>
      <c r="J420" s="179"/>
      <c r="K420" s="177" t="str">
        <f t="shared" si="803"/>
        <v/>
      </c>
      <c r="L420" s="178"/>
      <c r="M420" s="178"/>
      <c r="N420" s="179"/>
      <c r="O420" s="177" t="str">
        <f t="shared" si="804"/>
        <v/>
      </c>
      <c r="P420" s="178"/>
      <c r="Q420" s="178"/>
      <c r="R420" s="179"/>
      <c r="S420" s="177" t="str">
        <f t="shared" si="805"/>
        <v/>
      </c>
      <c r="T420" s="178"/>
      <c r="U420" s="178"/>
      <c r="V420" s="179"/>
      <c r="W420" s="177" t="str">
        <f t="shared" si="806"/>
        <v/>
      </c>
      <c r="X420" s="178"/>
      <c r="Y420" s="178"/>
      <c r="Z420" s="179"/>
      <c r="AA420" s="177" t="str">
        <f t="shared" si="807"/>
        <v/>
      </c>
      <c r="AB420" s="178"/>
      <c r="AC420" s="178"/>
      <c r="AD420" s="179"/>
      <c r="AE420" s="180">
        <f t="shared" si="808"/>
        <v>0</v>
      </c>
      <c r="AF420" s="181">
        <f t="shared" si="770"/>
        <v>0</v>
      </c>
      <c r="AG420" s="182">
        <f t="shared" si="809"/>
        <v>0</v>
      </c>
      <c r="AH420" s="76" t="str">
        <f t="shared" si="810"/>
        <v/>
      </c>
      <c r="AI420" s="181">
        <f> ( IF(ISNUMBER(G420), VLOOKUP(G420/$AH420,F!$A1:$B101,2,1)*G420*$H420*$I420,0)+IF(ISNUMBER(K420), VLOOKUP(K420/$AH420,F!$A1:$B101,2,1)*K420*$L420*$M420,0)+IF(ISNUMBER(O420), VLOOKUP(O420/$AH420,F!$A1:$B101,2,1)*O420*$P420*$Q420,0)+IF(ISNUMBER(S420), VLOOKUP(S420/$AH420,F!$A1:$B101,2,1)*S420*$T420*$U420,0)+IF(ISNUMBER(W420), VLOOKUP(W420/$AH420,F!$A1:$B101,2,1)*W420*$X420*$Y420,0)+IF(ISNUMBER(AA420), VLOOKUP(AA420/$AH420,F!$A1:$B101,2,1)*AA420*$AB420*$AC420,0))*IF(ISNUMBER(F420),F420,1)*IF(ISNUMBER(E420),E420,1)</f>
        <v>0</v>
      </c>
      <c r="AJ420" s="178">
        <f t="shared" si="811"/>
        <v>0</v>
      </c>
      <c r="AK420" s="183">
        <f t="array" ref="AK420">IFERROR(I420*INDEX(F!$P$21:$AB$33, MATCH(G420/$AH420, F!$O$21:$O$33,1), MATCH(E420, F!$P$20:$AB$20,1)), 0 ) +IFERROR( M420*INDEX(F!$P$21:$AB$33, MATCH(K420/$AH420, F!$O$21:$O$33,1), MATCH(E420, F!$P$20:$AB$20,1)),0) +  IFERROR( Q420*INDEX(F!$P$21:$AB$33, MATCH(O420/$AH420, F!$O$21:$O$33,1), MATCH(E420, F!$P$20:$AB$20,1)), 0) + IFERROR( U420*INDEX(F!$P$21:$AB$33, MATCH(S420/$AH420, F!$O$21:$O$33,1), MATCH(E420, F!$P$20:$AB$20,1)),0)  + IFERROR(Y420*INDEX(F!$P$21:$AB$33, MATCH(W420/$AH420, F!$O$21:$O$33,1), MATCH(E420, F!$P$20:$AB$20,1)),0)  + IFERROR( AC420*INDEX(F!$P$21:$AB$33, MATCH(AA420/$AH420, F!$O$21:$O$33,1), MATCH(E420, F!$P$20:$AB$20,1)),)</f>
        <v>0</v>
      </c>
      <c r="AL420" s="5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ht="15.75" hidden="1" customHeight="1">
      <c r="A421" s="59"/>
      <c r="B421" s="135" t="str">
        <f t="shared" ref="B421:F421" si="817">IF(B365="","",B365)</f>
        <v/>
      </c>
      <c r="C421" s="136" t="str">
        <f t="shared" si="817"/>
        <v/>
      </c>
      <c r="D421" s="137" t="str">
        <f t="shared" si="817"/>
        <v/>
      </c>
      <c r="E421" s="48" t="str">
        <f t="shared" si="817"/>
        <v/>
      </c>
      <c r="F421" s="138" t="str">
        <f t="shared" si="817"/>
        <v/>
      </c>
      <c r="G421" s="139" t="str">
        <f t="shared" si="802"/>
        <v/>
      </c>
      <c r="H421" s="140"/>
      <c r="I421" s="140"/>
      <c r="J421" s="141"/>
      <c r="K421" s="139" t="str">
        <f t="shared" si="803"/>
        <v/>
      </c>
      <c r="L421" s="140"/>
      <c r="M421" s="140"/>
      <c r="N421" s="141"/>
      <c r="O421" s="139" t="str">
        <f t="shared" si="804"/>
        <v/>
      </c>
      <c r="P421" s="140"/>
      <c r="Q421" s="140"/>
      <c r="R421" s="141"/>
      <c r="S421" s="139" t="str">
        <f t="shared" si="805"/>
        <v/>
      </c>
      <c r="T421" s="140"/>
      <c r="U421" s="140"/>
      <c r="V421" s="141"/>
      <c r="W421" s="139" t="str">
        <f t="shared" si="806"/>
        <v/>
      </c>
      <c r="X421" s="140"/>
      <c r="Y421" s="140"/>
      <c r="Z421" s="141"/>
      <c r="AA421" s="139" t="str">
        <f t="shared" si="807"/>
        <v/>
      </c>
      <c r="AB421" s="140"/>
      <c r="AC421" s="140"/>
      <c r="AD421" s="141"/>
      <c r="AE421" s="142">
        <f t="shared" si="808"/>
        <v>0</v>
      </c>
      <c r="AF421" s="143">
        <f t="shared" si="770"/>
        <v>0</v>
      </c>
      <c r="AG421" s="144">
        <f t="shared" si="809"/>
        <v>0</v>
      </c>
      <c r="AH421" s="76" t="str">
        <f t="shared" si="810"/>
        <v/>
      </c>
      <c r="AI421" s="143">
        <f> ( IF(ISNUMBER(G421), VLOOKUP(G421/$AH421,F!$A1:$B101,2,1)*G421*$H421*$I421,0)+IF(ISNUMBER(K421), VLOOKUP(K421/$AH421,F!$A1:$B101,2,1)*K421*$L421*$M421,0)+IF(ISNUMBER(O421), VLOOKUP(O421/$AH421,F!$A1:$B101,2,1)*O421*$P421*$Q421,0)+IF(ISNUMBER(S421), VLOOKUP(S421/$AH421,F!$A1:$B101,2,1)*S421*$T421*$U421,0)+IF(ISNUMBER(W421), VLOOKUP(W421/$AH421,F!$A1:$B101,2,1)*W421*$X421*$Y421,0)+IF(ISNUMBER(AA421), VLOOKUP(AA421/$AH421,F!$A1:$B101,2,1)*AA421*$AB421*$AC421,0))*IF(ISNUMBER(F421),F421,1)*IF(ISNUMBER(E421),E421,1)</f>
        <v>0</v>
      </c>
      <c r="AJ421" s="140">
        <f t="shared" si="811"/>
        <v>0</v>
      </c>
      <c r="AK421" s="145">
        <f t="array" ref="AK421">IFERROR(I421*INDEX(F!$P$21:$AB$33, MATCH(G421/$AH421, F!$O$21:$O$33,1), MATCH(E421, F!$P$20:$AB$20,1)), 0 ) +IFERROR( M421*INDEX(F!$P$21:$AB$33, MATCH(K421/$AH421, F!$O$21:$O$33,1), MATCH(E421, F!$P$20:$AB$20,1)),0) +  IFERROR( Q421*INDEX(F!$P$21:$AB$33, MATCH(O421/$AH421, F!$O$21:$O$33,1), MATCH(E421, F!$P$20:$AB$20,1)), 0) + IFERROR( U421*INDEX(F!$P$21:$AB$33, MATCH(S421/$AH421, F!$O$21:$O$33,1), MATCH(E421, F!$P$20:$AB$20,1)),0)  + IFERROR(Y421*INDEX(F!$P$21:$AB$33, MATCH(W421/$AH421, F!$O$21:$O$33,1), MATCH(E421, F!$P$20:$AB$20,1)),0)  + IFERROR( AC421*INDEX(F!$P$21:$AB$33, MATCH(AA421/$AH421, F!$O$21:$O$33,1), MATCH(E421, F!$P$20:$AB$20,1)),)</f>
        <v>0</v>
      </c>
      <c r="AL421" s="5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ht="15.75" hidden="1" customHeight="1">
      <c r="A422" s="98"/>
      <c r="B422" s="188"/>
      <c r="C422" s="189"/>
      <c r="D422" s="190"/>
      <c r="E422" s="102">
        <f>ROUND(IFERROR(SUMPRODUCT(AJ414:AJ421,E414:E421)/AJ422,0),3)</f>
        <v>0</v>
      </c>
      <c r="F422" s="191"/>
      <c r="G422" s="192"/>
      <c r="H422" s="193"/>
      <c r="I422" s="193"/>
      <c r="J422" s="194"/>
      <c r="K422" s="192"/>
      <c r="L422" s="193"/>
      <c r="M422" s="193"/>
      <c r="N422" s="194"/>
      <c r="O422" s="192"/>
      <c r="P422" s="193"/>
      <c r="Q422" s="193"/>
      <c r="R422" s="194"/>
      <c r="S422" s="192"/>
      <c r="T422" s="193"/>
      <c r="U422" s="193"/>
      <c r="V422" s="194"/>
      <c r="W422" s="192"/>
      <c r="X422" s="193"/>
      <c r="Y422" s="193"/>
      <c r="Z422" s="194"/>
      <c r="AA422" s="192"/>
      <c r="AB422" s="193"/>
      <c r="AC422" s="193"/>
      <c r="AD422" s="194"/>
      <c r="AE422" s="107">
        <f>SUM(AE414:AE421)</f>
        <v>0</v>
      </c>
      <c r="AF422" s="108">
        <f t="shared" si="770"/>
        <v>0</v>
      </c>
      <c r="AG422" s="109">
        <f>IFERROR(  SUMPRODUCT(AG414:AG421,AJ414:AJ421)/AJ422,0)</f>
        <v>0</v>
      </c>
      <c r="AH422" s="157"/>
      <c r="AI422" s="111">
        <f t="shared" ref="AI422:AJ422" si="818">SUM(AI414:AI421)</f>
        <v>0</v>
      </c>
      <c r="AJ422" s="111">
        <f t="shared" si="818"/>
        <v>0</v>
      </c>
      <c r="AK422" s="112">
        <f>IF(SUM(AK414:AK421)=0,TIME(,0,),TIME(,SUM(AK414:AK421)+F!$V$37,))</f>
        <v>0</v>
      </c>
      <c r="AL422" s="98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ht="15.75" hidden="1" customHeight="1">
      <c r="A423" s="25">
        <f>A424</f>
        <v>43834</v>
      </c>
      <c r="B423" s="26" t="str">
        <f t="shared" ref="B423:F423" si="819">IF(B367="","",B367)</f>
        <v/>
      </c>
      <c r="C423" s="27" t="str">
        <f t="shared" si="819"/>
        <v/>
      </c>
      <c r="D423" s="28" t="str">
        <f t="shared" si="819"/>
        <v/>
      </c>
      <c r="E423" s="29" t="str">
        <f t="shared" si="819"/>
        <v/>
      </c>
      <c r="F423" s="30" t="str">
        <f t="shared" si="819"/>
        <v/>
      </c>
      <c r="G423" s="31" t="str">
        <f t="shared" ref="G423:G430" si="821">IF(J423&lt;&gt;0, IFERROR(IF( $F423=2,  MROUND($AH423*J423,1),    IF( OR($F423="",$F423=1),   MROUND($AH423*J423,2.5),  MROUND($AH423*J423, 0.1))), "" ), "")</f>
        <v/>
      </c>
      <c r="H423" s="32"/>
      <c r="I423" s="32"/>
      <c r="J423" s="33"/>
      <c r="K423" s="31" t="str">
        <f t="shared" ref="K423:K430" si="822">IF(N423&lt;&gt;0, IFERROR(IF( $F423=2,  MROUND($AH423*N423,1),    IF( OR($F423="",$F423=1),   MROUND($AH423*N423,2.5),  MROUND($AH423*N423, 0.1))), "" ), "")</f>
        <v/>
      </c>
      <c r="L423" s="32"/>
      <c r="M423" s="32"/>
      <c r="N423" s="33"/>
      <c r="O423" s="31" t="str">
        <f t="shared" ref="O423:O430" si="823">IF(R423&lt;&gt;0, IFERROR(IF( $F423=2,  MROUND($AH423*R423,1),    IF( OR($F423="",$F423=1),   MROUND($AH423*R423,2.5),  MROUND($AH423*R423, 0.1))), "" ), "")</f>
        <v/>
      </c>
      <c r="P423" s="32"/>
      <c r="Q423" s="32"/>
      <c r="R423" s="33"/>
      <c r="S423" s="31" t="str">
        <f t="shared" ref="S423:S430" si="824">IF(V423&lt;&gt;0, IFERROR(IF( $F423=2,  MROUND($AH423*V423,1),    IF( OR($F423="",$F423=1),   MROUND($AH423*V423,2.5),  MROUND($AH423*V423, 0.1))), "" ), "")</f>
        <v/>
      </c>
      <c r="T423" s="32"/>
      <c r="U423" s="32"/>
      <c r="V423" s="33"/>
      <c r="W423" s="31" t="str">
        <f t="shared" ref="W423:W430" si="825">IF(Z423&lt;&gt;0, IFERROR(IF( $F423=2,  MROUND($AH423*Z423,1),    IF( OR($F423="",$F423=1),   MROUND($AH423*Z423,2.5),  MROUND($AH423*Z423, 0.1))), "" ), "")</f>
        <v/>
      </c>
      <c r="X423" s="32"/>
      <c r="Y423" s="32"/>
      <c r="Z423" s="33"/>
      <c r="AA423" s="31" t="str">
        <f t="shared" ref="AA423:AA430" si="826">IF(AD423&lt;&gt;0, IFERROR(IF( $F423=2,  MROUND($AH423*AD423,1),    IF( OR($F423="",$F423=1),   MROUND($AH423*AD423,2.5),  MROUND($AH423*AD423, 0.1))), "" ), "")</f>
        <v/>
      </c>
      <c r="AB423" s="32"/>
      <c r="AC423" s="32"/>
      <c r="AD423" s="33"/>
      <c r="AE423" s="35">
        <f t="shared" ref="AE423:AE430" si="827">(IF(ISNUMBER(G423),G423,0)*H423*I423+IF(ISNUMBER(K423),K423,1)*L423*M423+IF(ISNUMBER(O423),O423,1)*P423*Q423+IF(ISNUMBER(S423),S423,1)*T423*U423+IF(ISNUMBER(W423),W423,1)*X423*Y423+IF(ISNUMBER(AA423),AA423,1)*AB423*AC423)*IF(ISNUMBER(F423),F423,1)</f>
        <v>0</v>
      </c>
      <c r="AF423" s="36">
        <f t="shared" si="770"/>
        <v>0</v>
      </c>
      <c r="AG423" s="195">
        <f t="shared" ref="AG423:AG430" si="828">IFERROR((AF423/(AH423*IF(ISNUMBER(F423),F423,1))),0)</f>
        <v>0</v>
      </c>
      <c r="AH423" s="169" t="str">
        <f t="shared" ref="AH423:AH430" si="829">IF(ISNUMBER(AH367), AH367+(AH367*$AH$394),"")</f>
        <v/>
      </c>
      <c r="AI423" s="196">
        <f> ( IF(ISNUMBER(G423), VLOOKUP(G423/$AH423,F!$A1:$B101,2,1)*G423*$H423*$I423,0)+IF(ISNUMBER(K423), VLOOKUP(K423/$AH423,F!$A1:$B101,2,1)*K423*$L423*$M423,0)+IF(ISNUMBER(O423), VLOOKUP(O423/$AH423,F!$A1:$B101,2,1)*O423*$P423*$Q423,0)+IF(ISNUMBER(S423), VLOOKUP(S423/$AH423,F!$A1:$B101,2,1)*S423*$T423*$U423,0)+IF(ISNUMBER(W423), VLOOKUP(W423/$AH423,F!$A1:$B101,2,1)*W423*$X423*$Y423,0)+IF(ISNUMBER(AA423), VLOOKUP(AA423/$AH423,F!$A1:$B101,2,1)*AA423*$AB423*$AC423,0))*IF(ISNUMBER(F423),F423,1)*IF(ISNUMBER(E423),E423,1)</f>
        <v>0</v>
      </c>
      <c r="AJ423" s="40">
        <f t="shared" ref="AJ423:AJ430" si="830">H423*I423+L423*M423+P423*Q423+T423*U423+X423*Y423+AB423*AC423</f>
        <v>0</v>
      </c>
      <c r="AK423" s="41">
        <f t="array" ref="AK423">IFERROR(I423*INDEX(F!$P$21:$AB$33, MATCH(G423/$AH423, F!$O$21:$O$33,1), MATCH(E423, F!$P$20:$AB$20,1)), 0 ) +IFERROR( M423*INDEX(F!$P$21:$AB$33, MATCH(K423/$AH423, F!$O$21:$O$33,1), MATCH(E423, F!$P$20:$AB$20,1)),0) +  IFERROR( Q423*INDEX(F!$P$21:$AB$33, MATCH(O423/$AH423, F!$O$21:$O$33,1), MATCH(E423, F!$P$20:$AB$20,1)), 0) + IFERROR( U423*INDEX(F!$P$21:$AB$33, MATCH(S423/$AH423, F!$O$21:$O$33,1), MATCH(E423, F!$P$20:$AB$20,1)),0)  + IFERROR(Y423*INDEX(F!$P$21:$AB$33, MATCH(W423/$AH423, F!$O$21:$O$33,1), MATCH(E423, F!$P$20:$AB$20,1)),0)  + IFERROR( AC423*INDEX(F!$P$21:$AB$33, MATCH(AA423/$AH423, F!$O$21:$O$33,1), MATCH(E423, F!$P$20:$AB$20,1)),)</f>
        <v>0</v>
      </c>
      <c r="AL423" s="42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ht="15.75" hidden="1" customHeight="1">
      <c r="A424" s="44">
        <f>A368+A338</f>
        <v>43834</v>
      </c>
      <c r="B424" s="45" t="str">
        <f t="shared" ref="B424:F424" si="820">IF(B368="","",B368)</f>
        <v/>
      </c>
      <c r="C424" s="46" t="str">
        <f t="shared" si="820"/>
        <v/>
      </c>
      <c r="D424" s="47" t="str">
        <f t="shared" si="820"/>
        <v/>
      </c>
      <c r="E424" s="48" t="str">
        <f t="shared" si="820"/>
        <v/>
      </c>
      <c r="F424" s="49" t="str">
        <f t="shared" si="820"/>
        <v/>
      </c>
      <c r="G424" s="50" t="str">
        <f t="shared" si="821"/>
        <v/>
      </c>
      <c r="H424" s="51"/>
      <c r="I424" s="51"/>
      <c r="J424" s="52"/>
      <c r="K424" s="50" t="str">
        <f t="shared" si="822"/>
        <v/>
      </c>
      <c r="L424" s="51"/>
      <c r="M424" s="51"/>
      <c r="N424" s="52"/>
      <c r="O424" s="50" t="str">
        <f t="shared" si="823"/>
        <v/>
      </c>
      <c r="P424" s="51"/>
      <c r="Q424" s="51"/>
      <c r="R424" s="52"/>
      <c r="S424" s="50" t="str">
        <f t="shared" si="824"/>
        <v/>
      </c>
      <c r="T424" s="51"/>
      <c r="U424" s="51"/>
      <c r="V424" s="52"/>
      <c r="W424" s="50" t="str">
        <f t="shared" si="825"/>
        <v/>
      </c>
      <c r="X424" s="51"/>
      <c r="Y424" s="51"/>
      <c r="Z424" s="52"/>
      <c r="AA424" s="50" t="str">
        <f t="shared" si="826"/>
        <v/>
      </c>
      <c r="AB424" s="51"/>
      <c r="AC424" s="51"/>
      <c r="AD424" s="52"/>
      <c r="AE424" s="53">
        <f t="shared" si="827"/>
        <v>0</v>
      </c>
      <c r="AF424" s="54">
        <f t="shared" si="770"/>
        <v>0</v>
      </c>
      <c r="AG424" s="75">
        <f t="shared" si="828"/>
        <v>0</v>
      </c>
      <c r="AH424" s="76" t="str">
        <f t="shared" si="829"/>
        <v/>
      </c>
      <c r="AI424" s="77">
        <f> ( IF(ISNUMBER(G424), VLOOKUP(G424/$AH424,F!$A1:$B101,2,1)*G424*$H424*$I424,0)+IF(ISNUMBER(K424), VLOOKUP(K424/$AH424,F!$A1:$B101,2,1)*K424*$L424*$M424,0)+IF(ISNUMBER(O424), VLOOKUP(O424/$AH424,F!$A1:$B101,2,1)*O424*$P424*$Q424,0)+IF(ISNUMBER(S424), VLOOKUP(S424/$AH424,F!$A1:$B101,2,1)*S424*$T424*$U424,0)+IF(ISNUMBER(W424), VLOOKUP(W424/$AH424,F!$A1:$B101,2,1)*W424*$X424*$Y424,0)+IF(ISNUMBER(AA424), VLOOKUP(AA424/$AH424,F!$A1:$B101,2,1)*AA424*$AB424*$AC424,0))*IF(ISNUMBER(F424),F424,1)*IF(ISNUMBER(E424),E424,1)</f>
        <v>0</v>
      </c>
      <c r="AJ424" s="57">
        <f t="shared" si="830"/>
        <v>0</v>
      </c>
      <c r="AK424" s="58">
        <f t="array" ref="AK424">IFERROR(I424*INDEX(F!$P$21:$AB$33, MATCH(G424/$AH424, F!$O$21:$O$33,1), MATCH(E424, F!$P$20:$AB$20,1)), 0 ) +IFERROR( M424*INDEX(F!$P$21:$AB$33, MATCH(K424/$AH424, F!$O$21:$O$33,1), MATCH(E424, F!$P$20:$AB$20,1)),0) +  IFERROR( Q424*INDEX(F!$P$21:$AB$33, MATCH(O424/$AH424, F!$O$21:$O$33,1), MATCH(E424, F!$P$20:$AB$20,1)), 0) + IFERROR( U424*INDEX(F!$P$21:$AB$33, MATCH(S424/$AH424, F!$O$21:$O$33,1), MATCH(E424, F!$P$20:$AB$20,1)),0)  + IFERROR(Y424*INDEX(F!$P$21:$AB$33, MATCH(W424/$AH424, F!$O$21:$O$33,1), MATCH(E424, F!$P$20:$AB$20,1)),0)  + IFERROR( AC424*INDEX(F!$P$21:$AB$33, MATCH(AA424/$AH424, F!$O$21:$O$33,1), MATCH(E424, F!$P$20:$AB$20,1)),)</f>
        <v>0</v>
      </c>
      <c r="AL424" s="5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ht="15.75" hidden="1" customHeight="1">
      <c r="A425" s="59"/>
      <c r="B425" s="60" t="str">
        <f t="shared" ref="B425:F425" si="831">IF(B369="","",B369)</f>
        <v/>
      </c>
      <c r="C425" s="61" t="str">
        <f t="shared" si="831"/>
        <v/>
      </c>
      <c r="D425" s="62" t="str">
        <f t="shared" si="831"/>
        <v/>
      </c>
      <c r="E425" s="48" t="str">
        <f t="shared" si="831"/>
        <v/>
      </c>
      <c r="F425" s="63" t="str">
        <f t="shared" si="831"/>
        <v/>
      </c>
      <c r="G425" s="64" t="str">
        <f t="shared" si="821"/>
        <v/>
      </c>
      <c r="H425" s="34"/>
      <c r="I425" s="34"/>
      <c r="J425" s="65"/>
      <c r="K425" s="64" t="str">
        <f t="shared" si="822"/>
        <v/>
      </c>
      <c r="L425" s="34"/>
      <c r="M425" s="34"/>
      <c r="N425" s="65"/>
      <c r="O425" s="64" t="str">
        <f t="shared" si="823"/>
        <v/>
      </c>
      <c r="P425" s="34"/>
      <c r="Q425" s="34"/>
      <c r="R425" s="65"/>
      <c r="S425" s="64" t="str">
        <f t="shared" si="824"/>
        <v/>
      </c>
      <c r="T425" s="34"/>
      <c r="U425" s="34"/>
      <c r="V425" s="65"/>
      <c r="W425" s="64" t="str">
        <f t="shared" si="825"/>
        <v/>
      </c>
      <c r="X425" s="34"/>
      <c r="Y425" s="34"/>
      <c r="Z425" s="65"/>
      <c r="AA425" s="64" t="str">
        <f t="shared" si="826"/>
        <v/>
      </c>
      <c r="AB425" s="34"/>
      <c r="AC425" s="34"/>
      <c r="AD425" s="65"/>
      <c r="AE425" s="66">
        <f t="shared" si="827"/>
        <v>0</v>
      </c>
      <c r="AF425" s="67">
        <f t="shared" si="770"/>
        <v>0</v>
      </c>
      <c r="AG425" s="68">
        <f t="shared" si="828"/>
        <v>0</v>
      </c>
      <c r="AH425" s="76" t="str">
        <f t="shared" si="829"/>
        <v/>
      </c>
      <c r="AI425" s="70">
        <f> ( IF(ISNUMBER(G425), VLOOKUP(G425/$AH425,F!$A1:$B101,2,1)*G425*$H425*$I425,0)+IF(ISNUMBER(K425), VLOOKUP(K425/$AH425,F!$A1:$B101,2,1)*K425*$L425*$M425,0)+IF(ISNUMBER(O425), VLOOKUP(O425/$AH425,F!$A1:$B101,2,1)*O425*$P425*$Q425,0)+IF(ISNUMBER(S425), VLOOKUP(S425/$AH425,F!$A1:$B101,2,1)*S425*$T425*$U425,0)+IF(ISNUMBER(W425), VLOOKUP(W425/$AH425,F!$A1:$B101,2,1)*W425*$X425*$Y425,0)+IF(ISNUMBER(AA425), VLOOKUP(AA425/$AH425,F!$A1:$B101,2,1)*AA425*$AB425*$AC425,0))*IF(ISNUMBER(F425),F425,1)*IF(ISNUMBER(E425),E425,1)</f>
        <v>0</v>
      </c>
      <c r="AJ425" s="71">
        <f t="shared" si="830"/>
        <v>0</v>
      </c>
      <c r="AK425" s="72">
        <f t="array" ref="AK425">IFERROR(I425*INDEX(F!$P$21:$AB$33, MATCH(G425/$AH425, F!$O$21:$O$33,1), MATCH(E425, F!$P$20:$AB$20,1)), 0 ) +IFERROR( M425*INDEX(F!$P$21:$AB$33, MATCH(K425/$AH425, F!$O$21:$O$33,1), MATCH(E425, F!$P$20:$AB$20,1)),0) +  IFERROR( Q425*INDEX(F!$P$21:$AB$33, MATCH(O425/$AH425, F!$O$21:$O$33,1), MATCH(E425, F!$P$20:$AB$20,1)), 0) + IFERROR( U425*INDEX(F!$P$21:$AB$33, MATCH(S425/$AH425, F!$O$21:$O$33,1), MATCH(E425, F!$P$20:$AB$20,1)),0)  + IFERROR(Y425*INDEX(F!$P$21:$AB$33, MATCH(W425/$AH425, F!$O$21:$O$33,1), MATCH(E425, F!$P$20:$AB$20,1)),0)  + IFERROR( AC425*INDEX(F!$P$21:$AB$33, MATCH(AA425/$AH425, F!$O$21:$O$33,1), MATCH(E425, F!$P$20:$AB$20,1)),)</f>
        <v>0</v>
      </c>
      <c r="AL425" s="5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ht="15.75" hidden="1" customHeight="1">
      <c r="A426" s="59"/>
      <c r="B426" s="215" t="str">
        <f t="shared" ref="B426:F426" si="832">IF(B370="","",B370)</f>
        <v/>
      </c>
      <c r="C426" s="73" t="str">
        <f t="shared" si="832"/>
        <v/>
      </c>
      <c r="D426" s="47" t="str">
        <f t="shared" si="832"/>
        <v/>
      </c>
      <c r="E426" s="48" t="str">
        <f t="shared" si="832"/>
        <v/>
      </c>
      <c r="F426" s="74" t="str">
        <f t="shared" si="832"/>
        <v/>
      </c>
      <c r="G426" s="50" t="str">
        <f t="shared" si="821"/>
        <v/>
      </c>
      <c r="H426" s="51"/>
      <c r="I426" s="51"/>
      <c r="J426" s="52"/>
      <c r="K426" s="50" t="str">
        <f t="shared" si="822"/>
        <v/>
      </c>
      <c r="L426" s="51"/>
      <c r="M426" s="51"/>
      <c r="N426" s="52"/>
      <c r="O426" s="50" t="str">
        <f t="shared" si="823"/>
        <v/>
      </c>
      <c r="P426" s="51"/>
      <c r="Q426" s="51"/>
      <c r="R426" s="52"/>
      <c r="S426" s="50" t="str">
        <f t="shared" si="824"/>
        <v/>
      </c>
      <c r="T426" s="51"/>
      <c r="U426" s="51"/>
      <c r="V426" s="52"/>
      <c r="W426" s="50" t="str">
        <f t="shared" si="825"/>
        <v/>
      </c>
      <c r="X426" s="51"/>
      <c r="Y426" s="51"/>
      <c r="Z426" s="52"/>
      <c r="AA426" s="50" t="str">
        <f t="shared" si="826"/>
        <v/>
      </c>
      <c r="AB426" s="51"/>
      <c r="AC426" s="51"/>
      <c r="AD426" s="52"/>
      <c r="AE426" s="53">
        <f t="shared" si="827"/>
        <v>0</v>
      </c>
      <c r="AF426" s="54">
        <f t="shared" si="770"/>
        <v>0</v>
      </c>
      <c r="AG426" s="75">
        <f t="shared" si="828"/>
        <v>0</v>
      </c>
      <c r="AH426" s="76" t="str">
        <f t="shared" si="829"/>
        <v/>
      </c>
      <c r="AI426" s="77">
        <f> ( IF(ISNUMBER(G426), VLOOKUP(G426/$AH426,F!$A1:$B101,2,1)*G426*$H426*$I426,0)+IF(ISNUMBER(K426), VLOOKUP(K426/$AH426,F!$A1:$B101,2,1)*K426*$L426*$M426,0)+IF(ISNUMBER(O426), VLOOKUP(O426/$AH426,F!$A1:$B101,2,1)*O426*$P426*$Q426,0)+IF(ISNUMBER(S426), VLOOKUP(S426/$AH426,F!$A1:$B101,2,1)*S426*$T426*$U426,0)+IF(ISNUMBER(W426), VLOOKUP(W426/$AH426,F!$A1:$B101,2,1)*W426*$X426*$Y426,0)+IF(ISNUMBER(AA426), VLOOKUP(AA426/$AH426,F!$A1:$B101,2,1)*AA426*$AB426*$AC426,0))*IF(ISNUMBER(F426),F426,1)*IF(ISNUMBER(E426),E426,1)</f>
        <v>0</v>
      </c>
      <c r="AJ426" s="57">
        <f t="shared" si="830"/>
        <v>0</v>
      </c>
      <c r="AK426" s="58">
        <f t="array" ref="AK426">IFERROR(I426*INDEX(F!$P$21:$AB$33, MATCH(G426/$AH426, F!$O$21:$O$33,1), MATCH(E426, F!$P$20:$AB$20,1)), 0 ) +IFERROR( M426*INDEX(F!$P$21:$AB$33, MATCH(K426/$AH426, F!$O$21:$O$33,1), MATCH(E426, F!$P$20:$AB$20,1)),0) +  IFERROR( Q426*INDEX(F!$P$21:$AB$33, MATCH(O426/$AH426, F!$O$21:$O$33,1), MATCH(E426, F!$P$20:$AB$20,1)), 0) + IFERROR( U426*INDEX(F!$P$21:$AB$33, MATCH(S426/$AH426, F!$O$21:$O$33,1), MATCH(E426, F!$P$20:$AB$20,1)),0)  + IFERROR(Y426*INDEX(F!$P$21:$AB$33, MATCH(W426/$AH426, F!$O$21:$O$33,1), MATCH(E426, F!$P$20:$AB$20,1)),0)  + IFERROR( AC426*INDEX(F!$P$21:$AB$33, MATCH(AA426/$AH426, F!$O$21:$O$33,1), MATCH(E426, F!$P$20:$AB$20,1)),)</f>
        <v>0</v>
      </c>
      <c r="AL426" s="5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ht="15.75" hidden="1" customHeight="1">
      <c r="A427" s="59"/>
      <c r="B427" s="216" t="str">
        <f t="shared" ref="B427:F427" si="833">IF(B371="","",B371)</f>
        <v/>
      </c>
      <c r="C427" s="78" t="str">
        <f t="shared" si="833"/>
        <v/>
      </c>
      <c r="D427" s="62" t="str">
        <f t="shared" si="833"/>
        <v/>
      </c>
      <c r="E427" s="48" t="str">
        <f t="shared" si="833"/>
        <v/>
      </c>
      <c r="F427" s="79" t="str">
        <f t="shared" si="833"/>
        <v/>
      </c>
      <c r="G427" s="64" t="str">
        <f t="shared" si="821"/>
        <v/>
      </c>
      <c r="H427" s="34"/>
      <c r="I427" s="34"/>
      <c r="J427" s="65"/>
      <c r="K427" s="64" t="str">
        <f t="shared" si="822"/>
        <v/>
      </c>
      <c r="L427" s="34"/>
      <c r="M427" s="34"/>
      <c r="N427" s="65"/>
      <c r="O427" s="64" t="str">
        <f t="shared" si="823"/>
        <v/>
      </c>
      <c r="P427" s="34"/>
      <c r="Q427" s="34"/>
      <c r="R427" s="65"/>
      <c r="S427" s="64" t="str">
        <f t="shared" si="824"/>
        <v/>
      </c>
      <c r="T427" s="34"/>
      <c r="U427" s="34"/>
      <c r="V427" s="65"/>
      <c r="W427" s="64" t="str">
        <f t="shared" si="825"/>
        <v/>
      </c>
      <c r="X427" s="34"/>
      <c r="Y427" s="34"/>
      <c r="Z427" s="65"/>
      <c r="AA427" s="64" t="str">
        <f t="shared" si="826"/>
        <v/>
      </c>
      <c r="AB427" s="34"/>
      <c r="AC427" s="34"/>
      <c r="AD427" s="65"/>
      <c r="AE427" s="66">
        <f t="shared" si="827"/>
        <v>0</v>
      </c>
      <c r="AF427" s="67">
        <f t="shared" si="770"/>
        <v>0</v>
      </c>
      <c r="AG427" s="68">
        <f t="shared" si="828"/>
        <v>0</v>
      </c>
      <c r="AH427" s="76" t="str">
        <f t="shared" si="829"/>
        <v/>
      </c>
      <c r="AI427" s="70">
        <f> ( IF(ISNUMBER(G427), VLOOKUP(G427/$AH427,F!$A1:$B101,2,1)*G427*$H427*$I427,0)+IF(ISNUMBER(K427), VLOOKUP(K427/$AH427,F!$A1:$B101,2,1)*K427*$L427*$M427,0)+IF(ISNUMBER(O427), VLOOKUP(O427/$AH427,F!$A1:$B101,2,1)*O427*$P427*$Q427,0)+IF(ISNUMBER(S427), VLOOKUP(S427/$AH427,F!$A1:$B101,2,1)*S427*$T427*$U427,0)+IF(ISNUMBER(W427), VLOOKUP(W427/$AH427,F!$A1:$B101,2,1)*W427*$X427*$Y427,0)+IF(ISNUMBER(AA427), VLOOKUP(AA427/$AH427,F!$A1:$B101,2,1)*AA427*$AB427*$AC427,0))*IF(ISNUMBER(F427),F427,1)*IF(ISNUMBER(E427),E427,1)</f>
        <v>0</v>
      </c>
      <c r="AJ427" s="71">
        <f t="shared" si="830"/>
        <v>0</v>
      </c>
      <c r="AK427" s="72">
        <f t="array" ref="AK427">IFERROR(I427*INDEX(F!$P$21:$AB$33, MATCH(G427/$AH427, F!$O$21:$O$33,1), MATCH(E427, F!$P$20:$AB$20,1)), 0 ) +IFERROR( M427*INDEX(F!$P$21:$AB$33, MATCH(K427/$AH427, F!$O$21:$O$33,1), MATCH(E427, F!$P$20:$AB$20,1)),0) +  IFERROR( Q427*INDEX(F!$P$21:$AB$33, MATCH(O427/$AH427, F!$O$21:$O$33,1), MATCH(E427, F!$P$20:$AB$20,1)), 0) + IFERROR( U427*INDEX(F!$P$21:$AB$33, MATCH(S427/$AH427, F!$O$21:$O$33,1), MATCH(E427, F!$P$20:$AB$20,1)),0)  + IFERROR(Y427*INDEX(F!$P$21:$AB$33, MATCH(W427/$AH427, F!$O$21:$O$33,1), MATCH(E427, F!$P$20:$AB$20,1)),0)  + IFERROR( AC427*INDEX(F!$P$21:$AB$33, MATCH(AA427/$AH427, F!$O$21:$O$33,1), MATCH(E427, F!$P$20:$AB$20,1)),)</f>
        <v>0</v>
      </c>
      <c r="AL427" s="5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ht="15.75" hidden="1" customHeight="1">
      <c r="A428" s="59"/>
      <c r="B428" s="45" t="str">
        <f t="shared" ref="B428:F428" si="834">IF(B372="","",B372)</f>
        <v/>
      </c>
      <c r="C428" s="46" t="str">
        <f t="shared" si="834"/>
        <v/>
      </c>
      <c r="D428" s="197" t="str">
        <f t="shared" si="834"/>
        <v/>
      </c>
      <c r="E428" s="48" t="str">
        <f t="shared" si="834"/>
        <v/>
      </c>
      <c r="F428" s="83" t="str">
        <f t="shared" si="834"/>
        <v/>
      </c>
      <c r="G428" s="50" t="str">
        <f t="shared" si="821"/>
        <v/>
      </c>
      <c r="H428" s="51"/>
      <c r="I428" s="51"/>
      <c r="J428" s="52"/>
      <c r="K428" s="50" t="str">
        <f t="shared" si="822"/>
        <v/>
      </c>
      <c r="L428" s="51"/>
      <c r="M428" s="51"/>
      <c r="N428" s="52"/>
      <c r="O428" s="50" t="str">
        <f t="shared" si="823"/>
        <v/>
      </c>
      <c r="P428" s="51"/>
      <c r="Q428" s="51"/>
      <c r="R428" s="52"/>
      <c r="S428" s="50" t="str">
        <f t="shared" si="824"/>
        <v/>
      </c>
      <c r="T428" s="51"/>
      <c r="U428" s="51"/>
      <c r="V428" s="52"/>
      <c r="W428" s="50" t="str">
        <f t="shared" si="825"/>
        <v/>
      </c>
      <c r="X428" s="51"/>
      <c r="Y428" s="51"/>
      <c r="Z428" s="52"/>
      <c r="AA428" s="50" t="str">
        <f t="shared" si="826"/>
        <v/>
      </c>
      <c r="AB428" s="51"/>
      <c r="AC428" s="51"/>
      <c r="AD428" s="52"/>
      <c r="AE428" s="53">
        <f t="shared" si="827"/>
        <v>0</v>
      </c>
      <c r="AF428" s="54">
        <f t="shared" si="770"/>
        <v>0</v>
      </c>
      <c r="AG428" s="75">
        <f t="shared" si="828"/>
        <v>0</v>
      </c>
      <c r="AH428" s="76" t="str">
        <f t="shared" si="829"/>
        <v/>
      </c>
      <c r="AI428" s="77">
        <f> ( IF(ISNUMBER(G428), VLOOKUP(G428/$AH428,F!$A1:$B101,2,1)*G428*$H428*$I428,0)+IF(ISNUMBER(K428), VLOOKUP(K428/$AH428,F!$A1:$B101,2,1)*K428*$L428*$M428,0)+IF(ISNUMBER(O428), VLOOKUP(O428/$AH428,F!$A1:$B101,2,1)*O428*$P428*$Q428,0)+IF(ISNUMBER(S428), VLOOKUP(S428/$AH428,F!$A1:$B101,2,1)*S428*$T428*$U428,0)+IF(ISNUMBER(W428), VLOOKUP(W428/$AH428,F!$A1:$B101,2,1)*W428*$X428*$Y428,0)+IF(ISNUMBER(AA428), VLOOKUP(AA428/$AH428,F!$A1:$B101,2,1)*AA428*$AB428*$AC428,0))*IF(ISNUMBER(F428),F428,1)*IF(ISNUMBER(E428),E428,1)</f>
        <v>0</v>
      </c>
      <c r="AJ428" s="86">
        <f t="shared" si="830"/>
        <v>0</v>
      </c>
      <c r="AK428" s="58">
        <f t="array" ref="AK428">IFERROR(I428*INDEX(F!$P$21:$AB$33, MATCH(G428/$AH428, F!$O$21:$O$33,1), MATCH(E428, F!$P$20:$AB$20,1)), 0 ) +IFERROR( M428*INDEX(F!$P$21:$AB$33, MATCH(K428/$AH428, F!$O$21:$O$33,1), MATCH(E428, F!$P$20:$AB$20,1)),0) +  IFERROR( Q428*INDEX(F!$P$21:$AB$33, MATCH(O428/$AH428, F!$O$21:$O$33,1), MATCH(E428, F!$P$20:$AB$20,1)), 0) + IFERROR( U428*INDEX(F!$P$21:$AB$33, MATCH(S428/$AH428, F!$O$21:$O$33,1), MATCH(E428, F!$P$20:$AB$20,1)),0)  + IFERROR(Y428*INDEX(F!$P$21:$AB$33, MATCH(W428/$AH428, F!$O$21:$O$33,1), MATCH(E428, F!$P$20:$AB$20,1)),0)  + IFERROR( AC428*INDEX(F!$P$21:$AB$33, MATCH(AA428/$AH428, F!$O$21:$O$33,1), MATCH(E428, F!$P$20:$AB$20,1)),)</f>
        <v>0</v>
      </c>
      <c r="AL428" s="5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ht="15.75" hidden="1" customHeight="1">
      <c r="A429" s="59"/>
      <c r="B429" s="60" t="str">
        <f t="shared" ref="B429:F429" si="835">IF(B373="","",B373)</f>
        <v/>
      </c>
      <c r="C429" s="61" t="str">
        <f t="shared" si="835"/>
        <v/>
      </c>
      <c r="D429" s="198" t="str">
        <f t="shared" si="835"/>
        <v/>
      </c>
      <c r="E429" s="48" t="str">
        <f t="shared" si="835"/>
        <v/>
      </c>
      <c r="F429" s="79" t="str">
        <f t="shared" si="835"/>
        <v/>
      </c>
      <c r="G429" s="64" t="str">
        <f t="shared" si="821"/>
        <v/>
      </c>
      <c r="H429" s="34"/>
      <c r="I429" s="34"/>
      <c r="J429" s="65"/>
      <c r="K429" s="64" t="str">
        <f t="shared" si="822"/>
        <v/>
      </c>
      <c r="L429" s="34"/>
      <c r="M429" s="34"/>
      <c r="N429" s="65"/>
      <c r="O429" s="64" t="str">
        <f t="shared" si="823"/>
        <v/>
      </c>
      <c r="P429" s="34"/>
      <c r="Q429" s="34"/>
      <c r="R429" s="65"/>
      <c r="S429" s="64" t="str">
        <f t="shared" si="824"/>
        <v/>
      </c>
      <c r="T429" s="34"/>
      <c r="U429" s="34"/>
      <c r="V429" s="65"/>
      <c r="W429" s="64" t="str">
        <f t="shared" si="825"/>
        <v/>
      </c>
      <c r="X429" s="34"/>
      <c r="Y429" s="34"/>
      <c r="Z429" s="65"/>
      <c r="AA429" s="64" t="str">
        <f t="shared" si="826"/>
        <v/>
      </c>
      <c r="AB429" s="34"/>
      <c r="AC429" s="34"/>
      <c r="AD429" s="65"/>
      <c r="AE429" s="66">
        <f t="shared" si="827"/>
        <v>0</v>
      </c>
      <c r="AF429" s="67">
        <f t="shared" si="770"/>
        <v>0</v>
      </c>
      <c r="AG429" s="68">
        <f t="shared" si="828"/>
        <v>0</v>
      </c>
      <c r="AH429" s="76" t="str">
        <f t="shared" si="829"/>
        <v/>
      </c>
      <c r="AI429" s="90">
        <f> ( IF(ISNUMBER(G429), VLOOKUP(G429/$AH429,F!$A1:$B101,2,1)*G429*$H429*$I429,0)+IF(ISNUMBER(K429), VLOOKUP(K429/$AH429,F!$A1:$B101,2,1)*K429*$L429*$M429,0)+IF(ISNUMBER(O429), VLOOKUP(O429/$AH429,F!$A1:$B101,2,1)*O429*$P429*$Q429,0)+IF(ISNUMBER(S429), VLOOKUP(S429/$AH429,F!$A1:$B101,2,1)*S429*$T429*$U429,0)+IF(ISNUMBER(W429), VLOOKUP(W429/$AH429,F!$A1:$B101,2,1)*W429*$X429*$Y429,0)+IF(ISNUMBER(AA429), VLOOKUP(AA429/$AH429,F!$A1:$B101,2,1)*AA429*$AB429*$AC429,0))*IF(ISNUMBER(F429),F429,1)*IF(ISNUMBER(E429),E429,1)</f>
        <v>0</v>
      </c>
      <c r="AJ429" s="34">
        <f t="shared" si="830"/>
        <v>0</v>
      </c>
      <c r="AK429" s="91">
        <f t="array" ref="AK429">IFERROR(I429*INDEX(F!$P$21:$AB$33, MATCH(G429/$AH429, F!$O$21:$O$33,1), MATCH(E429, F!$P$20:$AB$20,1)), 0 ) +IFERROR( M429*INDEX(F!$P$21:$AB$33, MATCH(K429/$AH429, F!$O$21:$O$33,1), MATCH(E429, F!$P$20:$AB$20,1)),0) +  IFERROR( Q429*INDEX(F!$P$21:$AB$33, MATCH(O429/$AH429, F!$O$21:$O$33,1), MATCH(E429, F!$P$20:$AB$20,1)), 0) + IFERROR( U429*INDEX(F!$P$21:$AB$33, MATCH(S429/$AH429, F!$O$21:$O$33,1), MATCH(E429, F!$P$20:$AB$20,1)),0)  + IFERROR(Y429*INDEX(F!$P$21:$AB$33, MATCH(W429/$AH429, F!$O$21:$O$33,1), MATCH(E429, F!$P$20:$AB$20,1)),0)  + IFERROR( AC429*INDEX(F!$P$21:$AB$33, MATCH(AA429/$AH429, F!$O$21:$O$33,1), MATCH(E429, F!$P$20:$AB$20,1)),)</f>
        <v>0</v>
      </c>
      <c r="AL429" s="5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ht="15.75" hidden="1" customHeight="1">
      <c r="A430" s="59"/>
      <c r="B430" s="45" t="str">
        <f t="shared" ref="B430:F430" si="836">IF(B374="","",B374)</f>
        <v/>
      </c>
      <c r="C430" s="46" t="str">
        <f t="shared" si="836"/>
        <v/>
      </c>
      <c r="D430" s="92" t="str">
        <f t="shared" si="836"/>
        <v/>
      </c>
      <c r="E430" s="48" t="str">
        <f t="shared" si="836"/>
        <v/>
      </c>
      <c r="F430" s="74" t="str">
        <f t="shared" si="836"/>
        <v/>
      </c>
      <c r="G430" s="50" t="str">
        <f t="shared" si="821"/>
        <v/>
      </c>
      <c r="H430" s="51"/>
      <c r="I430" s="51"/>
      <c r="J430" s="52"/>
      <c r="K430" s="50" t="str">
        <f t="shared" si="822"/>
        <v/>
      </c>
      <c r="L430" s="51"/>
      <c r="M430" s="51"/>
      <c r="N430" s="52"/>
      <c r="O430" s="50" t="str">
        <f t="shared" si="823"/>
        <v/>
      </c>
      <c r="P430" s="51"/>
      <c r="Q430" s="51"/>
      <c r="R430" s="52"/>
      <c r="S430" s="50" t="str">
        <f t="shared" si="824"/>
        <v/>
      </c>
      <c r="T430" s="51"/>
      <c r="U430" s="51"/>
      <c r="V430" s="52"/>
      <c r="W430" s="50" t="str">
        <f t="shared" si="825"/>
        <v/>
      </c>
      <c r="X430" s="51"/>
      <c r="Y430" s="51"/>
      <c r="Z430" s="52"/>
      <c r="AA430" s="50" t="str">
        <f t="shared" si="826"/>
        <v/>
      </c>
      <c r="AB430" s="51"/>
      <c r="AC430" s="51"/>
      <c r="AD430" s="52"/>
      <c r="AE430" s="53">
        <f t="shared" si="827"/>
        <v>0</v>
      </c>
      <c r="AF430" s="93">
        <f t="shared" si="770"/>
        <v>0</v>
      </c>
      <c r="AG430" s="94">
        <f t="shared" si="828"/>
        <v>0</v>
      </c>
      <c r="AH430" s="76" t="str">
        <f t="shared" si="829"/>
        <v/>
      </c>
      <c r="AI430" s="95">
        <f> ( IF(ISNUMBER(G430), VLOOKUP(G430/$AH430,F!$A1:$B101,2,1)*G430*$H430*$I430,0)+IF(ISNUMBER(K430), VLOOKUP(K430/$AH430,F!$A1:$B101,2,1)*K430*$L430*$M430,0)+IF(ISNUMBER(O430), VLOOKUP(O430/$AH430,F!$A1:$B101,2,1)*O430*$P430*$Q430,0)+IF(ISNUMBER(S430), VLOOKUP(S430/$AH430,F!$A1:$B101,2,1)*S430*$T430*$U430,0)+IF(ISNUMBER(W430), VLOOKUP(W430/$AH430,F!$A1:$B101,2,1)*W430*$X430*$Y430,0)+IF(ISNUMBER(AA430), VLOOKUP(AA430/$AH430,F!$A1:$B101,2,1)*AA430*$AB430*$AC430,0))*IF(ISNUMBER(F430),F430,1)*IF(ISNUMBER(E430),E430,1)</f>
        <v>0</v>
      </c>
      <c r="AJ430" s="96">
        <f t="shared" si="830"/>
        <v>0</v>
      </c>
      <c r="AK430" s="97">
        <f t="array" ref="AK430">IFERROR(I430*INDEX(F!$P$21:$AB$33, MATCH(G430/$AH430, F!$O$21:$O$33,1), MATCH(E430, F!$P$20:$AB$20,1)), 0 ) +IFERROR( M430*INDEX(F!$P$21:$AB$33, MATCH(K430/$AH430, F!$O$21:$O$33,1), MATCH(E430, F!$P$20:$AB$20,1)),0) +  IFERROR( Q430*INDEX(F!$P$21:$AB$33, MATCH(O430/$AH430, F!$O$21:$O$33,1), MATCH(E430, F!$P$20:$AB$20,1)), 0) + IFERROR( U430*INDEX(F!$P$21:$AB$33, MATCH(S430/$AH430, F!$O$21:$O$33,1), MATCH(E430, F!$P$20:$AB$20,1)),0)  + IFERROR(Y430*INDEX(F!$P$21:$AB$33, MATCH(W430/$AH430, F!$O$21:$O$33,1), MATCH(E430, F!$P$20:$AB$20,1)),0)  + IFERROR( AC430*INDEX(F!$P$21:$AB$33, MATCH(AA430/$AH430, F!$O$21:$O$33,1), MATCH(E430, F!$P$20:$AB$20,1)),)</f>
        <v>0</v>
      </c>
      <c r="AL430" s="5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ht="15.75" hidden="1" customHeight="1">
      <c r="A431" s="98"/>
      <c r="B431" s="99"/>
      <c r="C431" s="100"/>
      <c r="D431" s="101"/>
      <c r="E431" s="102">
        <f>ROUND(IFERROR(SUMPRODUCT(AJ423:AJ430,E423:E430)/AJ431,0),3)</f>
        <v>0</v>
      </c>
      <c r="F431" s="199"/>
      <c r="G431" s="104"/>
      <c r="H431" s="105"/>
      <c r="I431" s="105"/>
      <c r="J431" s="106"/>
      <c r="K431" s="104"/>
      <c r="L431" s="105"/>
      <c r="M431" s="105"/>
      <c r="N431" s="106"/>
      <c r="O431" s="104"/>
      <c r="P431" s="105"/>
      <c r="Q431" s="105"/>
      <c r="R431" s="106"/>
      <c r="S431" s="104"/>
      <c r="T431" s="105"/>
      <c r="U431" s="105"/>
      <c r="V431" s="106"/>
      <c r="W431" s="104"/>
      <c r="X431" s="105"/>
      <c r="Y431" s="105"/>
      <c r="Z431" s="106"/>
      <c r="AA431" s="104"/>
      <c r="AB431" s="105"/>
      <c r="AC431" s="105"/>
      <c r="AD431" s="106"/>
      <c r="AE431" s="107">
        <f>SUM(AE423:AE430)</f>
        <v>0</v>
      </c>
      <c r="AF431" s="108">
        <f t="shared" si="770"/>
        <v>0</v>
      </c>
      <c r="AG431" s="109">
        <f>IFERROR(  SUMPRODUCT(AG423:AG430,AJ423:AJ430)/AJ431,0)</f>
        <v>0</v>
      </c>
      <c r="AH431" s="157"/>
      <c r="AI431" s="111">
        <f t="shared" ref="AI431:AJ431" si="837">SUM(AI423:AI430)</f>
        <v>0</v>
      </c>
      <c r="AJ431" s="111">
        <f t="shared" si="837"/>
        <v>0</v>
      </c>
      <c r="AK431" s="112">
        <f>IF(SUM(AK423:AK430)=0,TIME(,0,),TIME(,SUM(AK423:AK430)+F!$V$37,))</f>
        <v>0</v>
      </c>
      <c r="AL431" s="98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ht="15.75" hidden="1" customHeight="1">
      <c r="A432" s="113">
        <f>A433</f>
        <v>43835</v>
      </c>
      <c r="B432" s="114" t="str">
        <f t="shared" ref="B432:F432" si="838">IF(B376="","",B376)</f>
        <v/>
      </c>
      <c r="C432" s="115" t="str">
        <f t="shared" si="838"/>
        <v/>
      </c>
      <c r="D432" s="116" t="str">
        <f t="shared" si="838"/>
        <v/>
      </c>
      <c r="E432" s="29" t="str">
        <f t="shared" si="838"/>
        <v/>
      </c>
      <c r="F432" s="117" t="str">
        <f t="shared" si="838"/>
        <v/>
      </c>
      <c r="G432" s="118" t="str">
        <f t="shared" ref="G432:G439" si="840">IF(J432&lt;&gt;0, IFERROR(IF( $F432=2,  MROUND($AH432*J432,1),    IF( OR($F432="",$F432=1),   MROUND($AH432*J432,2.5),  MROUND($AH432*J432, 0.1))), "" ), "")</f>
        <v/>
      </c>
      <c r="H432" s="119"/>
      <c r="I432" s="119"/>
      <c r="J432" s="120"/>
      <c r="K432" s="118" t="str">
        <f t="shared" ref="K432:K439" si="841">IF(N432&lt;&gt;0, IFERROR(IF( $F432=2,  MROUND($AH432*N432,1),    IF( OR($F432="",$F432=1),   MROUND($AH432*N432,2.5),  MROUND($AH432*N432, 0.1))), "" ), "")</f>
        <v/>
      </c>
      <c r="L432" s="119"/>
      <c r="M432" s="119"/>
      <c r="N432" s="120"/>
      <c r="O432" s="118" t="str">
        <f t="shared" ref="O432:O439" si="842">IF(R432&lt;&gt;0, IFERROR(IF( $F432=2,  MROUND($AH432*R432,1),    IF( OR($F432="",$F432=1),   MROUND($AH432*R432,2.5),  MROUND($AH432*R432, 0.1))), "" ), "")</f>
        <v/>
      </c>
      <c r="P432" s="119"/>
      <c r="Q432" s="119"/>
      <c r="R432" s="120"/>
      <c r="S432" s="118" t="str">
        <f t="shared" ref="S432:S439" si="843">IF(V432&lt;&gt;0, IFERROR(IF( $F432=2,  MROUND($AH432*V432,1),    IF( OR($F432="",$F432=1),   MROUND($AH432*V432,2.5),  MROUND($AH432*V432, 0.1))), "" ), "")</f>
        <v/>
      </c>
      <c r="T432" s="119"/>
      <c r="U432" s="119"/>
      <c r="V432" s="120"/>
      <c r="W432" s="118" t="str">
        <f t="shared" ref="W432:W439" si="844">IF(Z432&lt;&gt;0, IFERROR(IF( $F432=2,  MROUND($AH432*Z432,1),    IF( OR($F432="",$F432=1),   MROUND($AH432*Z432,2.5),  MROUND($AH432*Z432, 0.1))), "" ), "")</f>
        <v/>
      </c>
      <c r="X432" s="119"/>
      <c r="Y432" s="119"/>
      <c r="Z432" s="120"/>
      <c r="AA432" s="118" t="str">
        <f t="shared" ref="AA432:AA439" si="845">IF(AD432&lt;&gt;0, IFERROR(IF( $F432=2,  MROUND($AH432*AD432,1),    IF( OR($F432="",$F432=1),   MROUND($AH432*AD432,2.5),  MROUND($AH432*AD432, 0.1))), "" ), "")</f>
        <v/>
      </c>
      <c r="AB432" s="119"/>
      <c r="AC432" s="119"/>
      <c r="AD432" s="120"/>
      <c r="AE432" s="121">
        <f t="shared" ref="AE432:AE439" si="846">(IF(ISNUMBER(G432),G432,0)*H432*I432+IF(ISNUMBER(K432),K432,1)*L432*M432+IF(ISNUMBER(O432),O432,1)*P432*Q432+IF(ISNUMBER(S432),S432,1)*T432*U432+IF(ISNUMBER(W432),W432,1)*X432*Y432+IF(ISNUMBER(AA432),AA432,1)*AB432*AC432)*IF(ISNUMBER(F432),F432,1)</f>
        <v>0</v>
      </c>
      <c r="AF432" s="122">
        <f t="shared" si="770"/>
        <v>0</v>
      </c>
      <c r="AG432" s="200">
        <f t="shared" ref="AG432:AG439" si="847">IFERROR((AF432/(AH432*IF(ISNUMBER(F432),F432,1))),0)</f>
        <v>0</v>
      </c>
      <c r="AH432" s="169" t="str">
        <f t="shared" ref="AH432:AH439" si="848">IF(ISNUMBER(AH376), AH376+(AH376*$AH$394),"")</f>
        <v/>
      </c>
      <c r="AI432" s="122">
        <f> ( IF(ISNUMBER(G432), VLOOKUP(G432/$AH432,F!$A1:$B101,2,1)*G432*$H432*$I432,0)+IF(ISNUMBER(K432), VLOOKUP(K432/$AH432,F!$A1:$B101,2,1)*K432*$L432*$M432,0)+IF(ISNUMBER(O432), VLOOKUP(O432/$AH432,F!$A1:$B101,2,1)*O432*$P432*$Q432,0)+IF(ISNUMBER(S432), VLOOKUP(S432/$AH432,F!$A1:$B101,2,1)*S432*$T432*$U432,0)+IF(ISNUMBER(W432), VLOOKUP(W432/$AH432,F!$A1:$B101,2,1)*W432*$X432*$Y432,0)+IF(ISNUMBER(AA432), VLOOKUP(AA432/$AH432,F!$A1:$B101,2,1)*AA432*$AB432*$AC432,0))*IF(ISNUMBER(F432),F432,1)*IF(ISNUMBER(E432),E432,1)</f>
        <v>0</v>
      </c>
      <c r="AJ432" s="119">
        <f t="shared" ref="AJ432:AJ439" si="849">H432*I432+L432*M432+P432*Q432+T432*U432+X432*Y432+AB432*AC432</f>
        <v>0</v>
      </c>
      <c r="AK432" s="125">
        <f t="array" ref="AK432">IFERROR(I432*INDEX(F!$P$21:$AB$33, MATCH(G432/$AH432, F!$O$21:$O$33,1), MATCH(E432, F!$P$20:$AB$20,1)), 0 ) +IFERROR( M432*INDEX(F!$P$21:$AB$33, MATCH(K432/$AH432, F!$O$21:$O$33,1), MATCH(E432, F!$P$20:$AB$20,1)),0) +  IFERROR( Q432*INDEX(F!$P$21:$AB$33, MATCH(O432/$AH432, F!$O$21:$O$33,1), MATCH(E432, F!$P$20:$AB$20,1)), 0) + IFERROR( U432*INDEX(F!$P$21:$AB$33, MATCH(S432/$AH432, F!$O$21:$O$33,1), MATCH(E432, F!$P$20:$AB$20,1)),0)  + IFERROR(Y432*INDEX(F!$P$21:$AB$33, MATCH(W432/$AH432, F!$O$21:$O$33,1), MATCH(E432, F!$P$20:$AB$20,1)),0)  + IFERROR( AC432*INDEX(F!$P$21:$AB$33, MATCH(AA432/$AH432, F!$O$21:$O$33,1), MATCH(E432, F!$P$20:$AB$20,1)),)</f>
        <v>0</v>
      </c>
      <c r="AL432" s="42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ht="15.75" hidden="1" customHeight="1">
      <c r="A433" s="44">
        <f>A377+A338</f>
        <v>43835</v>
      </c>
      <c r="B433" s="126" t="str">
        <f t="shared" ref="B433:F433" si="839">IF(B377="","",B377)</f>
        <v/>
      </c>
      <c r="C433" s="127" t="str">
        <f t="shared" si="839"/>
        <v/>
      </c>
      <c r="D433" s="128" t="str">
        <f t="shared" si="839"/>
        <v/>
      </c>
      <c r="E433" s="48" t="str">
        <f t="shared" si="839"/>
        <v/>
      </c>
      <c r="F433" s="129" t="str">
        <f t="shared" si="839"/>
        <v/>
      </c>
      <c r="G433" s="130" t="str">
        <f t="shared" si="840"/>
        <v/>
      </c>
      <c r="H433" s="34"/>
      <c r="I433" s="34"/>
      <c r="J433" s="65"/>
      <c r="K433" s="130" t="str">
        <f t="shared" si="841"/>
        <v/>
      </c>
      <c r="L433" s="34"/>
      <c r="M433" s="34"/>
      <c r="N433" s="65"/>
      <c r="O433" s="130" t="str">
        <f t="shared" si="842"/>
        <v/>
      </c>
      <c r="P433" s="34"/>
      <c r="Q433" s="34"/>
      <c r="R433" s="65"/>
      <c r="S433" s="130" t="str">
        <f t="shared" si="843"/>
        <v/>
      </c>
      <c r="T433" s="34"/>
      <c r="U433" s="34"/>
      <c r="V433" s="65"/>
      <c r="W433" s="130" t="str">
        <f t="shared" si="844"/>
        <v/>
      </c>
      <c r="X433" s="34"/>
      <c r="Y433" s="34"/>
      <c r="Z433" s="65"/>
      <c r="AA433" s="130" t="str">
        <f t="shared" si="845"/>
        <v/>
      </c>
      <c r="AB433" s="34"/>
      <c r="AC433" s="34"/>
      <c r="AD433" s="65"/>
      <c r="AE433" s="131">
        <f t="shared" si="846"/>
        <v>0</v>
      </c>
      <c r="AF433" s="132">
        <f t="shared" si="770"/>
        <v>0</v>
      </c>
      <c r="AG433" s="133">
        <f t="shared" si="847"/>
        <v>0</v>
      </c>
      <c r="AH433" s="76" t="str">
        <f t="shared" si="848"/>
        <v/>
      </c>
      <c r="AI433" s="132">
        <f> ( IF(ISNUMBER(G433), VLOOKUP(G433/$AH433,F!$A1:$B101,2,1)*G433*$H433*$I433,0)+IF(ISNUMBER(K433), VLOOKUP(K433/$AH433,F!$A1:$B101,2,1)*K433*$L433*$M433,0)+IF(ISNUMBER(O433), VLOOKUP(O433/$AH433,F!$A1:$B101,2,1)*O433*$P433*$Q433,0)+IF(ISNUMBER(S433), VLOOKUP(S433/$AH433,F!$A1:$B101,2,1)*S433*$T433*$U433,0)+IF(ISNUMBER(W433), VLOOKUP(W433/$AH433,F!$A1:$B101,2,1)*W433*$X433*$Y433,0)+IF(ISNUMBER(AA433), VLOOKUP(AA433/$AH433,F!$A1:$B101,2,1)*AA433*$AB433*$AC433,0))*IF(ISNUMBER(F433),F433,1)*IF(ISNUMBER(E433),E433,1)</f>
        <v>0</v>
      </c>
      <c r="AJ433" s="34">
        <f t="shared" si="849"/>
        <v>0</v>
      </c>
      <c r="AK433" s="134">
        <f t="array" ref="AK433">IFERROR(I433*INDEX(F!$P$21:$AB$33, MATCH(G433/$AH433, F!$O$21:$O$33,1), MATCH(E433, F!$P$20:$AB$20,1)), 0 ) +IFERROR( M433*INDEX(F!$P$21:$AB$33, MATCH(K433/$AH433, F!$O$21:$O$33,1), MATCH(E433, F!$P$20:$AB$20,1)),0) +  IFERROR( Q433*INDEX(F!$P$21:$AB$33, MATCH(O433/$AH433, F!$O$21:$O$33,1), MATCH(E433, F!$P$20:$AB$20,1)), 0) + IFERROR( U433*INDEX(F!$P$21:$AB$33, MATCH(S433/$AH433, F!$O$21:$O$33,1), MATCH(E433, F!$P$20:$AB$20,1)),0)  + IFERROR(Y433*INDEX(F!$P$21:$AB$33, MATCH(W433/$AH433, F!$O$21:$O$33,1), MATCH(E433, F!$P$20:$AB$20,1)),0)  + IFERROR( AC433*INDEX(F!$P$21:$AB$33, MATCH(AA433/$AH433, F!$O$21:$O$33,1), MATCH(E433, F!$P$20:$AB$20,1)),)</f>
        <v>0</v>
      </c>
      <c r="AL433" s="5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ht="15.75" hidden="1" customHeight="1">
      <c r="A434" s="59"/>
      <c r="B434" s="135" t="str">
        <f t="shared" ref="B434:F434" si="850">IF(B378="","",B378)</f>
        <v/>
      </c>
      <c r="C434" s="136" t="str">
        <f t="shared" si="850"/>
        <v/>
      </c>
      <c r="D434" s="137" t="str">
        <f t="shared" si="850"/>
        <v/>
      </c>
      <c r="E434" s="48" t="str">
        <f t="shared" si="850"/>
        <v/>
      </c>
      <c r="F434" s="138" t="str">
        <f t="shared" si="850"/>
        <v/>
      </c>
      <c r="G434" s="139" t="str">
        <f t="shared" si="840"/>
        <v/>
      </c>
      <c r="H434" s="140"/>
      <c r="I434" s="140"/>
      <c r="J434" s="141"/>
      <c r="K434" s="139" t="str">
        <f t="shared" si="841"/>
        <v/>
      </c>
      <c r="L434" s="140"/>
      <c r="M434" s="140"/>
      <c r="N434" s="141"/>
      <c r="O434" s="139" t="str">
        <f t="shared" si="842"/>
        <v/>
      </c>
      <c r="P434" s="140"/>
      <c r="Q434" s="140"/>
      <c r="R434" s="141"/>
      <c r="S434" s="139" t="str">
        <f t="shared" si="843"/>
        <v/>
      </c>
      <c r="T434" s="140"/>
      <c r="U434" s="140"/>
      <c r="V434" s="141"/>
      <c r="W434" s="139" t="str">
        <f t="shared" si="844"/>
        <v/>
      </c>
      <c r="X434" s="140"/>
      <c r="Y434" s="140"/>
      <c r="Z434" s="141"/>
      <c r="AA434" s="139" t="str">
        <f t="shared" si="845"/>
        <v/>
      </c>
      <c r="AB434" s="140"/>
      <c r="AC434" s="140"/>
      <c r="AD434" s="141"/>
      <c r="AE434" s="142">
        <f t="shared" si="846"/>
        <v>0</v>
      </c>
      <c r="AF434" s="143">
        <f t="shared" si="770"/>
        <v>0</v>
      </c>
      <c r="AG434" s="144">
        <f t="shared" si="847"/>
        <v>0</v>
      </c>
      <c r="AH434" s="76" t="str">
        <f t="shared" si="848"/>
        <v/>
      </c>
      <c r="AI434" s="143">
        <f> ( IF(ISNUMBER(G434), VLOOKUP(G434/$AH434,F!$A1:$B101,2,1)*G434*$H434*$I434,0)+IF(ISNUMBER(K434), VLOOKUP(K434/$AH434,F!$A1:$B101,2,1)*K434*$L434*$M434,0)+IF(ISNUMBER(O434), VLOOKUP(O434/$AH434,F!$A1:$B101,2,1)*O434*$P434*$Q434,0)+IF(ISNUMBER(S434), VLOOKUP(S434/$AH434,F!$A1:$B101,2,1)*S434*$T434*$U434,0)+IF(ISNUMBER(W434), VLOOKUP(W434/$AH434,F!$A1:$B101,2,1)*W434*$X434*$Y434,0)+IF(ISNUMBER(AA434), VLOOKUP(AA434/$AH434,F!$A1:$B101,2,1)*AA434*$AB434*$AC434,0))*IF(ISNUMBER(F434),F434,1)*IF(ISNUMBER(E434),E434,1)</f>
        <v>0</v>
      </c>
      <c r="AJ434" s="140">
        <f t="shared" si="849"/>
        <v>0</v>
      </c>
      <c r="AK434" s="145">
        <f t="array" ref="AK434">IFERROR(I434*INDEX(F!$P$21:$AB$33, MATCH(G434/$AH434, F!$O$21:$O$33,1), MATCH(E434, F!$P$20:$AB$20,1)), 0 ) +IFERROR( M434*INDEX(F!$P$21:$AB$33, MATCH(K434/$AH434, F!$O$21:$O$33,1), MATCH(E434, F!$P$20:$AB$20,1)),0) +  IFERROR( Q434*INDEX(F!$P$21:$AB$33, MATCH(O434/$AH434, F!$O$21:$O$33,1), MATCH(E434, F!$P$20:$AB$20,1)), 0) + IFERROR( U434*INDEX(F!$P$21:$AB$33, MATCH(S434/$AH434, F!$O$21:$O$33,1), MATCH(E434, F!$P$20:$AB$20,1)),0)  + IFERROR(Y434*INDEX(F!$P$21:$AB$33, MATCH(W434/$AH434, F!$O$21:$O$33,1), MATCH(E434, F!$P$20:$AB$20,1)),0)  + IFERROR( AC434*INDEX(F!$P$21:$AB$33, MATCH(AA434/$AH434, F!$O$21:$O$33,1), MATCH(E434, F!$P$20:$AB$20,1)),)</f>
        <v>0</v>
      </c>
      <c r="AL434" s="5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ht="15.75" hidden="1" customHeight="1">
      <c r="A435" s="59"/>
      <c r="B435" s="126" t="str">
        <f t="shared" ref="B435:F435" si="851">IF(B379="","",B379)</f>
        <v/>
      </c>
      <c r="C435" s="127" t="str">
        <f t="shared" si="851"/>
        <v/>
      </c>
      <c r="D435" s="128" t="str">
        <f t="shared" si="851"/>
        <v/>
      </c>
      <c r="E435" s="48" t="str">
        <f t="shared" si="851"/>
        <v/>
      </c>
      <c r="F435" s="129" t="str">
        <f t="shared" si="851"/>
        <v/>
      </c>
      <c r="G435" s="130" t="str">
        <f t="shared" si="840"/>
        <v/>
      </c>
      <c r="H435" s="34"/>
      <c r="I435" s="34"/>
      <c r="J435" s="65"/>
      <c r="K435" s="130" t="str">
        <f t="shared" si="841"/>
        <v/>
      </c>
      <c r="L435" s="34"/>
      <c r="M435" s="34"/>
      <c r="N435" s="65"/>
      <c r="O435" s="130" t="str">
        <f t="shared" si="842"/>
        <v/>
      </c>
      <c r="P435" s="34"/>
      <c r="Q435" s="34"/>
      <c r="R435" s="65"/>
      <c r="S435" s="130" t="str">
        <f t="shared" si="843"/>
        <v/>
      </c>
      <c r="T435" s="34"/>
      <c r="U435" s="34"/>
      <c r="V435" s="65"/>
      <c r="W435" s="130" t="str">
        <f t="shared" si="844"/>
        <v/>
      </c>
      <c r="X435" s="34"/>
      <c r="Y435" s="34"/>
      <c r="Z435" s="65"/>
      <c r="AA435" s="130" t="str">
        <f t="shared" si="845"/>
        <v/>
      </c>
      <c r="AB435" s="34"/>
      <c r="AC435" s="34"/>
      <c r="AD435" s="65"/>
      <c r="AE435" s="131">
        <f t="shared" si="846"/>
        <v>0</v>
      </c>
      <c r="AF435" s="132">
        <f t="shared" si="770"/>
        <v>0</v>
      </c>
      <c r="AG435" s="133">
        <f t="shared" si="847"/>
        <v>0</v>
      </c>
      <c r="AH435" s="76" t="str">
        <f t="shared" si="848"/>
        <v/>
      </c>
      <c r="AI435" s="132">
        <f> ( IF(ISNUMBER(G435), VLOOKUP(G435/$AH435,F!$A1:$B101,2,1)*G435*$H435*$I435,0)+IF(ISNUMBER(K435), VLOOKUP(K435/$AH435,F!$A1:$B101,2,1)*K435*$L435*$M435,0)+IF(ISNUMBER(O435), VLOOKUP(O435/$AH435,F!$A1:$B101,2,1)*O435*$P435*$Q435,0)+IF(ISNUMBER(S435), VLOOKUP(S435/$AH435,F!$A1:$B101,2,1)*S435*$T435*$U435,0)+IF(ISNUMBER(W435), VLOOKUP(W435/$AH435,F!$A1:$B101,2,1)*W435*$X435*$Y435,0)+IF(ISNUMBER(AA435), VLOOKUP(AA435/$AH435,F!$A1:$B101,2,1)*AA435*$AB435*$AC435,0))*IF(ISNUMBER(F435),F435,1)*IF(ISNUMBER(E435),E435,1)</f>
        <v>0</v>
      </c>
      <c r="AJ435" s="34">
        <f t="shared" si="849"/>
        <v>0</v>
      </c>
      <c r="AK435" s="134">
        <f t="array" ref="AK435">IFERROR(I435*INDEX(F!$P$21:$AB$33, MATCH(G435/$AH435, F!$O$21:$O$33,1), MATCH(E435, F!$P$20:$AB$20,1)), 0 ) +IFERROR( M435*INDEX(F!$P$21:$AB$33, MATCH(K435/$AH435, F!$O$21:$O$33,1), MATCH(E435, F!$P$20:$AB$20,1)),0) +  IFERROR( Q435*INDEX(F!$P$21:$AB$33, MATCH(O435/$AH435, F!$O$21:$O$33,1), MATCH(E435, F!$P$20:$AB$20,1)), 0) + IFERROR( U435*INDEX(F!$P$21:$AB$33, MATCH(S435/$AH435, F!$O$21:$O$33,1), MATCH(E435, F!$P$20:$AB$20,1)),0)  + IFERROR(Y435*INDEX(F!$P$21:$AB$33, MATCH(W435/$AH435, F!$O$21:$O$33,1), MATCH(E435, F!$P$20:$AB$20,1)),0)  + IFERROR( AC435*INDEX(F!$P$21:$AB$33, MATCH(AA435/$AH435, F!$O$21:$O$33,1), MATCH(E435, F!$P$20:$AB$20,1)),)</f>
        <v>0</v>
      </c>
      <c r="AL435" s="5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ht="15.75" hidden="1" customHeight="1">
      <c r="A436" s="59"/>
      <c r="B436" s="135" t="str">
        <f t="shared" ref="B436:F436" si="852">IF(B380="","",B380)</f>
        <v/>
      </c>
      <c r="C436" s="136" t="str">
        <f t="shared" si="852"/>
        <v/>
      </c>
      <c r="D436" s="137" t="str">
        <f t="shared" si="852"/>
        <v/>
      </c>
      <c r="E436" s="48" t="str">
        <f t="shared" si="852"/>
        <v/>
      </c>
      <c r="F436" s="138" t="str">
        <f t="shared" si="852"/>
        <v/>
      </c>
      <c r="G436" s="139" t="str">
        <f t="shared" si="840"/>
        <v/>
      </c>
      <c r="H436" s="140"/>
      <c r="I436" s="140"/>
      <c r="J436" s="141"/>
      <c r="K436" s="139" t="str">
        <f t="shared" si="841"/>
        <v/>
      </c>
      <c r="L436" s="140"/>
      <c r="M436" s="140"/>
      <c r="N436" s="141"/>
      <c r="O436" s="139" t="str">
        <f t="shared" si="842"/>
        <v/>
      </c>
      <c r="P436" s="140"/>
      <c r="Q436" s="140"/>
      <c r="R436" s="141"/>
      <c r="S436" s="139" t="str">
        <f t="shared" si="843"/>
        <v/>
      </c>
      <c r="T436" s="140"/>
      <c r="U436" s="140"/>
      <c r="V436" s="141"/>
      <c r="W436" s="139" t="str">
        <f t="shared" si="844"/>
        <v/>
      </c>
      <c r="X436" s="140"/>
      <c r="Y436" s="140"/>
      <c r="Z436" s="141"/>
      <c r="AA436" s="139" t="str">
        <f t="shared" si="845"/>
        <v/>
      </c>
      <c r="AB436" s="140"/>
      <c r="AC436" s="140"/>
      <c r="AD436" s="141"/>
      <c r="AE436" s="142">
        <f t="shared" si="846"/>
        <v>0</v>
      </c>
      <c r="AF436" s="143">
        <f t="shared" si="770"/>
        <v>0</v>
      </c>
      <c r="AG436" s="144">
        <f t="shared" si="847"/>
        <v>0</v>
      </c>
      <c r="AH436" s="76" t="str">
        <f t="shared" si="848"/>
        <v/>
      </c>
      <c r="AI436" s="143">
        <f> ( IF(ISNUMBER(G436), VLOOKUP(G436/$AH436,F!$A1:$B101,2,1)*G436*$H436*$I436,0)+IF(ISNUMBER(K436), VLOOKUP(K436/$AH436,F!$A1:$B101,2,1)*K436*$L436*$M436,0)+IF(ISNUMBER(O436), VLOOKUP(O436/$AH436,F!$A1:$B101,2,1)*O436*$P436*$Q436,0)+IF(ISNUMBER(S436), VLOOKUP(S436/$AH436,F!$A1:$B101,2,1)*S436*$T436*$U436,0)+IF(ISNUMBER(W436), VLOOKUP(W436/$AH436,F!$A1:$B101,2,1)*W436*$X436*$Y436,0)+IF(ISNUMBER(AA436), VLOOKUP(AA436/$AH436,F!$A1:$B101,2,1)*AA436*$AB436*$AC436,0))*IF(ISNUMBER(F436),F436,1)*IF(ISNUMBER(E436),E436,1)</f>
        <v>0</v>
      </c>
      <c r="AJ436" s="140">
        <f t="shared" si="849"/>
        <v>0</v>
      </c>
      <c r="AK436" s="145">
        <f t="array" ref="AK436">IFERROR(I436*INDEX(F!$P$21:$AB$33, MATCH(G436/$AH436, F!$O$21:$O$33,1), MATCH(E436, F!$P$20:$AB$20,1)), 0 ) +IFERROR( M436*INDEX(F!$P$21:$AB$33, MATCH(K436/$AH436, F!$O$21:$O$33,1), MATCH(E436, F!$P$20:$AB$20,1)),0) +  IFERROR( Q436*INDEX(F!$P$21:$AB$33, MATCH(O436/$AH436, F!$O$21:$O$33,1), MATCH(E436, F!$P$20:$AB$20,1)), 0) + IFERROR( U436*INDEX(F!$P$21:$AB$33, MATCH(S436/$AH436, F!$O$21:$O$33,1), MATCH(E436, F!$P$20:$AB$20,1)),0)  + IFERROR(Y436*INDEX(F!$P$21:$AB$33, MATCH(W436/$AH436, F!$O$21:$O$33,1), MATCH(E436, F!$P$20:$AB$20,1)),0)  + IFERROR( AC436*INDEX(F!$P$21:$AB$33, MATCH(AA436/$AH436, F!$O$21:$O$33,1), MATCH(E436, F!$P$20:$AB$20,1)),)</f>
        <v>0</v>
      </c>
      <c r="AL436" s="5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ht="15.75" hidden="1" customHeight="1">
      <c r="A437" s="59"/>
      <c r="B437" s="126" t="str">
        <f t="shared" ref="B437:F437" si="853">IF(B381="","",B381)</f>
        <v/>
      </c>
      <c r="C437" s="127" t="str">
        <f t="shared" si="853"/>
        <v/>
      </c>
      <c r="D437" s="128" t="str">
        <f t="shared" si="853"/>
        <v/>
      </c>
      <c r="E437" s="48" t="str">
        <f t="shared" si="853"/>
        <v/>
      </c>
      <c r="F437" s="129" t="str">
        <f t="shared" si="853"/>
        <v/>
      </c>
      <c r="G437" s="130" t="str">
        <f t="shared" si="840"/>
        <v/>
      </c>
      <c r="H437" s="34"/>
      <c r="I437" s="34"/>
      <c r="J437" s="65"/>
      <c r="K437" s="130" t="str">
        <f t="shared" si="841"/>
        <v/>
      </c>
      <c r="L437" s="34"/>
      <c r="M437" s="34"/>
      <c r="N437" s="65"/>
      <c r="O437" s="130" t="str">
        <f t="shared" si="842"/>
        <v/>
      </c>
      <c r="P437" s="34"/>
      <c r="Q437" s="34"/>
      <c r="R437" s="65"/>
      <c r="S437" s="130" t="str">
        <f t="shared" si="843"/>
        <v/>
      </c>
      <c r="T437" s="34"/>
      <c r="U437" s="34"/>
      <c r="V437" s="65"/>
      <c r="W437" s="130" t="str">
        <f t="shared" si="844"/>
        <v/>
      </c>
      <c r="X437" s="34"/>
      <c r="Y437" s="34"/>
      <c r="Z437" s="65"/>
      <c r="AA437" s="130" t="str">
        <f t="shared" si="845"/>
        <v/>
      </c>
      <c r="AB437" s="34"/>
      <c r="AC437" s="34"/>
      <c r="AD437" s="65"/>
      <c r="AE437" s="131">
        <f t="shared" si="846"/>
        <v>0</v>
      </c>
      <c r="AF437" s="132">
        <f t="shared" si="770"/>
        <v>0</v>
      </c>
      <c r="AG437" s="133">
        <f t="shared" si="847"/>
        <v>0</v>
      </c>
      <c r="AH437" s="76" t="str">
        <f t="shared" si="848"/>
        <v/>
      </c>
      <c r="AI437" s="132">
        <f> ( IF(ISNUMBER(G437), VLOOKUP(G437/$AH437,F!$A1:$B101,2,1)*G437*$H437*$I437,0)+IF(ISNUMBER(K437), VLOOKUP(K437/$AH437,F!$A1:$B101,2,1)*K437*$L437*$M437,0)+IF(ISNUMBER(O437), VLOOKUP(O437/$AH437,F!$A1:$B101,2,1)*O437*$P437*$Q437,0)+IF(ISNUMBER(S437), VLOOKUP(S437/$AH437,F!$A1:$B101,2,1)*S437*$T437*$U437,0)+IF(ISNUMBER(W437), VLOOKUP(W437/$AH437,F!$A1:$B101,2,1)*W437*$X437*$Y437,0)+IF(ISNUMBER(AA437), VLOOKUP(AA437/$AH437,F!$A1:$B101,2,1)*AA437*$AB437*$AC437,0))*IF(ISNUMBER(F437),F437,1)*IF(ISNUMBER(E437),E437,1)</f>
        <v>0</v>
      </c>
      <c r="AJ437" s="34">
        <f t="shared" si="849"/>
        <v>0</v>
      </c>
      <c r="AK437" s="134">
        <f t="array" ref="AK437">IFERROR(I437*INDEX(F!$P$21:$AB$33, MATCH(G437/$AH437, F!$O$21:$O$33,1), MATCH(E437, F!$P$20:$AB$20,1)), 0 ) +IFERROR( M437*INDEX(F!$P$21:$AB$33, MATCH(K437/$AH437, F!$O$21:$O$33,1), MATCH(E437, F!$P$20:$AB$20,1)),0) +  IFERROR( Q437*INDEX(F!$P$21:$AB$33, MATCH(O437/$AH437, F!$O$21:$O$33,1), MATCH(E437, F!$P$20:$AB$20,1)), 0) + IFERROR( U437*INDEX(F!$P$21:$AB$33, MATCH(S437/$AH437, F!$O$21:$O$33,1), MATCH(E437, F!$P$20:$AB$20,1)),0)  + IFERROR(Y437*INDEX(F!$P$21:$AB$33, MATCH(W437/$AH437, F!$O$21:$O$33,1), MATCH(E437, F!$P$20:$AB$20,1)),0)  + IFERROR( AC437*INDEX(F!$P$21:$AB$33, MATCH(AA437/$AH437, F!$O$21:$O$33,1), MATCH(E437, F!$P$20:$AB$20,1)),)</f>
        <v>0</v>
      </c>
      <c r="AL437" s="5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ht="15.75" hidden="1" customHeight="1">
      <c r="A438" s="59"/>
      <c r="B438" s="135" t="str">
        <f t="shared" ref="B438:F438" si="854">IF(B382="","",B382)</f>
        <v/>
      </c>
      <c r="C438" s="136" t="str">
        <f t="shared" si="854"/>
        <v/>
      </c>
      <c r="D438" s="137" t="str">
        <f t="shared" si="854"/>
        <v/>
      </c>
      <c r="E438" s="48" t="str">
        <f t="shared" si="854"/>
        <v/>
      </c>
      <c r="F438" s="138" t="str">
        <f t="shared" si="854"/>
        <v/>
      </c>
      <c r="G438" s="139" t="str">
        <f t="shared" si="840"/>
        <v/>
      </c>
      <c r="H438" s="140"/>
      <c r="I438" s="140"/>
      <c r="J438" s="141"/>
      <c r="K438" s="139" t="str">
        <f t="shared" si="841"/>
        <v/>
      </c>
      <c r="L438" s="140"/>
      <c r="M438" s="140"/>
      <c r="N438" s="141"/>
      <c r="O438" s="139" t="str">
        <f t="shared" si="842"/>
        <v/>
      </c>
      <c r="P438" s="140"/>
      <c r="Q438" s="140"/>
      <c r="R438" s="141"/>
      <c r="S438" s="139" t="str">
        <f t="shared" si="843"/>
        <v/>
      </c>
      <c r="T438" s="140"/>
      <c r="U438" s="140"/>
      <c r="V438" s="141"/>
      <c r="W438" s="139" t="str">
        <f t="shared" si="844"/>
        <v/>
      </c>
      <c r="X438" s="140"/>
      <c r="Y438" s="140"/>
      <c r="Z438" s="141"/>
      <c r="AA438" s="139" t="str">
        <f t="shared" si="845"/>
        <v/>
      </c>
      <c r="AB438" s="140"/>
      <c r="AC438" s="140"/>
      <c r="AD438" s="141"/>
      <c r="AE438" s="142">
        <f t="shared" si="846"/>
        <v>0</v>
      </c>
      <c r="AF438" s="143">
        <f t="shared" si="770"/>
        <v>0</v>
      </c>
      <c r="AG438" s="144">
        <f t="shared" si="847"/>
        <v>0</v>
      </c>
      <c r="AH438" s="76" t="str">
        <f t="shared" si="848"/>
        <v/>
      </c>
      <c r="AI438" s="143">
        <f> ( IF(ISNUMBER(G438), VLOOKUP(G438/$AH438,F!$A1:$B101,2,1)*G438*$H438*$I438,0)+IF(ISNUMBER(K438), VLOOKUP(K438/$AH438,F!$A1:$B101,2,1)*K438*$L438*$M438,0)+IF(ISNUMBER(O438), VLOOKUP(O438/$AH438,F!$A1:$B101,2,1)*O438*$P438*$Q438,0)+IF(ISNUMBER(S438), VLOOKUP(S438/$AH438,F!$A1:$B101,2,1)*S438*$T438*$U438,0)+IF(ISNUMBER(W438), VLOOKUP(W438/$AH438,F!$A1:$B101,2,1)*W438*$X438*$Y438,0)+IF(ISNUMBER(AA438), VLOOKUP(AA438/$AH438,F!$A1:$B101,2,1)*AA438*$AB438*$AC438,0))*IF(ISNUMBER(F438),F438,1)*IF(ISNUMBER(E438),E438,1)</f>
        <v>0</v>
      </c>
      <c r="AJ438" s="140">
        <f t="shared" si="849"/>
        <v>0</v>
      </c>
      <c r="AK438" s="145">
        <f t="array" ref="AK438">IFERROR(I438*INDEX(F!$P$21:$AB$33, MATCH(G438/$AH438, F!$O$21:$O$33,1), MATCH(E438, F!$P$20:$AB$20,1)), 0 ) +IFERROR( M438*INDEX(F!$P$21:$AB$33, MATCH(K438/$AH438, F!$O$21:$O$33,1), MATCH(E438, F!$P$20:$AB$20,1)),0) +  IFERROR( Q438*INDEX(F!$P$21:$AB$33, MATCH(O438/$AH438, F!$O$21:$O$33,1), MATCH(E438, F!$P$20:$AB$20,1)), 0) + IFERROR( U438*INDEX(F!$P$21:$AB$33, MATCH(S438/$AH438, F!$O$21:$O$33,1), MATCH(E438, F!$P$20:$AB$20,1)),0)  + IFERROR(Y438*INDEX(F!$P$21:$AB$33, MATCH(W438/$AH438, F!$O$21:$O$33,1), MATCH(E438, F!$P$20:$AB$20,1)),0)  + IFERROR( AC438*INDEX(F!$P$21:$AB$33, MATCH(AA438/$AH438, F!$O$21:$O$33,1), MATCH(E438, F!$P$20:$AB$20,1)),)</f>
        <v>0</v>
      </c>
      <c r="AL438" s="5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ht="15.75" hidden="1" customHeight="1">
      <c r="A439" s="59"/>
      <c r="B439" s="126" t="str">
        <f t="shared" ref="B439:F439" si="855">IF(B383="","",B383)</f>
        <v/>
      </c>
      <c r="C439" s="127" t="str">
        <f t="shared" si="855"/>
        <v/>
      </c>
      <c r="D439" s="128" t="str">
        <f t="shared" si="855"/>
        <v/>
      </c>
      <c r="E439" s="48" t="str">
        <f t="shared" si="855"/>
        <v/>
      </c>
      <c r="F439" s="129" t="str">
        <f t="shared" si="855"/>
        <v/>
      </c>
      <c r="G439" s="130" t="str">
        <f t="shared" si="840"/>
        <v/>
      </c>
      <c r="H439" s="34"/>
      <c r="I439" s="34"/>
      <c r="J439" s="65"/>
      <c r="K439" s="130" t="str">
        <f t="shared" si="841"/>
        <v/>
      </c>
      <c r="L439" s="34"/>
      <c r="M439" s="34"/>
      <c r="N439" s="65"/>
      <c r="O439" s="130" t="str">
        <f t="shared" si="842"/>
        <v/>
      </c>
      <c r="P439" s="34"/>
      <c r="Q439" s="34"/>
      <c r="R439" s="65"/>
      <c r="S439" s="130" t="str">
        <f t="shared" si="843"/>
        <v/>
      </c>
      <c r="T439" s="34"/>
      <c r="U439" s="34"/>
      <c r="V439" s="65"/>
      <c r="W439" s="130" t="str">
        <f t="shared" si="844"/>
        <v/>
      </c>
      <c r="X439" s="34"/>
      <c r="Y439" s="34"/>
      <c r="Z439" s="65"/>
      <c r="AA439" s="130" t="str">
        <f t="shared" si="845"/>
        <v/>
      </c>
      <c r="AB439" s="34"/>
      <c r="AC439" s="34"/>
      <c r="AD439" s="65"/>
      <c r="AE439" s="131">
        <f t="shared" si="846"/>
        <v>0</v>
      </c>
      <c r="AF439" s="132">
        <f t="shared" si="770"/>
        <v>0</v>
      </c>
      <c r="AG439" s="133">
        <f t="shared" si="847"/>
        <v>0</v>
      </c>
      <c r="AH439" s="76" t="str">
        <f t="shared" si="848"/>
        <v/>
      </c>
      <c r="AI439" s="132">
        <f> ( IF(ISNUMBER(G439), VLOOKUP(G439/$AH439,F!$A1:$B101,2,1)*G439*$H439*$I439,0)+IF(ISNUMBER(K439), VLOOKUP(K439/$AH439,F!$A1:$B101,2,1)*K439*$L439*$M439,0)+IF(ISNUMBER(O439), VLOOKUP(O439/$AH439,F!$A1:$B101,2,1)*O439*$P439*$Q439,0)+IF(ISNUMBER(S439), VLOOKUP(S439/$AH439,F!$A1:$B101,2,1)*S439*$T439*$U439,0)+IF(ISNUMBER(W439), VLOOKUP(W439/$AH439,F!$A1:$B101,2,1)*W439*$X439*$Y439,0)+IF(ISNUMBER(AA439), VLOOKUP(AA439/$AH439,F!$A1:$B101,2,1)*AA439*$AB439*$AC439,0))*IF(ISNUMBER(F439),F439,1)*IF(ISNUMBER(E439),E439,1)</f>
        <v>0</v>
      </c>
      <c r="AJ439" s="34">
        <f t="shared" si="849"/>
        <v>0</v>
      </c>
      <c r="AK439" s="134">
        <f t="array" ref="AK439">IFERROR(I439*INDEX(F!$P$21:$AB$33, MATCH(G439/$AH439, F!$O$21:$O$33,1), MATCH(E439, F!$P$20:$AB$20,1)), 0 ) +IFERROR( M439*INDEX(F!$P$21:$AB$33, MATCH(K439/$AH439, F!$O$21:$O$33,1), MATCH(E439, F!$P$20:$AB$20,1)),0) +  IFERROR( Q439*INDEX(F!$P$21:$AB$33, MATCH(O439/$AH439, F!$O$21:$O$33,1), MATCH(E439, F!$P$20:$AB$20,1)), 0) + IFERROR( U439*INDEX(F!$P$21:$AB$33, MATCH(S439/$AH439, F!$O$21:$O$33,1), MATCH(E439, F!$P$20:$AB$20,1)),0)  + IFERROR(Y439*INDEX(F!$P$21:$AB$33, MATCH(W439/$AH439, F!$O$21:$O$33,1), MATCH(E439, F!$P$20:$AB$20,1)),0)  + IFERROR( AC439*INDEX(F!$P$21:$AB$33, MATCH(AA439/$AH439, F!$O$21:$O$33,1), MATCH(E439, F!$P$20:$AB$20,1)),)</f>
        <v>0</v>
      </c>
      <c r="AL439" s="5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ht="15.75" hidden="1" customHeight="1">
      <c r="A440" s="98"/>
      <c r="B440" s="150"/>
      <c r="C440" s="151"/>
      <c r="D440" s="152"/>
      <c r="E440" s="102">
        <f>ROUND(IFERROR(SUMPRODUCT(AJ432:AJ439,E432:E439)/AJ440,0),3)</f>
        <v>0</v>
      </c>
      <c r="F440" s="153"/>
      <c r="G440" s="154"/>
      <c r="H440" s="155"/>
      <c r="I440" s="155"/>
      <c r="J440" s="156"/>
      <c r="K440" s="154"/>
      <c r="L440" s="155"/>
      <c r="M440" s="155"/>
      <c r="N440" s="156"/>
      <c r="O440" s="154"/>
      <c r="P440" s="155"/>
      <c r="Q440" s="155"/>
      <c r="R440" s="156"/>
      <c r="S440" s="154"/>
      <c r="T440" s="155"/>
      <c r="U440" s="155"/>
      <c r="V440" s="156"/>
      <c r="W440" s="154"/>
      <c r="X440" s="155"/>
      <c r="Y440" s="155"/>
      <c r="Z440" s="156"/>
      <c r="AA440" s="154"/>
      <c r="AB440" s="155"/>
      <c r="AC440" s="155"/>
      <c r="AD440" s="156"/>
      <c r="AE440" s="107">
        <f>SUM(AE432:AE439)</f>
        <v>0</v>
      </c>
      <c r="AF440" s="108">
        <f t="shared" si="770"/>
        <v>0</v>
      </c>
      <c r="AG440" s="109">
        <f>IFERROR(  SUMPRODUCT(AG432:AG439,AJ432:AJ439)/AJ440,0)</f>
        <v>0</v>
      </c>
      <c r="AH440" s="157"/>
      <c r="AI440" s="111">
        <f t="shared" ref="AI440:AJ440" si="856">SUM(AI432:AI439)</f>
        <v>0</v>
      </c>
      <c r="AJ440" s="111">
        <f t="shared" si="856"/>
        <v>0</v>
      </c>
      <c r="AK440" s="112">
        <f>IF(SUM(AK432:AK439)=0,TIME(,0,),TIME(,SUM(AK432:AK439)+F!$V$37,))</f>
        <v>0</v>
      </c>
      <c r="AL440" s="98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ht="15.75" hidden="1" customHeight="1">
      <c r="A441" s="158">
        <f>A442</f>
        <v>43836</v>
      </c>
      <c r="B441" s="159" t="str">
        <f t="shared" ref="B441:F441" si="857">IF(B385="","",B385)</f>
        <v/>
      </c>
      <c r="C441" s="160" t="str">
        <f t="shared" si="857"/>
        <v/>
      </c>
      <c r="D441" s="161" t="str">
        <f t="shared" si="857"/>
        <v/>
      </c>
      <c r="E441" s="29" t="str">
        <f t="shared" si="857"/>
        <v/>
      </c>
      <c r="F441" s="162" t="str">
        <f t="shared" si="857"/>
        <v/>
      </c>
      <c r="G441" s="163" t="str">
        <f t="shared" ref="G441:G448" si="859">IF(J441&lt;&gt;0, IFERROR(IF( $F441=2,  MROUND($AH441*J441,1),    IF( OR($F441="",$F441=1),   MROUND($AH441*J441,2.5),  MROUND($AH441*J441, 0.1))), "" ), "")</f>
        <v/>
      </c>
      <c r="H441" s="164"/>
      <c r="I441" s="164"/>
      <c r="J441" s="165"/>
      <c r="K441" s="163" t="str">
        <f t="shared" ref="K441:K448" si="860">IF(N441&lt;&gt;0, IFERROR(IF( $F441=2,  MROUND($AH441*N441,1),    IF( OR($F441="",$F441=1),   MROUND($AH441*N441,2.5),  MROUND($AH441*N441, 0.1))), "" ), "")</f>
        <v/>
      </c>
      <c r="L441" s="164"/>
      <c r="M441" s="164"/>
      <c r="N441" s="165"/>
      <c r="O441" s="163" t="str">
        <f t="shared" ref="O441:O448" si="861">IF(R441&lt;&gt;0, IFERROR(IF( $F441=2,  MROUND($AH441*R441,1),    IF( OR($F441="",$F441=1),   MROUND($AH441*R441,2.5),  MROUND($AH441*R441, 0.1))), "" ), "")</f>
        <v/>
      </c>
      <c r="P441" s="164"/>
      <c r="Q441" s="164"/>
      <c r="R441" s="165"/>
      <c r="S441" s="163" t="str">
        <f t="shared" ref="S441:S448" si="862">IF(V441&lt;&gt;0, IFERROR(IF( $F441=2,  MROUND($AH441*V441,1),    IF( OR($F441="",$F441=1),   MROUND($AH441*V441,2.5),  MROUND($AH441*V441, 0.1))), "" ), "")</f>
        <v/>
      </c>
      <c r="T441" s="164"/>
      <c r="U441" s="164"/>
      <c r="V441" s="165"/>
      <c r="W441" s="163" t="str">
        <f t="shared" ref="W441:W448" si="863">IF(Z441&lt;&gt;0, IFERROR(IF( $F441=2,  MROUND($AH441*Z441,1),    IF( OR($F441="",$F441=1),   MROUND($AH441*Z441,2.5),  MROUND($AH441*Z441, 0.1))), "" ), "")</f>
        <v/>
      </c>
      <c r="X441" s="164"/>
      <c r="Y441" s="164"/>
      <c r="Z441" s="165"/>
      <c r="AA441" s="163" t="str">
        <f t="shared" ref="AA441:AA448" si="864">IF(AD441&lt;&gt;0, IFERROR(IF( $F441=2,  MROUND($AH441*AD441,1),    IF( OR($F441="",$F441=1),   MROUND($AH441*AD441,2.5),  MROUND($AH441*AD441, 0.1))), "" ), "")</f>
        <v/>
      </c>
      <c r="AB441" s="164"/>
      <c r="AC441" s="164"/>
      <c r="AD441" s="165"/>
      <c r="AE441" s="166">
        <f t="shared" ref="AE441:AE448" si="865">(IF(ISNUMBER(G441),G441,0)*H441*I441+IF(ISNUMBER(K441),K441,1)*L441*M441+IF(ISNUMBER(O441),O441,1)*P441*Q441+IF(ISNUMBER(S441),S441,1)*T441*U441+IF(ISNUMBER(W441),W441,1)*X441*Y441+IF(ISNUMBER(AA441),AA441,1)*AB441*AC441)*IF(ISNUMBER(F441),F441,1)</f>
        <v>0</v>
      </c>
      <c r="AF441" s="167">
        <f t="shared" si="770"/>
        <v>0</v>
      </c>
      <c r="AG441" s="168">
        <f t="shared" ref="AG441:AG448" si="866">IFERROR((AF441/(AH441*IF(ISNUMBER(F441),F441,1))),0)</f>
        <v>0</v>
      </c>
      <c r="AH441" s="169" t="str">
        <f t="shared" ref="AH441:AH448" si="867">IF(ISNUMBER(AH385), AH385+(AH385*$AH$394),"")</f>
        <v/>
      </c>
      <c r="AI441" s="167">
        <f> ( IF(ISNUMBER(G441), VLOOKUP(G441/$AH441,F!$A1:$B101,2,1)*G441*$H441*$I441,0)+IF(ISNUMBER(K441), VLOOKUP(K441/$AH441,F!$A1:$B101,2,1)*K441*$L441*$M441,0)+IF(ISNUMBER(O441), VLOOKUP(O441/$AH441,F!$A1:$B101,2,1)*O441*$P441*$Q441,0)+IF(ISNUMBER(S441), VLOOKUP(S441/$AH441,F!$A1:$B101,2,1)*S441*$T441*$U441,0)+IF(ISNUMBER(W441), VLOOKUP(W441/$AH441,F!$A1:$B101,2,1)*W441*$X441*$Y441,0)+IF(ISNUMBER(AA441), VLOOKUP(AA441/$AH441,F!$A1:$B101,2,1)*AA441*$AB441*$AC441,0))*IF(ISNUMBER(F441),F441,1)*IF(ISNUMBER(E441),E441,1)</f>
        <v>0</v>
      </c>
      <c r="AJ441" s="164">
        <f t="shared" ref="AJ441:AJ448" si="868">H441*I441+L441*M441+P441*Q441+T441*U441+X441*Y441+AB441*AC441</f>
        <v>0</v>
      </c>
      <c r="AK441" s="170">
        <f t="array" ref="AK441">IFERROR(I441*INDEX(F!$P$21:$AB$33, MATCH(G441/$AH441, F!$O$21:$O$33,1), MATCH(E441, F!$P$20:$AB$20,1)), 0 ) +IFERROR( M441*INDEX(F!$P$21:$AB$33, MATCH(K441/$AH441, F!$O$21:$O$33,1), MATCH(E441, F!$P$20:$AB$20,1)),0) +  IFERROR( Q441*INDEX(F!$P$21:$AB$33, MATCH(O441/$AH441, F!$O$21:$O$33,1), MATCH(E441, F!$P$20:$AB$20,1)), 0) + IFERROR( U441*INDEX(F!$P$21:$AB$33, MATCH(S441/$AH441, F!$O$21:$O$33,1), MATCH(E441, F!$P$20:$AB$20,1)),0)  + IFERROR(Y441*INDEX(F!$P$21:$AB$33, MATCH(W441/$AH441, F!$O$21:$O$33,1), MATCH(E441, F!$P$20:$AB$20,1)),0)  + IFERROR( AC441*INDEX(F!$P$21:$AB$33, MATCH(AA441/$AH441, F!$O$21:$O$33,1), MATCH(E441, F!$P$20:$AB$20,1)),)</f>
        <v>0</v>
      </c>
      <c r="AL441" s="42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ht="15.75" hidden="1" customHeight="1">
      <c r="A442" s="44">
        <f>A386+A338</f>
        <v>43836</v>
      </c>
      <c r="B442" s="135" t="str">
        <f t="shared" ref="B442:F442" si="858">IF(B386="","",B386)</f>
        <v/>
      </c>
      <c r="C442" s="136" t="str">
        <f t="shared" si="858"/>
        <v/>
      </c>
      <c r="D442" s="137" t="str">
        <f t="shared" si="858"/>
        <v/>
      </c>
      <c r="E442" s="48" t="str">
        <f t="shared" si="858"/>
        <v/>
      </c>
      <c r="F442" s="138" t="str">
        <f t="shared" si="858"/>
        <v/>
      </c>
      <c r="G442" s="139" t="str">
        <f t="shared" si="859"/>
        <v/>
      </c>
      <c r="H442" s="140"/>
      <c r="I442" s="140"/>
      <c r="J442" s="141"/>
      <c r="K442" s="139" t="str">
        <f t="shared" si="860"/>
        <v/>
      </c>
      <c r="L442" s="140"/>
      <c r="M442" s="140"/>
      <c r="N442" s="141"/>
      <c r="O442" s="139" t="str">
        <f t="shared" si="861"/>
        <v/>
      </c>
      <c r="P442" s="140"/>
      <c r="Q442" s="140"/>
      <c r="R442" s="141"/>
      <c r="S442" s="139" t="str">
        <f t="shared" si="862"/>
        <v/>
      </c>
      <c r="T442" s="140"/>
      <c r="U442" s="140"/>
      <c r="V442" s="141"/>
      <c r="W442" s="139" t="str">
        <f t="shared" si="863"/>
        <v/>
      </c>
      <c r="X442" s="140"/>
      <c r="Y442" s="140"/>
      <c r="Z442" s="141"/>
      <c r="AA442" s="139" t="str">
        <f t="shared" si="864"/>
        <v/>
      </c>
      <c r="AB442" s="140"/>
      <c r="AC442" s="140"/>
      <c r="AD442" s="141"/>
      <c r="AE442" s="142">
        <f t="shared" si="865"/>
        <v>0</v>
      </c>
      <c r="AF442" s="143">
        <f t="shared" si="770"/>
        <v>0</v>
      </c>
      <c r="AG442" s="144">
        <f t="shared" si="866"/>
        <v>0</v>
      </c>
      <c r="AH442" s="76" t="str">
        <f t="shared" si="867"/>
        <v/>
      </c>
      <c r="AI442" s="143">
        <f> ( IF(ISNUMBER(G442), VLOOKUP(G442/$AH442,F!$A1:$B101,2,1)*G442*$H442*$I442,0)+IF(ISNUMBER(K442), VLOOKUP(K442/$AH442,F!$A1:$B101,2,1)*K442*$L442*$M442,0)+IF(ISNUMBER(O442), VLOOKUP(O442/$AH442,F!$A1:$B101,2,1)*O442*$P442*$Q442,0)+IF(ISNUMBER(S442), VLOOKUP(S442/$AH442,F!$A1:$B101,2,1)*S442*$T442*$U442,0)+IF(ISNUMBER(W442), VLOOKUP(W442/$AH442,F!$A1:$B101,2,1)*W442*$X442*$Y442,0)+IF(ISNUMBER(AA442), VLOOKUP(AA442/$AH442,F!$A1:$B101,2,1)*AA442*$AB442*$AC442,0))*IF(ISNUMBER(F442),F442,1)*IF(ISNUMBER(E442),E442,1)</f>
        <v>0</v>
      </c>
      <c r="AJ442" s="140">
        <f t="shared" si="868"/>
        <v>0</v>
      </c>
      <c r="AK442" s="145">
        <f t="array" ref="AK442">IFERROR(I442*INDEX(F!$P$21:$AB$33, MATCH(G442/$AH442, F!$O$21:$O$33,1), MATCH(E442, F!$P$20:$AB$20,1)), 0 ) +IFERROR( M442*INDEX(F!$P$21:$AB$33, MATCH(K442/$AH442, F!$O$21:$O$33,1), MATCH(E442, F!$P$20:$AB$20,1)),0) +  IFERROR( Q442*INDEX(F!$P$21:$AB$33, MATCH(O442/$AH442, F!$O$21:$O$33,1), MATCH(E442, F!$P$20:$AB$20,1)), 0) + IFERROR( U442*INDEX(F!$P$21:$AB$33, MATCH(S442/$AH442, F!$O$21:$O$33,1), MATCH(E442, F!$P$20:$AB$20,1)),0)  + IFERROR(Y442*INDEX(F!$P$21:$AB$33, MATCH(W442/$AH442, F!$O$21:$O$33,1), MATCH(E442, F!$P$20:$AB$20,1)),0)  + IFERROR( AC442*INDEX(F!$P$21:$AB$33, MATCH(AA442/$AH442, F!$O$21:$O$33,1), MATCH(E442, F!$P$20:$AB$20,1)),)</f>
        <v>0</v>
      </c>
      <c r="AL442" s="5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ht="15.75" hidden="1" customHeight="1">
      <c r="A443" s="59"/>
      <c r="B443" s="173" t="str">
        <f t="shared" ref="B443:F443" si="869">IF(B387="","",B387)</f>
        <v/>
      </c>
      <c r="C443" s="174" t="str">
        <f t="shared" si="869"/>
        <v/>
      </c>
      <c r="D443" s="175" t="str">
        <f t="shared" si="869"/>
        <v/>
      </c>
      <c r="E443" s="48" t="str">
        <f t="shared" si="869"/>
        <v/>
      </c>
      <c r="F443" s="176" t="str">
        <f t="shared" si="869"/>
        <v/>
      </c>
      <c r="G443" s="177" t="str">
        <f t="shared" si="859"/>
        <v/>
      </c>
      <c r="H443" s="178"/>
      <c r="I443" s="178"/>
      <c r="J443" s="179"/>
      <c r="K443" s="177" t="str">
        <f t="shared" si="860"/>
        <v/>
      </c>
      <c r="L443" s="178"/>
      <c r="M443" s="178"/>
      <c r="N443" s="179"/>
      <c r="O443" s="177" t="str">
        <f t="shared" si="861"/>
        <v/>
      </c>
      <c r="P443" s="178"/>
      <c r="Q443" s="178"/>
      <c r="R443" s="179"/>
      <c r="S443" s="177" t="str">
        <f t="shared" si="862"/>
        <v/>
      </c>
      <c r="T443" s="178"/>
      <c r="U443" s="178"/>
      <c r="V443" s="179"/>
      <c r="W443" s="177" t="str">
        <f t="shared" si="863"/>
        <v/>
      </c>
      <c r="X443" s="178"/>
      <c r="Y443" s="178"/>
      <c r="Z443" s="179"/>
      <c r="AA443" s="177" t="str">
        <f t="shared" si="864"/>
        <v/>
      </c>
      <c r="AB443" s="178"/>
      <c r="AC443" s="178"/>
      <c r="AD443" s="179"/>
      <c r="AE443" s="180">
        <f t="shared" si="865"/>
        <v>0</v>
      </c>
      <c r="AF443" s="181">
        <f t="shared" si="770"/>
        <v>0</v>
      </c>
      <c r="AG443" s="182">
        <f t="shared" si="866"/>
        <v>0</v>
      </c>
      <c r="AH443" s="76" t="str">
        <f t="shared" si="867"/>
        <v/>
      </c>
      <c r="AI443" s="181">
        <f> ( IF(ISNUMBER(G443), VLOOKUP(G443/$AH443,F!$A1:$B101,2,1)*G443*$H443*$I443,0)+IF(ISNUMBER(K443), VLOOKUP(K443/$AH443,F!$A1:$B101,2,1)*K443*$L443*$M443,0)+IF(ISNUMBER(O443), VLOOKUP(O443/$AH443,F!$A1:$B101,2,1)*O443*$P443*$Q443,0)+IF(ISNUMBER(S443), VLOOKUP(S443/$AH443,F!$A1:$B101,2,1)*S443*$T443*$U443,0)+IF(ISNUMBER(W443), VLOOKUP(W443/$AH443,F!$A1:$B101,2,1)*W443*$X443*$Y443,0)+IF(ISNUMBER(AA443), VLOOKUP(AA443/$AH443,F!$A1:$B101,2,1)*AA443*$AB443*$AC443,0))*IF(ISNUMBER(F443),F443,1)*IF(ISNUMBER(E443),E443,1)</f>
        <v>0</v>
      </c>
      <c r="AJ443" s="178">
        <f t="shared" si="868"/>
        <v>0</v>
      </c>
      <c r="AK443" s="183">
        <f t="array" ref="AK443">IFERROR(I443*INDEX(F!$P$21:$AB$33, MATCH(G443/$AH443, F!$O$21:$O$33,1), MATCH(E443, F!$P$20:$AB$20,1)), 0 ) +IFERROR( M443*INDEX(F!$P$21:$AB$33, MATCH(K443/$AH443, F!$O$21:$O$33,1), MATCH(E443, F!$P$20:$AB$20,1)),0) +  IFERROR( Q443*INDEX(F!$P$21:$AB$33, MATCH(O443/$AH443, F!$O$21:$O$33,1), MATCH(E443, F!$P$20:$AB$20,1)), 0) + IFERROR( U443*INDEX(F!$P$21:$AB$33, MATCH(S443/$AH443, F!$O$21:$O$33,1), MATCH(E443, F!$P$20:$AB$20,1)),0)  + IFERROR(Y443*INDEX(F!$P$21:$AB$33, MATCH(W443/$AH443, F!$O$21:$O$33,1), MATCH(E443, F!$P$20:$AB$20,1)),0)  + IFERROR( AC443*INDEX(F!$P$21:$AB$33, MATCH(AA443/$AH443, F!$O$21:$O$33,1), MATCH(E443, F!$P$20:$AB$20,1)),)</f>
        <v>0</v>
      </c>
      <c r="AL443" s="5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ht="15.75" hidden="1" customHeight="1">
      <c r="A444" s="59"/>
      <c r="B444" s="135" t="str">
        <f t="shared" ref="B444:F444" si="870">IF(B388="","",B388)</f>
        <v/>
      </c>
      <c r="C444" s="136" t="str">
        <f t="shared" si="870"/>
        <v/>
      </c>
      <c r="D444" s="137" t="str">
        <f t="shared" si="870"/>
        <v/>
      </c>
      <c r="E444" s="48" t="str">
        <f t="shared" si="870"/>
        <v/>
      </c>
      <c r="F444" s="138" t="str">
        <f t="shared" si="870"/>
        <v/>
      </c>
      <c r="G444" s="139" t="str">
        <f t="shared" si="859"/>
        <v/>
      </c>
      <c r="H444" s="140"/>
      <c r="I444" s="140"/>
      <c r="J444" s="141"/>
      <c r="K444" s="139" t="str">
        <f t="shared" si="860"/>
        <v/>
      </c>
      <c r="L444" s="140"/>
      <c r="M444" s="140"/>
      <c r="N444" s="141"/>
      <c r="O444" s="139" t="str">
        <f t="shared" si="861"/>
        <v/>
      </c>
      <c r="P444" s="140"/>
      <c r="Q444" s="140"/>
      <c r="R444" s="141"/>
      <c r="S444" s="139" t="str">
        <f t="shared" si="862"/>
        <v/>
      </c>
      <c r="T444" s="140"/>
      <c r="U444" s="140"/>
      <c r="V444" s="141"/>
      <c r="W444" s="139" t="str">
        <f t="shared" si="863"/>
        <v/>
      </c>
      <c r="X444" s="140"/>
      <c r="Y444" s="140"/>
      <c r="Z444" s="141"/>
      <c r="AA444" s="139" t="str">
        <f t="shared" si="864"/>
        <v/>
      </c>
      <c r="AB444" s="140"/>
      <c r="AC444" s="140"/>
      <c r="AD444" s="141"/>
      <c r="AE444" s="142">
        <f t="shared" si="865"/>
        <v>0</v>
      </c>
      <c r="AF444" s="143">
        <f t="shared" si="770"/>
        <v>0</v>
      </c>
      <c r="AG444" s="144">
        <f t="shared" si="866"/>
        <v>0</v>
      </c>
      <c r="AH444" s="76" t="str">
        <f t="shared" si="867"/>
        <v/>
      </c>
      <c r="AI444" s="143">
        <f> ( IF(ISNUMBER(G444), VLOOKUP(G444/$AH444,F!$A1:$B101,2,1)*G444*$H444*$I444,0)+IF(ISNUMBER(K444), VLOOKUP(K444/$AH444,F!$A1:$B101,2,1)*K444*$L444*$M444,0)+IF(ISNUMBER(O444), VLOOKUP(O444/$AH444,F!$A1:$B101,2,1)*O444*$P444*$Q444,0)+IF(ISNUMBER(S444), VLOOKUP(S444/$AH444,F!$A1:$B101,2,1)*S444*$T444*$U444,0)+IF(ISNUMBER(W444), VLOOKUP(W444/$AH444,F!$A1:$B101,2,1)*W444*$X444*$Y444,0)+IF(ISNUMBER(AA444), VLOOKUP(AA444/$AH444,F!$A1:$B101,2,1)*AA444*$AB444*$AC444,0))*IF(ISNUMBER(F444),F444,1)*IF(ISNUMBER(E444),E444,1)</f>
        <v>0</v>
      </c>
      <c r="AJ444" s="140">
        <f t="shared" si="868"/>
        <v>0</v>
      </c>
      <c r="AK444" s="145">
        <f t="array" ref="AK444">IFERROR(I444*INDEX(F!$P$21:$AB$33, MATCH(G444/$AH444, F!$O$21:$O$33,1), MATCH(E444, F!$P$20:$AB$20,1)), 0 ) +IFERROR( M444*INDEX(F!$P$21:$AB$33, MATCH(K444/$AH444, F!$O$21:$O$33,1), MATCH(E444, F!$P$20:$AB$20,1)),0) +  IFERROR( Q444*INDEX(F!$P$21:$AB$33, MATCH(O444/$AH444, F!$O$21:$O$33,1), MATCH(E444, F!$P$20:$AB$20,1)), 0) + IFERROR( U444*INDEX(F!$P$21:$AB$33, MATCH(S444/$AH444, F!$O$21:$O$33,1), MATCH(E444, F!$P$20:$AB$20,1)),0)  + IFERROR(Y444*INDEX(F!$P$21:$AB$33, MATCH(W444/$AH444, F!$O$21:$O$33,1), MATCH(E444, F!$P$20:$AB$20,1)),0)  + IFERROR( AC444*INDEX(F!$P$21:$AB$33, MATCH(AA444/$AH444, F!$O$21:$O$33,1), MATCH(E444, F!$P$20:$AB$20,1)),)</f>
        <v>0</v>
      </c>
      <c r="AL444" s="5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ht="15.75" hidden="1" customHeight="1">
      <c r="A445" s="59"/>
      <c r="B445" s="173" t="str">
        <f t="shared" ref="B445:F445" si="871">IF(B389="","",B389)</f>
        <v/>
      </c>
      <c r="C445" s="174" t="str">
        <f t="shared" si="871"/>
        <v/>
      </c>
      <c r="D445" s="175" t="str">
        <f t="shared" si="871"/>
        <v/>
      </c>
      <c r="E445" s="48" t="str">
        <f t="shared" si="871"/>
        <v/>
      </c>
      <c r="F445" s="176" t="str">
        <f t="shared" si="871"/>
        <v/>
      </c>
      <c r="G445" s="177" t="str">
        <f t="shared" si="859"/>
        <v/>
      </c>
      <c r="H445" s="178"/>
      <c r="I445" s="178"/>
      <c r="J445" s="179"/>
      <c r="K445" s="177" t="str">
        <f t="shared" si="860"/>
        <v/>
      </c>
      <c r="L445" s="178"/>
      <c r="M445" s="178"/>
      <c r="N445" s="179"/>
      <c r="O445" s="177" t="str">
        <f t="shared" si="861"/>
        <v/>
      </c>
      <c r="P445" s="178"/>
      <c r="Q445" s="178"/>
      <c r="R445" s="179"/>
      <c r="S445" s="177" t="str">
        <f t="shared" si="862"/>
        <v/>
      </c>
      <c r="T445" s="178"/>
      <c r="U445" s="178"/>
      <c r="V445" s="179"/>
      <c r="W445" s="177" t="str">
        <f t="shared" si="863"/>
        <v/>
      </c>
      <c r="X445" s="178"/>
      <c r="Y445" s="178"/>
      <c r="Z445" s="179"/>
      <c r="AA445" s="177" t="str">
        <f t="shared" si="864"/>
        <v/>
      </c>
      <c r="AB445" s="178"/>
      <c r="AC445" s="178"/>
      <c r="AD445" s="179"/>
      <c r="AE445" s="180">
        <f t="shared" si="865"/>
        <v>0</v>
      </c>
      <c r="AF445" s="181">
        <f t="shared" si="770"/>
        <v>0</v>
      </c>
      <c r="AG445" s="182">
        <f t="shared" si="866"/>
        <v>0</v>
      </c>
      <c r="AH445" s="76" t="str">
        <f t="shared" si="867"/>
        <v/>
      </c>
      <c r="AI445" s="181">
        <f> ( IF(ISNUMBER(G445), VLOOKUP(G445/$AH445,F!$A1:$B101,2,1)*G445*$H445*$I445,0)+IF(ISNUMBER(K445), VLOOKUP(K445/$AH445,F!$A1:$B101,2,1)*K445*$L445*$M445,0)+IF(ISNUMBER(O445), VLOOKUP(O445/$AH445,F!$A1:$B101,2,1)*O445*$P445*$Q445,0)+IF(ISNUMBER(S445), VLOOKUP(S445/$AH445,F!$A1:$B101,2,1)*S445*$T445*$U445,0)+IF(ISNUMBER(W445), VLOOKUP(W445/$AH445,F!$A1:$B101,2,1)*W445*$X445*$Y445,0)+IF(ISNUMBER(AA445), VLOOKUP(AA445/$AH445,F!$A1:$B101,2,1)*AA445*$AB445*$AC445,0))*IF(ISNUMBER(F445),F445,1)*IF(ISNUMBER(E445),E445,1)</f>
        <v>0</v>
      </c>
      <c r="AJ445" s="178">
        <f t="shared" si="868"/>
        <v>0</v>
      </c>
      <c r="AK445" s="183">
        <f t="array" ref="AK445">IFERROR(I445*INDEX(F!$P$21:$AB$33, MATCH(G445/$AH445, F!$O$21:$O$33,1), MATCH(E445, F!$P$20:$AB$20,1)), 0 ) +IFERROR( M445*INDEX(F!$P$21:$AB$33, MATCH(K445/$AH445, F!$O$21:$O$33,1), MATCH(E445, F!$P$20:$AB$20,1)),0) +  IFERROR( Q445*INDEX(F!$P$21:$AB$33, MATCH(O445/$AH445, F!$O$21:$O$33,1), MATCH(E445, F!$P$20:$AB$20,1)), 0) + IFERROR( U445*INDEX(F!$P$21:$AB$33, MATCH(S445/$AH445, F!$O$21:$O$33,1), MATCH(E445, F!$P$20:$AB$20,1)),0)  + IFERROR(Y445*INDEX(F!$P$21:$AB$33, MATCH(W445/$AH445, F!$O$21:$O$33,1), MATCH(E445, F!$P$20:$AB$20,1)),0)  + IFERROR( AC445*INDEX(F!$P$21:$AB$33, MATCH(AA445/$AH445, F!$O$21:$O$33,1), MATCH(E445, F!$P$20:$AB$20,1)),)</f>
        <v>0</v>
      </c>
      <c r="AL445" s="5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ht="15.75" hidden="1" customHeight="1">
      <c r="A446" s="59"/>
      <c r="B446" s="135" t="str">
        <f t="shared" ref="B446:F446" si="872">IF(B390="","",B390)</f>
        <v/>
      </c>
      <c r="C446" s="136" t="str">
        <f t="shared" si="872"/>
        <v/>
      </c>
      <c r="D446" s="137" t="str">
        <f t="shared" si="872"/>
        <v/>
      </c>
      <c r="E446" s="48" t="str">
        <f t="shared" si="872"/>
        <v/>
      </c>
      <c r="F446" s="138" t="str">
        <f t="shared" si="872"/>
        <v/>
      </c>
      <c r="G446" s="139" t="str">
        <f t="shared" si="859"/>
        <v/>
      </c>
      <c r="H446" s="140"/>
      <c r="I446" s="140"/>
      <c r="J446" s="141"/>
      <c r="K446" s="139" t="str">
        <f t="shared" si="860"/>
        <v/>
      </c>
      <c r="L446" s="140"/>
      <c r="M446" s="140"/>
      <c r="N446" s="141"/>
      <c r="O446" s="139" t="str">
        <f t="shared" si="861"/>
        <v/>
      </c>
      <c r="P446" s="140"/>
      <c r="Q446" s="140"/>
      <c r="R446" s="141"/>
      <c r="S446" s="139" t="str">
        <f t="shared" si="862"/>
        <v/>
      </c>
      <c r="T446" s="140"/>
      <c r="U446" s="140"/>
      <c r="V446" s="141"/>
      <c r="W446" s="139" t="str">
        <f t="shared" si="863"/>
        <v/>
      </c>
      <c r="X446" s="140"/>
      <c r="Y446" s="140"/>
      <c r="Z446" s="141"/>
      <c r="AA446" s="139" t="str">
        <f t="shared" si="864"/>
        <v/>
      </c>
      <c r="AB446" s="140"/>
      <c r="AC446" s="140"/>
      <c r="AD446" s="141"/>
      <c r="AE446" s="142">
        <f t="shared" si="865"/>
        <v>0</v>
      </c>
      <c r="AF446" s="143">
        <f t="shared" si="770"/>
        <v>0</v>
      </c>
      <c r="AG446" s="144">
        <f t="shared" si="866"/>
        <v>0</v>
      </c>
      <c r="AH446" s="76" t="str">
        <f t="shared" si="867"/>
        <v/>
      </c>
      <c r="AI446" s="143">
        <f> ( IF(ISNUMBER(G446), VLOOKUP(G446/$AH446,F!$A1:$B101,2,1)*G446*$H446*$I446,0)+IF(ISNUMBER(K446), VLOOKUP(K446/$AH446,F!$A1:$B101,2,1)*K446*$L446*$M446,0)+IF(ISNUMBER(O446), VLOOKUP(O446/$AH446,F!$A1:$B101,2,1)*O446*$P446*$Q446,0)+IF(ISNUMBER(S446), VLOOKUP(S446/$AH446,F!$A1:$B101,2,1)*S446*$T446*$U446,0)+IF(ISNUMBER(W446), VLOOKUP(W446/$AH446,F!$A1:$B101,2,1)*W446*$X446*$Y446,0)+IF(ISNUMBER(AA446), VLOOKUP(AA446/$AH446,F!$A1:$B101,2,1)*AA446*$AB446*$AC446,0))*IF(ISNUMBER(F446),F446,1)*IF(ISNUMBER(E446),E446,1)</f>
        <v>0</v>
      </c>
      <c r="AJ446" s="140">
        <f t="shared" si="868"/>
        <v>0</v>
      </c>
      <c r="AK446" s="145">
        <f t="array" ref="AK446">IFERROR(I446*INDEX(F!$P$21:$AB$33, MATCH(G446/$AH446, F!$O$21:$O$33,1), MATCH(E446, F!$P$20:$AB$20,1)), 0 ) +IFERROR( M446*INDEX(F!$P$21:$AB$33, MATCH(K446/$AH446, F!$O$21:$O$33,1), MATCH(E446, F!$P$20:$AB$20,1)),0) +  IFERROR( Q446*INDEX(F!$P$21:$AB$33, MATCH(O446/$AH446, F!$O$21:$O$33,1), MATCH(E446, F!$P$20:$AB$20,1)), 0) + IFERROR( U446*INDEX(F!$P$21:$AB$33, MATCH(S446/$AH446, F!$O$21:$O$33,1), MATCH(E446, F!$P$20:$AB$20,1)),0)  + IFERROR(Y446*INDEX(F!$P$21:$AB$33, MATCH(W446/$AH446, F!$O$21:$O$33,1), MATCH(E446, F!$P$20:$AB$20,1)),0)  + IFERROR( AC446*INDEX(F!$P$21:$AB$33, MATCH(AA446/$AH446, F!$O$21:$O$33,1), MATCH(E446, F!$P$20:$AB$20,1)),)</f>
        <v>0</v>
      </c>
      <c r="AL446" s="5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ht="15.75" hidden="1" customHeight="1">
      <c r="A447" s="59"/>
      <c r="B447" s="173" t="str">
        <f t="shared" ref="B447:F447" si="873">IF(B391="","",B391)</f>
        <v/>
      </c>
      <c r="C447" s="174" t="str">
        <f t="shared" si="873"/>
        <v/>
      </c>
      <c r="D447" s="175" t="str">
        <f t="shared" si="873"/>
        <v/>
      </c>
      <c r="E447" s="48" t="str">
        <f t="shared" si="873"/>
        <v/>
      </c>
      <c r="F447" s="176" t="str">
        <f t="shared" si="873"/>
        <v/>
      </c>
      <c r="G447" s="177" t="str">
        <f t="shared" si="859"/>
        <v/>
      </c>
      <c r="H447" s="178"/>
      <c r="I447" s="178"/>
      <c r="J447" s="179"/>
      <c r="K447" s="177" t="str">
        <f t="shared" si="860"/>
        <v/>
      </c>
      <c r="L447" s="178"/>
      <c r="M447" s="178"/>
      <c r="N447" s="179"/>
      <c r="O447" s="177" t="str">
        <f t="shared" si="861"/>
        <v/>
      </c>
      <c r="P447" s="178"/>
      <c r="Q447" s="178"/>
      <c r="R447" s="179"/>
      <c r="S447" s="177" t="str">
        <f t="shared" si="862"/>
        <v/>
      </c>
      <c r="T447" s="178"/>
      <c r="U447" s="178"/>
      <c r="V447" s="179"/>
      <c r="W447" s="177" t="str">
        <f t="shared" si="863"/>
        <v/>
      </c>
      <c r="X447" s="178"/>
      <c r="Y447" s="178"/>
      <c r="Z447" s="179"/>
      <c r="AA447" s="177" t="str">
        <f t="shared" si="864"/>
        <v/>
      </c>
      <c r="AB447" s="178"/>
      <c r="AC447" s="178"/>
      <c r="AD447" s="179"/>
      <c r="AE447" s="180">
        <f t="shared" si="865"/>
        <v>0</v>
      </c>
      <c r="AF447" s="181">
        <f t="shared" si="770"/>
        <v>0</v>
      </c>
      <c r="AG447" s="182">
        <f t="shared" si="866"/>
        <v>0</v>
      </c>
      <c r="AH447" s="76" t="str">
        <f t="shared" si="867"/>
        <v/>
      </c>
      <c r="AI447" s="181">
        <f> ( IF(ISNUMBER(G447), VLOOKUP(G447/$AH447,F!$A1:$B101,2,1)*G447*$H447*$I447,0)+IF(ISNUMBER(K447), VLOOKUP(K447/$AH447,F!$A1:$B101,2,1)*K447*$L447*$M447,0)+IF(ISNUMBER(O447), VLOOKUP(O447/$AH447,F!$A1:$B101,2,1)*O447*$P447*$Q447,0)+IF(ISNUMBER(S447), VLOOKUP(S447/$AH447,F!$A1:$B101,2,1)*S447*$T447*$U447,0)+IF(ISNUMBER(W447), VLOOKUP(W447/$AH447,F!$A1:$B101,2,1)*W447*$X447*$Y447,0)+IF(ISNUMBER(AA447), VLOOKUP(AA447/$AH447,F!$A1:$B101,2,1)*AA447*$AB447*$AC447,0))*IF(ISNUMBER(F447),F447,1)*IF(ISNUMBER(E447),E447,1)</f>
        <v>0</v>
      </c>
      <c r="AJ447" s="178">
        <f t="shared" si="868"/>
        <v>0</v>
      </c>
      <c r="AK447" s="183">
        <f t="array" ref="AK447">IFERROR(I447*INDEX(F!$P$21:$AB$33, MATCH(G447/$AH447, F!$O$21:$O$33,1), MATCH(E447, F!$P$20:$AB$20,1)), 0 ) +IFERROR( M447*INDEX(F!$P$21:$AB$33, MATCH(K447/$AH447, F!$O$21:$O$33,1), MATCH(E447, F!$P$20:$AB$20,1)),0) +  IFERROR( Q447*INDEX(F!$P$21:$AB$33, MATCH(O447/$AH447, F!$O$21:$O$33,1), MATCH(E447, F!$P$20:$AB$20,1)), 0) + IFERROR( U447*INDEX(F!$P$21:$AB$33, MATCH(S447/$AH447, F!$O$21:$O$33,1), MATCH(E447, F!$P$20:$AB$20,1)),0)  + IFERROR(Y447*INDEX(F!$P$21:$AB$33, MATCH(W447/$AH447, F!$O$21:$O$33,1), MATCH(E447, F!$P$20:$AB$20,1)),0)  + IFERROR( AC447*INDEX(F!$P$21:$AB$33, MATCH(AA447/$AH447, F!$O$21:$O$33,1), MATCH(E447, F!$P$20:$AB$20,1)),)</f>
        <v>0</v>
      </c>
      <c r="AL447" s="5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ht="15.75" hidden="1" customHeight="1">
      <c r="A448" s="59"/>
      <c r="B448" s="135" t="str">
        <f t="shared" ref="B448:F448" si="874">IF(B392="","",B392)</f>
        <v/>
      </c>
      <c r="C448" s="136" t="str">
        <f t="shared" si="874"/>
        <v/>
      </c>
      <c r="D448" s="137" t="str">
        <f t="shared" si="874"/>
        <v/>
      </c>
      <c r="E448" s="48" t="str">
        <f t="shared" si="874"/>
        <v/>
      </c>
      <c r="F448" s="138" t="str">
        <f t="shared" si="874"/>
        <v/>
      </c>
      <c r="G448" s="139" t="str">
        <f t="shared" si="859"/>
        <v/>
      </c>
      <c r="H448" s="140"/>
      <c r="I448" s="140"/>
      <c r="J448" s="141"/>
      <c r="K448" s="139" t="str">
        <f t="shared" si="860"/>
        <v/>
      </c>
      <c r="L448" s="140"/>
      <c r="M448" s="140"/>
      <c r="N448" s="141"/>
      <c r="O448" s="139" t="str">
        <f t="shared" si="861"/>
        <v/>
      </c>
      <c r="P448" s="140"/>
      <c r="Q448" s="140"/>
      <c r="R448" s="141"/>
      <c r="S448" s="139" t="str">
        <f t="shared" si="862"/>
        <v/>
      </c>
      <c r="T448" s="140"/>
      <c r="U448" s="140"/>
      <c r="V448" s="141"/>
      <c r="W448" s="139" t="str">
        <f t="shared" si="863"/>
        <v/>
      </c>
      <c r="X448" s="140"/>
      <c r="Y448" s="140"/>
      <c r="Z448" s="141"/>
      <c r="AA448" s="139" t="str">
        <f t="shared" si="864"/>
        <v/>
      </c>
      <c r="AB448" s="140"/>
      <c r="AC448" s="140"/>
      <c r="AD448" s="141"/>
      <c r="AE448" s="142">
        <f t="shared" si="865"/>
        <v>0</v>
      </c>
      <c r="AF448" s="143">
        <f t="shared" si="770"/>
        <v>0</v>
      </c>
      <c r="AG448" s="144">
        <f t="shared" si="866"/>
        <v>0</v>
      </c>
      <c r="AH448" s="76" t="str">
        <f t="shared" si="867"/>
        <v/>
      </c>
      <c r="AI448" s="143">
        <f> ( IF(ISNUMBER(G448), VLOOKUP(G448/$AH448,F!$A1:$B101,2,1)*G448*$H448*$I448,0)+IF(ISNUMBER(K448), VLOOKUP(K448/$AH448,F!$A1:$B101,2,1)*K448*$L448*$M448,0)+IF(ISNUMBER(O448), VLOOKUP(O448/$AH448,F!$A1:$B101,2,1)*O448*$P448*$Q448,0)+IF(ISNUMBER(S448), VLOOKUP(S448/$AH448,F!$A1:$B101,2,1)*S448*$T448*$U448,0)+IF(ISNUMBER(W448), VLOOKUP(W448/$AH448,F!$A1:$B101,2,1)*W448*$X448*$Y448,0)+IF(ISNUMBER(AA448), VLOOKUP(AA448/$AH448,F!$A1:$B101,2,1)*AA448*$AB448*$AC448,0))*IF(ISNUMBER(F448),F448,1)*IF(ISNUMBER(E448),E448,1)</f>
        <v>0</v>
      </c>
      <c r="AJ448" s="140">
        <f t="shared" si="868"/>
        <v>0</v>
      </c>
      <c r="AK448" s="145">
        <f t="array" ref="AK448">IFERROR(I448*INDEX(F!$P$21:$AB$33, MATCH(G448/$AH448, F!$O$21:$O$33,1), MATCH(E448, F!$P$20:$AB$20,1)), 0 ) +IFERROR( M448*INDEX(F!$P$21:$AB$33, MATCH(K448/$AH448, F!$O$21:$O$33,1), MATCH(E448, F!$P$20:$AB$20,1)),0) +  IFERROR( Q448*INDEX(F!$P$21:$AB$33, MATCH(O448/$AH448, F!$O$21:$O$33,1), MATCH(E448, F!$P$20:$AB$20,1)), 0) + IFERROR( U448*INDEX(F!$P$21:$AB$33, MATCH(S448/$AH448, F!$O$21:$O$33,1), MATCH(E448, F!$P$20:$AB$20,1)),0)  + IFERROR(Y448*INDEX(F!$P$21:$AB$33, MATCH(W448/$AH448, F!$O$21:$O$33,1), MATCH(E448, F!$P$20:$AB$20,1)),0)  + IFERROR( AC448*INDEX(F!$P$21:$AB$33, MATCH(AA448/$AH448, F!$O$21:$O$33,1), MATCH(E448, F!$P$20:$AB$20,1)),)</f>
        <v>0</v>
      </c>
      <c r="AL448" s="5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ht="15.75" hidden="1" customHeight="1">
      <c r="A449" s="98"/>
      <c r="B449" s="188"/>
      <c r="C449" s="189"/>
      <c r="D449" s="190"/>
      <c r="E449" s="102">
        <f>ROUND(IFERROR(SUMPRODUCT(AJ441:AJ448,E441:E448)/AJ449,0),3)</f>
        <v>0</v>
      </c>
      <c r="F449" s="191"/>
      <c r="G449" s="201"/>
      <c r="H449" s="193"/>
      <c r="I449" s="193"/>
      <c r="J449" s="194"/>
      <c r="K449" s="201"/>
      <c r="L449" s="193"/>
      <c r="M449" s="193"/>
      <c r="N449" s="194"/>
      <c r="O449" s="201"/>
      <c r="P449" s="193"/>
      <c r="Q449" s="193"/>
      <c r="R449" s="194"/>
      <c r="S449" s="201"/>
      <c r="T449" s="193"/>
      <c r="U449" s="193"/>
      <c r="V449" s="194"/>
      <c r="W449" s="201"/>
      <c r="X449" s="193"/>
      <c r="Y449" s="193"/>
      <c r="Z449" s="194"/>
      <c r="AA449" s="201"/>
      <c r="AB449" s="193"/>
      <c r="AC449" s="193"/>
      <c r="AD449" s="194"/>
      <c r="AE449" s="107">
        <f>SUM(AE441:AE448)</f>
        <v>0</v>
      </c>
      <c r="AF449" s="108">
        <f t="shared" si="770"/>
        <v>0</v>
      </c>
      <c r="AG449" s="109">
        <f>IFERROR(  SUMPRODUCT(AG441:AG448,AJ441:AJ448)/AJ449,0)</f>
        <v>0</v>
      </c>
      <c r="AH449" s="157"/>
      <c r="AI449" s="111">
        <f t="shared" ref="AI449:AJ449" si="875">SUM(AI441:AI448)</f>
        <v>0</v>
      </c>
      <c r="AJ449" s="111">
        <f t="shared" si="875"/>
        <v>0</v>
      </c>
      <c r="AK449" s="112">
        <f>IF(SUM(AK441:AK448)=0,TIME(,0,),TIME(,SUM(AK441:AK448)+F!$V$37,))</f>
        <v>0</v>
      </c>
      <c r="AL449" s="98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ht="15.75" hidden="1" customHeight="1">
      <c r="A450" s="5">
        <f>A394</f>
        <v>7</v>
      </c>
      <c r="B450" s="6"/>
      <c r="C450" s="6"/>
      <c r="D450" s="6"/>
      <c r="E450" s="7">
        <f>IF(AJ450=0,0,(E460*AJ460 + E469*AJ469 + E478*AJ478 + E487*AJ487 + E496*AJ496 + E505*AJ505   ) /AJ450 )</f>
        <v>0</v>
      </c>
      <c r="F450" s="8" t="s">
        <v>0</v>
      </c>
      <c r="G450" s="9"/>
      <c r="H450" s="9"/>
      <c r="I450" s="9"/>
      <c r="J450" s="9"/>
      <c r="K450" s="9"/>
      <c r="L450" s="9"/>
      <c r="M450" s="10"/>
      <c r="N450" s="228">
        <f>N394+1</f>
        <v>9</v>
      </c>
      <c r="O450" s="222"/>
      <c r="P450" s="222"/>
      <c r="Q450" s="222"/>
      <c r="R450" s="222"/>
      <c r="S450" s="222"/>
      <c r="T450" s="222"/>
      <c r="U450" s="222"/>
      <c r="V450" s="222"/>
      <c r="W450" s="222"/>
      <c r="X450" s="222"/>
      <c r="Y450" s="222"/>
      <c r="Z450" s="222"/>
      <c r="AA450" s="222"/>
      <c r="AB450" s="222"/>
      <c r="AC450" s="222"/>
      <c r="AD450" s="223"/>
      <c r="AE450" s="5">
        <f>AE460+AE469+AE478+AE487+AE496+AE505</f>
        <v>0</v>
      </c>
      <c r="AF450" s="229">
        <f t="shared" si="770"/>
        <v>0</v>
      </c>
      <c r="AG450" s="230">
        <f>IF(AJ450=0,0,(AG460*AJ460 + AG469*AJ469 + AG478*AJ478 + AG487*AJ487 + AG496*AJ496 + AG505*AJ505   ) /AJ450 )</f>
        <v>0</v>
      </c>
      <c r="AH450" s="210">
        <f>AH394</f>
        <v>0.02</v>
      </c>
      <c r="AI450" s="5">
        <f t="shared" ref="AI450:AK450" si="876">AI460+AI469+AI478+AI487+AI496+AI505</f>
        <v>0</v>
      </c>
      <c r="AJ450" s="5">
        <f t="shared" si="876"/>
        <v>0</v>
      </c>
      <c r="AK450" s="231">
        <f t="shared" si="876"/>
        <v>0</v>
      </c>
      <c r="AL450" s="218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ht="15.75" hidden="1" customHeight="1">
      <c r="A451" s="19" t="s">
        <v>1</v>
      </c>
      <c r="B451" s="20" t="s">
        <v>2</v>
      </c>
      <c r="C451" s="20" t="s">
        <v>3</v>
      </c>
      <c r="D451" s="20" t="s">
        <v>4</v>
      </c>
      <c r="E451" s="20" t="s">
        <v>5</v>
      </c>
      <c r="F451" s="20" t="s">
        <v>6</v>
      </c>
      <c r="G451" s="20" t="s">
        <v>7</v>
      </c>
      <c r="H451" s="20" t="s">
        <v>8</v>
      </c>
      <c r="I451" s="20" t="s">
        <v>9</v>
      </c>
      <c r="J451" s="20" t="s">
        <v>10</v>
      </c>
      <c r="K451" s="20" t="s">
        <v>7</v>
      </c>
      <c r="L451" s="20" t="s">
        <v>8</v>
      </c>
      <c r="M451" s="20" t="s">
        <v>9</v>
      </c>
      <c r="N451" s="20" t="s">
        <v>10</v>
      </c>
      <c r="O451" s="20" t="s">
        <v>7</v>
      </c>
      <c r="P451" s="20" t="s">
        <v>8</v>
      </c>
      <c r="Q451" s="20" t="s">
        <v>9</v>
      </c>
      <c r="R451" s="20" t="s">
        <v>10</v>
      </c>
      <c r="S451" s="20" t="s">
        <v>7</v>
      </c>
      <c r="T451" s="20" t="s">
        <v>8</v>
      </c>
      <c r="U451" s="20" t="s">
        <v>9</v>
      </c>
      <c r="V451" s="20" t="s">
        <v>10</v>
      </c>
      <c r="W451" s="20" t="s">
        <v>7</v>
      </c>
      <c r="X451" s="20" t="s">
        <v>8</v>
      </c>
      <c r="Y451" s="20" t="s">
        <v>9</v>
      </c>
      <c r="Z451" s="20" t="s">
        <v>10</v>
      </c>
      <c r="AA451" s="20" t="s">
        <v>7</v>
      </c>
      <c r="AB451" s="20" t="s">
        <v>8</v>
      </c>
      <c r="AC451" s="20" t="s">
        <v>9</v>
      </c>
      <c r="AD451" s="21" t="s">
        <v>10</v>
      </c>
      <c r="AE451" s="20" t="s">
        <v>11</v>
      </c>
      <c r="AF451" s="20" t="s">
        <v>12</v>
      </c>
      <c r="AG451" s="20" t="s">
        <v>13</v>
      </c>
      <c r="AH451" s="213" t="s">
        <v>14</v>
      </c>
      <c r="AI451" s="23" t="s">
        <v>15</v>
      </c>
      <c r="AJ451" s="20" t="s">
        <v>16</v>
      </c>
      <c r="AK451" s="21" t="s">
        <v>17</v>
      </c>
      <c r="AL451" s="214" t="s">
        <v>18</v>
      </c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ht="15.75" hidden="1" customHeight="1">
      <c r="A452" s="25">
        <f>A453</f>
        <v>43836</v>
      </c>
      <c r="B452" s="26" t="str">
        <f t="shared" ref="B452:F452" si="877">IF(B396="","",B396)</f>
        <v>Средняя</v>
      </c>
      <c r="C452" s="27" t="str">
        <f t="shared" si="877"/>
        <v>ПР</v>
      </c>
      <c r="D452" s="28" t="str">
        <f t="shared" si="877"/>
        <v>Присед</v>
      </c>
      <c r="E452" s="29">
        <f t="shared" si="877"/>
        <v>1.2</v>
      </c>
      <c r="F452" s="30" t="str">
        <f t="shared" si="877"/>
        <v/>
      </c>
      <c r="G452" s="31" t="str">
        <f t="shared" ref="G452:G459" si="879">IF(J452&lt;&gt;0, IFERROR(IF( $F452=2,  MROUND($AH452*J452,1),    IF( OR($F452="",$F452=1),   MROUND($AH452*J452,2.5),  MROUND($AH452*J452, 0.1))), "" ), "")</f>
        <v/>
      </c>
      <c r="H452" s="32"/>
      <c r="I452" s="32"/>
      <c r="J452" s="33"/>
      <c r="K452" s="31" t="str">
        <f t="shared" ref="K452:K459" si="880">IF(N452&lt;&gt;0, IFERROR(IF( $F452=2,  MROUND($AH452*N452,1),    IF( OR($F452="",$F452=1),   MROUND($AH452*N452,2.5),  MROUND($AH452*N452, 0.1))), "" ), "")</f>
        <v/>
      </c>
      <c r="L452" s="32"/>
      <c r="M452" s="32"/>
      <c r="N452" s="33"/>
      <c r="O452" s="31" t="str">
        <f t="shared" ref="O452:O459" si="881">IF(R452&lt;&gt;0, IFERROR(IF( $F452=2,  MROUND($AH452*R452,1),    IF( OR($F452="",$F452=1),   MROUND($AH452*R452,2.5),  MROUND($AH452*R452, 0.1))), "" ), "")</f>
        <v/>
      </c>
      <c r="P452" s="32"/>
      <c r="Q452" s="32"/>
      <c r="R452" s="33"/>
      <c r="S452" s="31" t="str">
        <f t="shared" ref="S452:S459" si="882">IF(V452&lt;&gt;0, IFERROR(IF( $F452=2,  MROUND($AH452*V452,1),    IF( OR($F452="",$F452=1),   MROUND($AH452*V452,2.5),  MROUND($AH452*V452, 0.1))), "" ), "")</f>
        <v/>
      </c>
      <c r="T452" s="32"/>
      <c r="U452" s="32"/>
      <c r="V452" s="33"/>
      <c r="W452" s="31" t="str">
        <f t="shared" ref="W452:W459" si="883">IF(Z452&lt;&gt;0, IFERROR(IF( $F452=2,  MROUND($AH452*Z452,1),    IF( OR($F452="",$F452=1),   MROUND($AH452*Z452,2.5),  MROUND($AH452*Z452, 0.1))), "" ), "")</f>
        <v/>
      </c>
      <c r="X452" s="32"/>
      <c r="Y452" s="32"/>
      <c r="Z452" s="33"/>
      <c r="AA452" s="31" t="str">
        <f t="shared" ref="AA452:AA459" si="884">IF(AD452&lt;&gt;0, IFERROR(IF( $F452=2,  MROUND($AH452*AD452,1),    IF( OR($F452="",$F452=1),   MROUND($AH452*AD452,2.5),  MROUND($AH452*AD452, 0.1))), "" ), "")</f>
        <v/>
      </c>
      <c r="AB452" s="32"/>
      <c r="AC452" s="32"/>
      <c r="AD452" s="33"/>
      <c r="AE452" s="35">
        <f t="shared" ref="AE452:AE459" si="885">(IF(ISNUMBER(G452),G452,0)*H452*I452+IF(ISNUMBER(K452),K452,1)*L452*M452+IF(ISNUMBER(O452),O452,1)*P452*Q452+IF(ISNUMBER(S452),S452,1)*T452*U452+IF(ISNUMBER(W452),W452,1)*X452*Y452+IF(ISNUMBER(AA452),AA452,1)*AB452*AC452)*IF(ISNUMBER(F452),F452,1)</f>
        <v>0</v>
      </c>
      <c r="AF452" s="36">
        <f t="shared" ref="AF452:AF506" si="886">IFERROR(AE452/AJ452,0)</f>
        <v>0</v>
      </c>
      <c r="AG452" s="195">
        <f t="shared" ref="AG452:AG459" si="887">IFERROR((AF452/(AH452*IF(ISNUMBER(F452),F452,1))),0)</f>
        <v>0</v>
      </c>
      <c r="AH452" s="169">
        <f t="shared" ref="AH452:AH459" si="888">IF(ISNUMBER(AH396), AH396+(AH396*$AH$450),"")</f>
        <v>158.1740164</v>
      </c>
      <c r="AI452" s="70">
        <f> ( IF(ISNUMBER(G452), VLOOKUP(G452/$AH452,F!$A1:$B101,2,1)*G452*$H452*$I452,0)+IF(ISNUMBER(K452), VLOOKUP(K452/$AH452,F!$A1:$B101,2,1)*K452*$L452*$M452,0)+IF(ISNUMBER(O452), VLOOKUP(O452/$AH452,F!$A1:$B101,2,1)*O452*$P452*$Q452,0)+IF(ISNUMBER(S452), VLOOKUP(S452/$AH452,F!$A1:$B101,2,1)*S452*$T452*$U452,0)+IF(ISNUMBER(W452), VLOOKUP(W452/$AH452,F!$A1:$B101,2,1)*W452*$X452*$Y452,0)+IF(ISNUMBER(AA452), VLOOKUP(AA452/$AH452,F!$A1:$B101,2,1)*AA452*$AB452*$AC452,0))*IF(ISNUMBER(F452),F452,1)*IF(ISNUMBER(E452),E452,1)</f>
        <v>0</v>
      </c>
      <c r="AJ452" s="40">
        <f t="shared" ref="AJ452:AJ459" si="889">H452*I452+L452*M452+P452*Q452+T452*U452+X452*Y452+AB452*AC452</f>
        <v>0</v>
      </c>
      <c r="AK452" s="41">
        <f t="array" ref="AK452">IFERROR(I452*INDEX(F!$P$21:$AB$33, MATCH(G452/$AH452, F!$O$21:$O$33,1), MATCH(E452, F!$P$20:$AB$20,1)), 0 ) +IFERROR( M452*INDEX(F!$P$21:$AB$33, MATCH(K452/$AH452, F!$O$21:$O$33,1), MATCH(E452, F!$P$20:$AB$20,1)),0) +  IFERROR( Q452*INDEX(F!$P$21:$AB$33, MATCH(O452/$AH452, F!$O$21:$O$33,1), MATCH(E452, F!$P$20:$AB$20,1)), 0) + IFERROR( U452*INDEX(F!$P$21:$AB$33, MATCH(S452/$AH452, F!$O$21:$O$33,1), MATCH(E452, F!$P$20:$AB$20,1)),0)  + IFERROR(Y452*INDEX(F!$P$21:$AB$33, MATCH(W452/$AH452, F!$O$21:$O$33,1), MATCH(E452, F!$P$20:$AB$20,1)),0)  + IFERROR( AC452*INDEX(F!$P$21:$AB$33, MATCH(AA452/$AH452, F!$O$21:$O$33,1), MATCH(E452, F!$P$20:$AB$20,1)),)</f>
        <v>0</v>
      </c>
      <c r="AL452" s="42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ht="15.75" hidden="1" customHeight="1">
      <c r="A453" s="44">
        <f>A397+A394</f>
        <v>43836</v>
      </c>
      <c r="B453" s="45" t="str">
        <f t="shared" ref="B453:F453" si="878">IF(B397="","",B397)</f>
        <v>Средняя</v>
      </c>
      <c r="C453" s="46" t="str">
        <f t="shared" si="878"/>
        <v>ЖМ</v>
      </c>
      <c r="D453" s="47" t="str">
        <f t="shared" si="878"/>
        <v>Жим лежа</v>
      </c>
      <c r="E453" s="48">
        <f t="shared" si="878"/>
        <v>1</v>
      </c>
      <c r="F453" s="49" t="str">
        <f t="shared" si="878"/>
        <v/>
      </c>
      <c r="G453" s="50" t="str">
        <f t="shared" si="879"/>
        <v/>
      </c>
      <c r="H453" s="51"/>
      <c r="I453" s="51"/>
      <c r="J453" s="52"/>
      <c r="K453" s="50" t="str">
        <f t="shared" si="880"/>
        <v/>
      </c>
      <c r="L453" s="51"/>
      <c r="M453" s="51"/>
      <c r="N453" s="52"/>
      <c r="O453" s="50" t="str">
        <f t="shared" si="881"/>
        <v/>
      </c>
      <c r="P453" s="51"/>
      <c r="Q453" s="51"/>
      <c r="R453" s="52"/>
      <c r="S453" s="50" t="str">
        <f t="shared" si="882"/>
        <v/>
      </c>
      <c r="T453" s="51"/>
      <c r="U453" s="51"/>
      <c r="V453" s="52"/>
      <c r="W453" s="50" t="str">
        <f t="shared" si="883"/>
        <v/>
      </c>
      <c r="X453" s="51"/>
      <c r="Y453" s="51"/>
      <c r="Z453" s="52"/>
      <c r="AA453" s="50" t="str">
        <f t="shared" si="884"/>
        <v/>
      </c>
      <c r="AB453" s="51"/>
      <c r="AC453" s="51"/>
      <c r="AD453" s="52"/>
      <c r="AE453" s="53">
        <f t="shared" si="885"/>
        <v>0</v>
      </c>
      <c r="AF453" s="54">
        <f t="shared" si="886"/>
        <v>0</v>
      </c>
      <c r="AG453" s="75">
        <f t="shared" si="887"/>
        <v>0</v>
      </c>
      <c r="AH453" s="76">
        <f t="shared" si="888"/>
        <v>111.3076412</v>
      </c>
      <c r="AI453" s="77">
        <f> ( IF(ISNUMBER(G453), VLOOKUP(G453/$AH453,F!$A1:$B101,2,1)*G453*$H453*$I453,0)+IF(ISNUMBER(K453), VLOOKUP(K453/$AH453,F!$A1:$B101,2,1)*K453*$L453*$M453,0)+IF(ISNUMBER(O453), VLOOKUP(O453/$AH453,F!$A1:$B101,2,1)*O453*$P453*$Q453,0)+IF(ISNUMBER(S453), VLOOKUP(S453/$AH453,F!$A1:$B101,2,1)*S453*$T453*$U453,0)+IF(ISNUMBER(W453), VLOOKUP(W453/$AH453,F!$A1:$B101,2,1)*W453*$X453*$Y453,0)+IF(ISNUMBER(AA453), VLOOKUP(AA453/$AH453,F!$A1:$B101,2,1)*AA453*$AB453*$AC453,0))*IF(ISNUMBER(F453),F453,1)*IF(ISNUMBER(E453),E453,1)</f>
        <v>0</v>
      </c>
      <c r="AJ453" s="57">
        <f t="shared" si="889"/>
        <v>0</v>
      </c>
      <c r="AK453" s="58">
        <f t="array" ref="AK453">IFERROR(I453*INDEX(F!$P$21:$AB$33, MATCH(G453/$AH453, F!$O$21:$O$33,1), MATCH(E453, F!$P$20:$AB$20,1)), 0 ) +IFERROR( M453*INDEX(F!$P$21:$AB$33, MATCH(K453/$AH453, F!$O$21:$O$33,1), MATCH(E453, F!$P$20:$AB$20,1)),0) +  IFERROR( Q453*INDEX(F!$P$21:$AB$33, MATCH(O453/$AH453, F!$O$21:$O$33,1), MATCH(E453, F!$P$20:$AB$20,1)), 0) + IFERROR( U453*INDEX(F!$P$21:$AB$33, MATCH(S453/$AH453, F!$O$21:$O$33,1), MATCH(E453, F!$P$20:$AB$20,1)),0)  + IFERROR(Y453*INDEX(F!$P$21:$AB$33, MATCH(W453/$AH453, F!$O$21:$O$33,1), MATCH(E453, F!$P$20:$AB$20,1)),0)  + IFERROR( AC453*INDEX(F!$P$21:$AB$33, MATCH(AA453/$AH453, F!$O$21:$O$33,1), MATCH(E453, F!$P$20:$AB$20,1)),)</f>
        <v>0</v>
      </c>
      <c r="AL453" s="5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ht="15.75" hidden="1" customHeight="1">
      <c r="A454" s="59"/>
      <c r="B454" s="60" t="str">
        <f t="shared" ref="B454:F454" si="890">IF(B398="","",B398)</f>
        <v>Тяжелая</v>
      </c>
      <c r="C454" s="61" t="str">
        <f t="shared" si="890"/>
        <v>ПР</v>
      </c>
      <c r="D454" s="62" t="str">
        <f t="shared" si="890"/>
        <v>Присед</v>
      </c>
      <c r="E454" s="48">
        <f t="shared" si="890"/>
        <v>1.2</v>
      </c>
      <c r="F454" s="63" t="str">
        <f t="shared" si="890"/>
        <v/>
      </c>
      <c r="G454" s="64" t="str">
        <f t="shared" si="879"/>
        <v/>
      </c>
      <c r="H454" s="34"/>
      <c r="I454" s="34"/>
      <c r="J454" s="65"/>
      <c r="K454" s="64" t="str">
        <f t="shared" si="880"/>
        <v/>
      </c>
      <c r="L454" s="34"/>
      <c r="M454" s="34"/>
      <c r="N454" s="65"/>
      <c r="O454" s="64" t="str">
        <f t="shared" si="881"/>
        <v/>
      </c>
      <c r="P454" s="34"/>
      <c r="Q454" s="34"/>
      <c r="R454" s="65"/>
      <c r="S454" s="64" t="str">
        <f t="shared" si="882"/>
        <v/>
      </c>
      <c r="T454" s="34"/>
      <c r="U454" s="34"/>
      <c r="V454" s="65"/>
      <c r="W454" s="64" t="str">
        <f t="shared" si="883"/>
        <v/>
      </c>
      <c r="X454" s="34"/>
      <c r="Y454" s="34"/>
      <c r="Z454" s="65"/>
      <c r="AA454" s="64" t="str">
        <f t="shared" si="884"/>
        <v/>
      </c>
      <c r="AB454" s="34"/>
      <c r="AC454" s="34"/>
      <c r="AD454" s="65"/>
      <c r="AE454" s="66">
        <f t="shared" si="885"/>
        <v>0</v>
      </c>
      <c r="AF454" s="67">
        <f t="shared" si="886"/>
        <v>0</v>
      </c>
      <c r="AG454" s="68">
        <f t="shared" si="887"/>
        <v>0</v>
      </c>
      <c r="AH454" s="76">
        <f t="shared" si="888"/>
        <v>158.1740164</v>
      </c>
      <c r="AI454" s="70">
        <f> ( IF(ISNUMBER(G454), VLOOKUP(G454/$AH454,F!$A1:$B101,2,1)*G454*$H454*$I454,0)+IF(ISNUMBER(K454), VLOOKUP(K454/$AH454,F!$A1:$B101,2,1)*K454*$L454*$M454,0)+IF(ISNUMBER(O454), VLOOKUP(O454/$AH454,F!$A1:$B101,2,1)*O454*$P454*$Q454,0)+IF(ISNUMBER(S454), VLOOKUP(S454/$AH454,F!$A1:$B101,2,1)*S454*$T454*$U454,0)+IF(ISNUMBER(W454), VLOOKUP(W454/$AH454,F!$A1:$B101,2,1)*W454*$X454*$Y454,0)+IF(ISNUMBER(AA454), VLOOKUP(AA454/$AH454,F!$A1:$B101,2,1)*AA454*$AB454*$AC454,0))*IF(ISNUMBER(F454),F454,1)*IF(ISNUMBER(E454),E454,1)</f>
        <v>0</v>
      </c>
      <c r="AJ454" s="71">
        <f t="shared" si="889"/>
        <v>0</v>
      </c>
      <c r="AK454" s="72">
        <f t="array" ref="AK454">IFERROR(I454*INDEX(F!$P$21:$AB$33, MATCH(G454/$AH454, F!$O$21:$O$33,1), MATCH(E454, F!$P$20:$AB$20,1)), 0 ) +IFERROR( M454*INDEX(F!$P$21:$AB$33, MATCH(K454/$AH454, F!$O$21:$O$33,1), MATCH(E454, F!$P$20:$AB$20,1)),0) +  IFERROR( Q454*INDEX(F!$P$21:$AB$33, MATCH(O454/$AH454, F!$O$21:$O$33,1), MATCH(E454, F!$P$20:$AB$20,1)), 0) + IFERROR( U454*INDEX(F!$P$21:$AB$33, MATCH(S454/$AH454, F!$O$21:$O$33,1), MATCH(E454, F!$P$20:$AB$20,1)),0)  + IFERROR(Y454*INDEX(F!$P$21:$AB$33, MATCH(W454/$AH454, F!$O$21:$O$33,1), MATCH(E454, F!$P$20:$AB$20,1)),0)  + IFERROR( AC454*INDEX(F!$P$21:$AB$33, MATCH(AA454/$AH454, F!$O$21:$O$33,1), MATCH(E454, F!$P$20:$AB$20,1)),)</f>
        <v>0</v>
      </c>
      <c r="AL454" s="5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ht="15.75" hidden="1" customHeight="1">
      <c r="A455" s="59"/>
      <c r="B455" s="215" t="str">
        <f t="shared" ref="B455:F455" si="891">IF(B399="","",B399)</f>
        <v>Средняя</v>
      </c>
      <c r="C455" s="73" t="str">
        <f t="shared" si="891"/>
        <v>ЖМ</v>
      </c>
      <c r="D455" s="47" t="str">
        <f t="shared" si="891"/>
        <v>Жим гантелей</v>
      </c>
      <c r="E455" s="48">
        <f t="shared" si="891"/>
        <v>1</v>
      </c>
      <c r="F455" s="74">
        <f t="shared" si="891"/>
        <v>2</v>
      </c>
      <c r="G455" s="50" t="str">
        <f t="shared" si="879"/>
        <v/>
      </c>
      <c r="H455" s="51"/>
      <c r="I455" s="51"/>
      <c r="J455" s="52"/>
      <c r="K455" s="50" t="str">
        <f t="shared" si="880"/>
        <v/>
      </c>
      <c r="L455" s="51"/>
      <c r="M455" s="51"/>
      <c r="N455" s="52"/>
      <c r="O455" s="50" t="str">
        <f t="shared" si="881"/>
        <v/>
      </c>
      <c r="P455" s="51"/>
      <c r="Q455" s="51"/>
      <c r="R455" s="52"/>
      <c r="S455" s="50" t="str">
        <f t="shared" si="882"/>
        <v/>
      </c>
      <c r="T455" s="51"/>
      <c r="U455" s="51"/>
      <c r="V455" s="52"/>
      <c r="W455" s="50" t="str">
        <f t="shared" si="883"/>
        <v/>
      </c>
      <c r="X455" s="51"/>
      <c r="Y455" s="51"/>
      <c r="Z455" s="52"/>
      <c r="AA455" s="50" t="str">
        <f t="shared" si="884"/>
        <v/>
      </c>
      <c r="AB455" s="51"/>
      <c r="AC455" s="51"/>
      <c r="AD455" s="52"/>
      <c r="AE455" s="53">
        <f t="shared" si="885"/>
        <v>0</v>
      </c>
      <c r="AF455" s="54">
        <f t="shared" si="886"/>
        <v>0</v>
      </c>
      <c r="AG455" s="75">
        <f t="shared" si="887"/>
        <v>0</v>
      </c>
      <c r="AH455" s="76">
        <f t="shared" si="888"/>
        <v>35.61844518</v>
      </c>
      <c r="AI455" s="77">
        <f> ( IF(ISNUMBER(G455), VLOOKUP(G455/$AH455,F!$A1:$B101,2,1)*G455*$H455*$I455,0)+IF(ISNUMBER(K455), VLOOKUP(K455/$AH455,F!$A1:$B101,2,1)*K455*$L455*$M455,0)+IF(ISNUMBER(O455), VLOOKUP(O455/$AH455,F!$A1:$B101,2,1)*O455*$P455*$Q455,0)+IF(ISNUMBER(S455), VLOOKUP(S455/$AH455,F!$A1:$B101,2,1)*S455*$T455*$U455,0)+IF(ISNUMBER(W455), VLOOKUP(W455/$AH455,F!$A1:$B101,2,1)*W455*$X455*$Y455,0)+IF(ISNUMBER(AA455), VLOOKUP(AA455/$AH455,F!$A1:$B101,2,1)*AA455*$AB455*$AC455,0))*IF(ISNUMBER(F455),F455,1)*IF(ISNUMBER(E455),E455,1)</f>
        <v>0</v>
      </c>
      <c r="AJ455" s="57">
        <f t="shared" si="889"/>
        <v>0</v>
      </c>
      <c r="AK455" s="58">
        <f t="array" ref="AK455">IFERROR(I455*INDEX(F!$P$21:$AB$33, MATCH(G455/$AH455, F!$O$21:$O$33,1), MATCH(E455, F!$P$20:$AB$20,1)), 0 ) +IFERROR( M455*INDEX(F!$P$21:$AB$33, MATCH(K455/$AH455, F!$O$21:$O$33,1), MATCH(E455, F!$P$20:$AB$20,1)),0) +  IFERROR( Q455*INDEX(F!$P$21:$AB$33, MATCH(O455/$AH455, F!$O$21:$O$33,1), MATCH(E455, F!$P$20:$AB$20,1)), 0) + IFERROR( U455*INDEX(F!$P$21:$AB$33, MATCH(S455/$AH455, F!$O$21:$O$33,1), MATCH(E455, F!$P$20:$AB$20,1)),0)  + IFERROR(Y455*INDEX(F!$P$21:$AB$33, MATCH(W455/$AH455, F!$O$21:$O$33,1), MATCH(E455, F!$P$20:$AB$20,1)),0)  + IFERROR( AC455*INDEX(F!$P$21:$AB$33, MATCH(AA455/$AH455, F!$O$21:$O$33,1), MATCH(E455, F!$P$20:$AB$20,1)),)</f>
        <v>0</v>
      </c>
      <c r="AL455" s="5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ht="15.75" hidden="1" customHeight="1">
      <c r="A456" s="59"/>
      <c r="B456" s="216" t="str">
        <f t="shared" ref="B456:F456" si="892">IF(B400="","",B400)</f>
        <v>Средняя</v>
      </c>
      <c r="C456" s="78" t="str">
        <f t="shared" si="892"/>
        <v>ОФП</v>
      </c>
      <c r="D456" s="62" t="str">
        <f t="shared" si="892"/>
        <v>Французский жим</v>
      </c>
      <c r="E456" s="48">
        <f t="shared" si="892"/>
        <v>0.4</v>
      </c>
      <c r="F456" s="79" t="str">
        <f t="shared" si="892"/>
        <v/>
      </c>
      <c r="G456" s="64" t="str">
        <f t="shared" si="879"/>
        <v/>
      </c>
      <c r="H456" s="34"/>
      <c r="I456" s="34"/>
      <c r="J456" s="65"/>
      <c r="K456" s="64" t="str">
        <f t="shared" si="880"/>
        <v/>
      </c>
      <c r="L456" s="34"/>
      <c r="M456" s="34"/>
      <c r="N456" s="65"/>
      <c r="O456" s="64" t="str">
        <f t="shared" si="881"/>
        <v/>
      </c>
      <c r="P456" s="34"/>
      <c r="Q456" s="34"/>
      <c r="R456" s="65"/>
      <c r="S456" s="64" t="str">
        <f t="shared" si="882"/>
        <v/>
      </c>
      <c r="T456" s="34"/>
      <c r="U456" s="34"/>
      <c r="V456" s="65"/>
      <c r="W456" s="64" t="str">
        <f t="shared" si="883"/>
        <v/>
      </c>
      <c r="X456" s="34"/>
      <c r="Y456" s="34"/>
      <c r="Z456" s="65"/>
      <c r="AA456" s="64" t="str">
        <f t="shared" si="884"/>
        <v/>
      </c>
      <c r="AB456" s="34"/>
      <c r="AC456" s="34"/>
      <c r="AD456" s="65"/>
      <c r="AE456" s="66">
        <f t="shared" si="885"/>
        <v>0</v>
      </c>
      <c r="AF456" s="67">
        <f t="shared" si="886"/>
        <v>0</v>
      </c>
      <c r="AG456" s="68">
        <f t="shared" si="887"/>
        <v>0</v>
      </c>
      <c r="AH456" s="76">
        <f t="shared" si="888"/>
        <v>51.20151495</v>
      </c>
      <c r="AI456" s="70">
        <f> ( IF(ISNUMBER(G456), VLOOKUP(G456/$AH456,F!$A1:$B101,2,1)*G456*$H456*$I456,0)+IF(ISNUMBER(K456), VLOOKUP(K456/$AH456,F!$A1:$B101,2,1)*K456*$L456*$M456,0)+IF(ISNUMBER(O456), VLOOKUP(O456/$AH456,F!$A1:$B101,2,1)*O456*$P456*$Q456,0)+IF(ISNUMBER(S456), VLOOKUP(S456/$AH456,F!$A1:$B101,2,1)*S456*$T456*$U456,0)+IF(ISNUMBER(W456), VLOOKUP(W456/$AH456,F!$A1:$B101,2,1)*W456*$X456*$Y456,0)+IF(ISNUMBER(AA456), VLOOKUP(AA456/$AH456,F!$A1:$B101,2,1)*AA456*$AB456*$AC456,0))*IF(ISNUMBER(F456),F456,1)*IF(ISNUMBER(E456),E456,1)</f>
        <v>0</v>
      </c>
      <c r="AJ456" s="71">
        <f t="shared" si="889"/>
        <v>0</v>
      </c>
      <c r="AK456" s="72">
        <f t="array" ref="AK456">IFERROR(I456*INDEX(F!$P$21:$AB$33, MATCH(G456/$AH456, F!$O$21:$O$33,1), MATCH(E456, F!$P$20:$AB$20,1)), 0 ) +IFERROR( M456*INDEX(F!$P$21:$AB$33, MATCH(K456/$AH456, F!$O$21:$O$33,1), MATCH(E456, F!$P$20:$AB$20,1)),0) +  IFERROR( Q456*INDEX(F!$P$21:$AB$33, MATCH(O456/$AH456, F!$O$21:$O$33,1), MATCH(E456, F!$P$20:$AB$20,1)), 0) + IFERROR( U456*INDEX(F!$P$21:$AB$33, MATCH(S456/$AH456, F!$O$21:$O$33,1), MATCH(E456, F!$P$20:$AB$20,1)),0)  + IFERROR(Y456*INDEX(F!$P$21:$AB$33, MATCH(W456/$AH456, F!$O$21:$O$33,1), MATCH(E456, F!$P$20:$AB$20,1)),0)  + IFERROR( AC456*INDEX(F!$P$21:$AB$33, MATCH(AA456/$AH456, F!$O$21:$O$33,1), MATCH(E456, F!$P$20:$AB$20,1)),)</f>
        <v>0</v>
      </c>
      <c r="AL456" s="5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ht="15.75" hidden="1" customHeight="1">
      <c r="A457" s="59"/>
      <c r="B457" s="45" t="str">
        <f t="shared" ref="B457:F457" si="893">IF(B401="","",B401)</f>
        <v/>
      </c>
      <c r="C457" s="46" t="str">
        <f t="shared" si="893"/>
        <v/>
      </c>
      <c r="D457" s="197" t="str">
        <f t="shared" si="893"/>
        <v/>
      </c>
      <c r="E457" s="48" t="str">
        <f t="shared" si="893"/>
        <v/>
      </c>
      <c r="F457" s="83" t="str">
        <f t="shared" si="893"/>
        <v/>
      </c>
      <c r="G457" s="50" t="str">
        <f t="shared" si="879"/>
        <v/>
      </c>
      <c r="H457" s="51"/>
      <c r="I457" s="51"/>
      <c r="J457" s="52"/>
      <c r="K457" s="50" t="str">
        <f t="shared" si="880"/>
        <v/>
      </c>
      <c r="L457" s="51"/>
      <c r="M457" s="51"/>
      <c r="N457" s="52"/>
      <c r="O457" s="50" t="str">
        <f t="shared" si="881"/>
        <v/>
      </c>
      <c r="P457" s="51"/>
      <c r="Q457" s="51"/>
      <c r="R457" s="52"/>
      <c r="S457" s="50" t="str">
        <f t="shared" si="882"/>
        <v/>
      </c>
      <c r="T457" s="51"/>
      <c r="U457" s="51"/>
      <c r="V457" s="52"/>
      <c r="W457" s="50" t="str">
        <f t="shared" si="883"/>
        <v/>
      </c>
      <c r="X457" s="51"/>
      <c r="Y457" s="51"/>
      <c r="Z457" s="52"/>
      <c r="AA457" s="50" t="str">
        <f t="shared" si="884"/>
        <v/>
      </c>
      <c r="AB457" s="51"/>
      <c r="AC457" s="51"/>
      <c r="AD457" s="52"/>
      <c r="AE457" s="53">
        <f t="shared" si="885"/>
        <v>0</v>
      </c>
      <c r="AF457" s="54">
        <f t="shared" si="886"/>
        <v>0</v>
      </c>
      <c r="AG457" s="75">
        <f t="shared" si="887"/>
        <v>0</v>
      </c>
      <c r="AH457" s="76" t="str">
        <f t="shared" si="888"/>
        <v/>
      </c>
      <c r="AI457" s="77">
        <f> ( IF(ISNUMBER(G457), VLOOKUP(G457/$AH457,F!$A1:$B101,2,1)*G457*$H457*$I457,0)+IF(ISNUMBER(K457), VLOOKUP(K457/$AH457,F!$A1:$B101,2,1)*K457*$L457*$M457,0)+IF(ISNUMBER(O457), VLOOKUP(O457/$AH457,F!$A1:$B101,2,1)*O457*$P457*$Q457,0)+IF(ISNUMBER(S457), VLOOKUP(S457/$AH457,F!$A1:$B101,2,1)*S457*$T457*$U457,0)+IF(ISNUMBER(W457), VLOOKUP(W457/$AH457,F!$A1:$B101,2,1)*W457*$X457*$Y457,0)+IF(ISNUMBER(AA457), VLOOKUP(AA457/$AH457,F!$A1:$B101,2,1)*AA457*$AB457*$AC457,0))*IF(ISNUMBER(F457),F457,1)*IF(ISNUMBER(E457),E457,1)</f>
        <v>0</v>
      </c>
      <c r="AJ457" s="86">
        <f t="shared" si="889"/>
        <v>0</v>
      </c>
      <c r="AK457" s="58">
        <f t="array" ref="AK457">IFERROR(I457*INDEX(F!$P$21:$AB$33, MATCH(G457/$AH457, F!$O$21:$O$33,1), MATCH(E457, F!$P$20:$AB$20,1)), 0 ) +IFERROR( M457*INDEX(F!$P$21:$AB$33, MATCH(K457/$AH457, F!$O$21:$O$33,1), MATCH(E457, F!$P$20:$AB$20,1)),0) +  IFERROR( Q457*INDEX(F!$P$21:$AB$33, MATCH(O457/$AH457, F!$O$21:$O$33,1), MATCH(E457, F!$P$20:$AB$20,1)), 0) + IFERROR( U457*INDEX(F!$P$21:$AB$33, MATCH(S457/$AH457, F!$O$21:$O$33,1), MATCH(E457, F!$P$20:$AB$20,1)),0)  + IFERROR(Y457*INDEX(F!$P$21:$AB$33, MATCH(W457/$AH457, F!$O$21:$O$33,1), MATCH(E457, F!$P$20:$AB$20,1)),0)  + IFERROR( AC457*INDEX(F!$P$21:$AB$33, MATCH(AA457/$AH457, F!$O$21:$O$33,1), MATCH(E457, F!$P$20:$AB$20,1)),)</f>
        <v>0</v>
      </c>
      <c r="AL457" s="5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ht="15.0" hidden="1" customHeight="1">
      <c r="A458" s="59"/>
      <c r="B458" s="60" t="str">
        <f t="shared" ref="B458:F458" si="894">IF(B402="","",B402)</f>
        <v/>
      </c>
      <c r="C458" s="61" t="str">
        <f t="shared" si="894"/>
        <v/>
      </c>
      <c r="D458" s="198" t="str">
        <f t="shared" si="894"/>
        <v/>
      </c>
      <c r="E458" s="48" t="str">
        <f t="shared" si="894"/>
        <v/>
      </c>
      <c r="F458" s="79" t="str">
        <f t="shared" si="894"/>
        <v/>
      </c>
      <c r="G458" s="64" t="str">
        <f t="shared" si="879"/>
        <v/>
      </c>
      <c r="H458" s="34"/>
      <c r="I458" s="34"/>
      <c r="J458" s="65"/>
      <c r="K458" s="64" t="str">
        <f t="shared" si="880"/>
        <v/>
      </c>
      <c r="L458" s="34"/>
      <c r="M458" s="34"/>
      <c r="N458" s="65"/>
      <c r="O458" s="64" t="str">
        <f t="shared" si="881"/>
        <v/>
      </c>
      <c r="P458" s="34"/>
      <c r="Q458" s="34"/>
      <c r="R458" s="65"/>
      <c r="S458" s="64" t="str">
        <f t="shared" si="882"/>
        <v/>
      </c>
      <c r="T458" s="34"/>
      <c r="U458" s="34"/>
      <c r="V458" s="65"/>
      <c r="W458" s="64" t="str">
        <f t="shared" si="883"/>
        <v/>
      </c>
      <c r="X458" s="34"/>
      <c r="Y458" s="34"/>
      <c r="Z458" s="65"/>
      <c r="AA458" s="64" t="str">
        <f t="shared" si="884"/>
        <v/>
      </c>
      <c r="AB458" s="34"/>
      <c r="AC458" s="34"/>
      <c r="AD458" s="65"/>
      <c r="AE458" s="66">
        <f t="shared" si="885"/>
        <v>0</v>
      </c>
      <c r="AF458" s="67">
        <f t="shared" si="886"/>
        <v>0</v>
      </c>
      <c r="AG458" s="68">
        <f t="shared" si="887"/>
        <v>0</v>
      </c>
      <c r="AH458" s="76" t="str">
        <f t="shared" si="888"/>
        <v/>
      </c>
      <c r="AI458" s="90">
        <f> ( IF(ISNUMBER(G458), VLOOKUP(G458/$AH458,F!$A1:$B101,2,1)*G458*$H458*$I458,0)+IF(ISNUMBER(K458), VLOOKUP(K458/$AH458,F!$A1:$B101,2,1)*K458*$L458*$M458,0)+IF(ISNUMBER(O458), VLOOKUP(O458/$AH458,F!$A1:$B101,2,1)*O458*$P458*$Q458,0)+IF(ISNUMBER(S458), VLOOKUP(S458/$AH458,F!$A1:$B101,2,1)*S458*$T458*$U458,0)+IF(ISNUMBER(W458), VLOOKUP(W458/$AH458,F!$A1:$B101,2,1)*W458*$X458*$Y458,0)+IF(ISNUMBER(AA458), VLOOKUP(AA458/$AH458,F!$A1:$B101,2,1)*AA458*$AB458*$AC458,0))*IF(ISNUMBER(F458),F458,1)*IF(ISNUMBER(E458),E458,1)</f>
        <v>0</v>
      </c>
      <c r="AJ458" s="34">
        <f t="shared" si="889"/>
        <v>0</v>
      </c>
      <c r="AK458" s="91">
        <f t="array" ref="AK458">IFERROR(I458*INDEX(F!$P$21:$AB$33, MATCH(G458/$AH458, F!$O$21:$O$33,1), MATCH(E458, F!$P$20:$AB$20,1)), 0 ) +IFERROR( M458*INDEX(F!$P$21:$AB$33, MATCH(K458/$AH458, F!$O$21:$O$33,1), MATCH(E458, F!$P$20:$AB$20,1)),0) +  IFERROR( Q458*INDEX(F!$P$21:$AB$33, MATCH(O458/$AH458, F!$O$21:$O$33,1), MATCH(E458, F!$P$20:$AB$20,1)), 0) + IFERROR( U458*INDEX(F!$P$21:$AB$33, MATCH(S458/$AH458, F!$O$21:$O$33,1), MATCH(E458, F!$P$20:$AB$20,1)),0)  + IFERROR(Y458*INDEX(F!$P$21:$AB$33, MATCH(W458/$AH458, F!$O$21:$O$33,1), MATCH(E458, F!$P$20:$AB$20,1)),0)  + IFERROR( AC458*INDEX(F!$P$21:$AB$33, MATCH(AA458/$AH458, F!$O$21:$O$33,1), MATCH(E458, F!$P$20:$AB$20,1)),)</f>
        <v>0</v>
      </c>
      <c r="AL458" s="5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ht="15.0" hidden="1" customHeight="1">
      <c r="A459" s="59"/>
      <c r="B459" s="45" t="str">
        <f t="shared" ref="B459:F459" si="895">IF(B403="","",B403)</f>
        <v/>
      </c>
      <c r="C459" s="46" t="str">
        <f t="shared" si="895"/>
        <v/>
      </c>
      <c r="D459" s="92" t="str">
        <f t="shared" si="895"/>
        <v/>
      </c>
      <c r="E459" s="48" t="str">
        <f t="shared" si="895"/>
        <v/>
      </c>
      <c r="F459" s="74" t="str">
        <f t="shared" si="895"/>
        <v/>
      </c>
      <c r="G459" s="50" t="str">
        <f t="shared" si="879"/>
        <v/>
      </c>
      <c r="H459" s="51"/>
      <c r="I459" s="51"/>
      <c r="J459" s="52"/>
      <c r="K459" s="50" t="str">
        <f t="shared" si="880"/>
        <v/>
      </c>
      <c r="L459" s="51"/>
      <c r="M459" s="51"/>
      <c r="N459" s="52"/>
      <c r="O459" s="50" t="str">
        <f t="shared" si="881"/>
        <v/>
      </c>
      <c r="P459" s="51"/>
      <c r="Q459" s="51"/>
      <c r="R459" s="52"/>
      <c r="S459" s="50" t="str">
        <f t="shared" si="882"/>
        <v/>
      </c>
      <c r="T459" s="51"/>
      <c r="U459" s="51"/>
      <c r="V459" s="52"/>
      <c r="W459" s="50" t="str">
        <f t="shared" si="883"/>
        <v/>
      </c>
      <c r="X459" s="51"/>
      <c r="Y459" s="51"/>
      <c r="Z459" s="52"/>
      <c r="AA459" s="50" t="str">
        <f t="shared" si="884"/>
        <v/>
      </c>
      <c r="AB459" s="51"/>
      <c r="AC459" s="51"/>
      <c r="AD459" s="52"/>
      <c r="AE459" s="53">
        <f t="shared" si="885"/>
        <v>0</v>
      </c>
      <c r="AF459" s="93">
        <f t="shared" si="886"/>
        <v>0</v>
      </c>
      <c r="AG459" s="94">
        <f t="shared" si="887"/>
        <v>0</v>
      </c>
      <c r="AH459" s="76" t="str">
        <f t="shared" si="888"/>
        <v/>
      </c>
      <c r="AI459" s="95">
        <f> ( IF(ISNUMBER(G459), VLOOKUP(G459/$AH459,F!$A1:$B101,2,1)*G459*$H459*$I459,0)+IF(ISNUMBER(K459), VLOOKUP(K459/$AH459,F!$A1:$B101,2,1)*K459*$L459*$M459,0)+IF(ISNUMBER(O459), VLOOKUP(O459/$AH459,F!$A1:$B101,2,1)*O459*$P459*$Q459,0)+IF(ISNUMBER(S459), VLOOKUP(S459/$AH459,F!$A1:$B101,2,1)*S459*$T459*$U459,0)+IF(ISNUMBER(W459), VLOOKUP(W459/$AH459,F!$A1:$B101,2,1)*W459*$X459*$Y459,0)+IF(ISNUMBER(AA459), VLOOKUP(AA459/$AH459,F!$A1:$B101,2,1)*AA459*$AB459*$AC459,0))*IF(ISNUMBER(F459),F459,1)*IF(ISNUMBER(E459),E459,1)</f>
        <v>0</v>
      </c>
      <c r="AJ459" s="96">
        <f t="shared" si="889"/>
        <v>0</v>
      </c>
      <c r="AK459" s="97">
        <f t="array" ref="AK459">IFERROR(I459*INDEX(F!$P$21:$AB$33, MATCH(G459/$AH459, F!$O$21:$O$33,1), MATCH(E459, F!$P$20:$AB$20,1)), 0 ) +IFERROR( M459*INDEX(F!$P$21:$AB$33, MATCH(K459/$AH459, F!$O$21:$O$33,1), MATCH(E459, F!$P$20:$AB$20,1)),0) +  IFERROR( Q459*INDEX(F!$P$21:$AB$33, MATCH(O459/$AH459, F!$O$21:$O$33,1), MATCH(E459, F!$P$20:$AB$20,1)), 0) + IFERROR( U459*INDEX(F!$P$21:$AB$33, MATCH(S459/$AH459, F!$O$21:$O$33,1), MATCH(E459, F!$P$20:$AB$20,1)),0)  + IFERROR(Y459*INDEX(F!$P$21:$AB$33, MATCH(W459/$AH459, F!$O$21:$O$33,1), MATCH(E459, F!$P$20:$AB$20,1)),0)  + IFERROR( AC459*INDEX(F!$P$21:$AB$33, MATCH(AA459/$AH459, F!$O$21:$O$33,1), MATCH(E459, F!$P$20:$AB$20,1)),)</f>
        <v>0</v>
      </c>
      <c r="AL459" s="5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ht="15.75" hidden="1" customHeight="1">
      <c r="A460" s="98"/>
      <c r="B460" s="99"/>
      <c r="C460" s="100"/>
      <c r="D460" s="101"/>
      <c r="E460" s="102">
        <f>ROUND(IFERROR(SUMPRODUCT(AJ452:AJ459,E452:E459)/AJ460,0),3)</f>
        <v>0</v>
      </c>
      <c r="F460" s="199"/>
      <c r="G460" s="104"/>
      <c r="H460" s="105"/>
      <c r="I460" s="105"/>
      <c r="J460" s="106"/>
      <c r="K460" s="104"/>
      <c r="L460" s="105"/>
      <c r="M460" s="105"/>
      <c r="N460" s="106"/>
      <c r="O460" s="104"/>
      <c r="P460" s="105"/>
      <c r="Q460" s="105"/>
      <c r="R460" s="106"/>
      <c r="S460" s="104"/>
      <c r="T460" s="105"/>
      <c r="U460" s="105"/>
      <c r="V460" s="106"/>
      <c r="W460" s="104"/>
      <c r="X460" s="105"/>
      <c r="Y460" s="105"/>
      <c r="Z460" s="106"/>
      <c r="AA460" s="104"/>
      <c r="AB460" s="105"/>
      <c r="AC460" s="105"/>
      <c r="AD460" s="106"/>
      <c r="AE460" s="107">
        <f>SUM(AE452:AE459)</f>
        <v>0</v>
      </c>
      <c r="AF460" s="108">
        <f t="shared" si="886"/>
        <v>0</v>
      </c>
      <c r="AG460" s="109">
        <f>IFERROR(  SUMPRODUCT(AG452:AG459,AJ452:AJ459)/AJ460,0)</f>
        <v>0</v>
      </c>
      <c r="AH460" s="157"/>
      <c r="AI460" s="111">
        <f t="shared" ref="AI460:AJ460" si="896">SUM(AI452:AI459)</f>
        <v>0</v>
      </c>
      <c r="AJ460" s="111">
        <f t="shared" si="896"/>
        <v>0</v>
      </c>
      <c r="AK460" s="112">
        <f>IF(SUM(AK452:AK459)=0,TIME(,0,),TIME(,SUM(AK452:AK459)+F!$V$37,))</f>
        <v>0</v>
      </c>
      <c r="AL460" s="98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ht="15.75" hidden="1" customHeight="1">
      <c r="A461" s="113">
        <f>A462</f>
        <v>43838</v>
      </c>
      <c r="B461" s="114" t="str">
        <f t="shared" ref="B461:F461" si="897">IF(B405="","",B405)</f>
        <v>Тяжелая</v>
      </c>
      <c r="C461" s="115" t="str">
        <f t="shared" si="897"/>
        <v>ТГ</v>
      </c>
      <c r="D461" s="116" t="str">
        <f t="shared" si="897"/>
        <v>Становая тяга</v>
      </c>
      <c r="E461" s="29">
        <f t="shared" si="897"/>
        <v>1.4</v>
      </c>
      <c r="F461" s="117" t="str">
        <f t="shared" si="897"/>
        <v/>
      </c>
      <c r="G461" s="118" t="str">
        <f t="shared" ref="G461:G468" si="899">IF(J461&lt;&gt;0, IFERROR(IF( $F461=2,  MROUND($AH461*J461,1),    IF( OR($F461="",$F461=1),   MROUND($AH461*J461,2.5),  MROUND($AH461*J461, 0.1))), "" ), "")</f>
        <v/>
      </c>
      <c r="H461" s="119"/>
      <c r="I461" s="119"/>
      <c r="J461" s="120"/>
      <c r="K461" s="118" t="str">
        <f t="shared" ref="K461:K468" si="900">IF(N461&lt;&gt;0, IFERROR(IF( $F461=2,  MROUND($AH461*N461,1),    IF( OR($F461="",$F461=1),   MROUND($AH461*N461,2.5),  MROUND($AH461*N461, 0.1))), "" ), "")</f>
        <v/>
      </c>
      <c r="L461" s="119"/>
      <c r="M461" s="119"/>
      <c r="N461" s="120"/>
      <c r="O461" s="118" t="str">
        <f t="shared" ref="O461:O468" si="901">IF(R461&lt;&gt;0, IFERROR(IF( $F461=2,  MROUND($AH461*R461,1),    IF( OR($F461="",$F461=1),   MROUND($AH461*R461,2.5),  MROUND($AH461*R461, 0.1))), "" ), "")</f>
        <v/>
      </c>
      <c r="P461" s="119"/>
      <c r="Q461" s="119"/>
      <c r="R461" s="120"/>
      <c r="S461" s="118" t="str">
        <f t="shared" ref="S461:S468" si="902">IF(V461&lt;&gt;0, IFERROR(IF( $F461=2,  MROUND($AH461*V461,1),    IF( OR($F461="",$F461=1),   MROUND($AH461*V461,2.5),  MROUND($AH461*V461, 0.1))), "" ), "")</f>
        <v/>
      </c>
      <c r="T461" s="119"/>
      <c r="U461" s="119"/>
      <c r="V461" s="120"/>
      <c r="W461" s="118" t="str">
        <f t="shared" ref="W461:W468" si="903">IF(Z461&lt;&gt;0, IFERROR(IF( $F461=2,  MROUND($AH461*Z461,1),    IF( OR($F461="",$F461=1),   MROUND($AH461*Z461,2.5),  MROUND($AH461*Z461, 0.1))), "" ), "")</f>
        <v/>
      </c>
      <c r="X461" s="119"/>
      <c r="Y461" s="119"/>
      <c r="Z461" s="120"/>
      <c r="AA461" s="118" t="str">
        <f t="shared" ref="AA461:AA468" si="904">IF(AD461&lt;&gt;0, IFERROR(IF( $F461=2,  MROUND($AH461*AD461,1),    IF( OR($F461="",$F461=1),   MROUND($AH461*AD461,2.5),  MROUND($AH461*AD461, 0.1))), "" ), "")</f>
        <v/>
      </c>
      <c r="AB461" s="119"/>
      <c r="AC461" s="119"/>
      <c r="AD461" s="120"/>
      <c r="AE461" s="121">
        <f t="shared" ref="AE461:AE468" si="905">(IF(ISNUMBER(G461),G461,0)*H461*I461+IF(ISNUMBER(K461),K461,1)*L461*M461+IF(ISNUMBER(O461),O461,1)*P461*Q461+IF(ISNUMBER(S461),S461,1)*T461*U461+IF(ISNUMBER(W461),W461,1)*X461*Y461+IF(ISNUMBER(AA461),AA461,1)*AB461*AC461)*IF(ISNUMBER(F461),F461,1)</f>
        <v>0</v>
      </c>
      <c r="AF461" s="122">
        <f t="shared" si="886"/>
        <v>0</v>
      </c>
      <c r="AG461" s="200">
        <f t="shared" ref="AG461:AG468" si="906">IFERROR((AF461/(AH461*IF(ISNUMBER(F461),F461,1))),0)</f>
        <v>0</v>
      </c>
      <c r="AH461" s="169">
        <f t="shared" ref="AH461:AH468" si="907">IF(ISNUMBER(AH405), AH405+(AH405*$AH$450),"")</f>
        <v>216.7569855</v>
      </c>
      <c r="AI461" s="122">
        <f> ( IF(ISNUMBER(G461), VLOOKUP(G461/$AH461,F!$A1:$B101,2,1)*G461*$H461*$I461,0)+IF(ISNUMBER(K461), VLOOKUP(K461/$AH461,F!$A1:$B101,2,1)*K461*$L461*$M461,0)+IF(ISNUMBER(O461), VLOOKUP(O461/$AH461,F!$A1:$B101,2,1)*O461*$P461*$Q461,0)+IF(ISNUMBER(S461), VLOOKUP(S461/$AH461,F!$A1:$B101,2,1)*S461*$T461*$U461,0)+IF(ISNUMBER(W461), VLOOKUP(W461/$AH461,F!$A1:$B101,2,1)*W461*$X461*$Y461,0)+IF(ISNUMBER(AA461), VLOOKUP(AA461/$AH461,F!$A1:$B101,2,1)*AA461*$AB461*$AC461,0))*IF(ISNUMBER(F461),F461,1)*IF(ISNUMBER(E461),E461,1)</f>
        <v>0</v>
      </c>
      <c r="AJ461" s="119">
        <f t="shared" ref="AJ461:AJ468" si="908">H461*I461+L461*M461+P461*Q461+T461*U461+X461*Y461+AB461*AC461</f>
        <v>0</v>
      </c>
      <c r="AK461" s="125">
        <f t="array" ref="AK461">IFERROR(I461*INDEX(F!$P$21:$AB$33, MATCH(G461/$AH461, F!$O$21:$O$33,1), MATCH(E461, F!$P$20:$AB$20,1)), 0 ) +IFERROR( M461*INDEX(F!$P$21:$AB$33, MATCH(K461/$AH461, F!$O$21:$O$33,1), MATCH(E461, F!$P$20:$AB$20,1)),0) +  IFERROR( Q461*INDEX(F!$P$21:$AB$33, MATCH(O461/$AH461, F!$O$21:$O$33,1), MATCH(E461, F!$P$20:$AB$20,1)), 0) + IFERROR( U461*INDEX(F!$P$21:$AB$33, MATCH(S461/$AH461, F!$O$21:$O$33,1), MATCH(E461, F!$P$20:$AB$20,1)),0)  + IFERROR(Y461*INDEX(F!$P$21:$AB$33, MATCH(W461/$AH461, F!$O$21:$O$33,1), MATCH(E461, F!$P$20:$AB$20,1)),0)  + IFERROR( AC461*INDEX(F!$P$21:$AB$33, MATCH(AA461/$AH461, F!$O$21:$O$33,1), MATCH(E461, F!$P$20:$AB$20,1)),)</f>
        <v>0</v>
      </c>
      <c r="AL461" s="42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ht="15.75" hidden="1" customHeight="1">
      <c r="A462" s="44">
        <f>A406+A394</f>
        <v>43838</v>
      </c>
      <c r="B462" s="126" t="str">
        <f t="shared" ref="B462:F462" si="898">IF(B406="","",B406)</f>
        <v>Средняя</v>
      </c>
      <c r="C462" s="127" t="str">
        <f t="shared" si="898"/>
        <v>ЖМ</v>
      </c>
      <c r="D462" s="128" t="str">
        <f t="shared" si="898"/>
        <v>Жим лежа</v>
      </c>
      <c r="E462" s="48">
        <f t="shared" si="898"/>
        <v>1</v>
      </c>
      <c r="F462" s="129" t="str">
        <f t="shared" si="898"/>
        <v/>
      </c>
      <c r="G462" s="130" t="str">
        <f t="shared" si="899"/>
        <v/>
      </c>
      <c r="H462" s="34"/>
      <c r="I462" s="34"/>
      <c r="J462" s="65"/>
      <c r="K462" s="130" t="str">
        <f t="shared" si="900"/>
        <v/>
      </c>
      <c r="L462" s="34"/>
      <c r="M462" s="34"/>
      <c r="N462" s="65"/>
      <c r="O462" s="130" t="str">
        <f t="shared" si="901"/>
        <v/>
      </c>
      <c r="P462" s="34"/>
      <c r="Q462" s="34"/>
      <c r="R462" s="65"/>
      <c r="S462" s="130" t="str">
        <f t="shared" si="902"/>
        <v/>
      </c>
      <c r="T462" s="34"/>
      <c r="U462" s="34"/>
      <c r="V462" s="65"/>
      <c r="W462" s="130" t="str">
        <f t="shared" si="903"/>
        <v/>
      </c>
      <c r="X462" s="34"/>
      <c r="Y462" s="34"/>
      <c r="Z462" s="65"/>
      <c r="AA462" s="130" t="str">
        <f t="shared" si="904"/>
        <v/>
      </c>
      <c r="AB462" s="34"/>
      <c r="AC462" s="34"/>
      <c r="AD462" s="65"/>
      <c r="AE462" s="131">
        <f t="shared" si="905"/>
        <v>0</v>
      </c>
      <c r="AF462" s="132">
        <f t="shared" si="886"/>
        <v>0</v>
      </c>
      <c r="AG462" s="133">
        <f t="shared" si="906"/>
        <v>0</v>
      </c>
      <c r="AH462" s="76">
        <f t="shared" si="907"/>
        <v>111.3076412</v>
      </c>
      <c r="AI462" s="132">
        <f> ( IF(ISNUMBER(G462), VLOOKUP(G462/$AH462,F!$A1:$B101,2,1)*G462*$H462*$I462,0)+IF(ISNUMBER(K462), VLOOKUP(K462/$AH462,F!$A1:$B101,2,1)*K462*$L462*$M462,0)+IF(ISNUMBER(O462), VLOOKUP(O462/$AH462,F!$A1:$B101,2,1)*O462*$P462*$Q462,0)+IF(ISNUMBER(S462), VLOOKUP(S462/$AH462,F!$A1:$B101,2,1)*S462*$T462*$U462,0)+IF(ISNUMBER(W462), VLOOKUP(W462/$AH462,F!$A1:$B101,2,1)*W462*$X462*$Y462,0)+IF(ISNUMBER(AA462), VLOOKUP(AA462/$AH462,F!$A1:$B101,2,1)*AA462*$AB462*$AC462,0))*IF(ISNUMBER(F462),F462,1)*IF(ISNUMBER(E462),E462,1)</f>
        <v>0</v>
      </c>
      <c r="AJ462" s="34">
        <f t="shared" si="908"/>
        <v>0</v>
      </c>
      <c r="AK462" s="134">
        <f t="array" ref="AK462">IFERROR(I462*INDEX(F!$P$21:$AB$33, MATCH(G462/$AH462, F!$O$21:$O$33,1), MATCH(E462, F!$P$20:$AB$20,1)), 0 ) +IFERROR( M462*INDEX(F!$P$21:$AB$33, MATCH(K462/$AH462, F!$O$21:$O$33,1), MATCH(E462, F!$P$20:$AB$20,1)),0) +  IFERROR( Q462*INDEX(F!$P$21:$AB$33, MATCH(O462/$AH462, F!$O$21:$O$33,1), MATCH(E462, F!$P$20:$AB$20,1)), 0) + IFERROR( U462*INDEX(F!$P$21:$AB$33, MATCH(S462/$AH462, F!$O$21:$O$33,1), MATCH(E462, F!$P$20:$AB$20,1)),0)  + IFERROR(Y462*INDEX(F!$P$21:$AB$33, MATCH(W462/$AH462, F!$O$21:$O$33,1), MATCH(E462, F!$P$20:$AB$20,1)),0)  + IFERROR( AC462*INDEX(F!$P$21:$AB$33, MATCH(AA462/$AH462, F!$O$21:$O$33,1), MATCH(E462, F!$P$20:$AB$20,1)),)</f>
        <v>0</v>
      </c>
      <c r="AL462" s="5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ht="15.75" hidden="1" customHeight="1">
      <c r="A463" s="59"/>
      <c r="B463" s="135" t="str">
        <f t="shared" ref="B463:F463" si="909">IF(B407="","",B407)</f>
        <v>Легкая</v>
      </c>
      <c r="C463" s="136" t="str">
        <f t="shared" si="909"/>
        <v>ОФП</v>
      </c>
      <c r="D463" s="137" t="str">
        <f t="shared" si="909"/>
        <v>Наклоны со штангой</v>
      </c>
      <c r="E463" s="48">
        <f t="shared" si="909"/>
        <v>0.8</v>
      </c>
      <c r="F463" s="138" t="str">
        <f t="shared" si="909"/>
        <v/>
      </c>
      <c r="G463" s="139" t="str">
        <f t="shared" si="899"/>
        <v/>
      </c>
      <c r="H463" s="140"/>
      <c r="I463" s="140"/>
      <c r="J463" s="141"/>
      <c r="K463" s="139" t="str">
        <f t="shared" si="900"/>
        <v/>
      </c>
      <c r="L463" s="140"/>
      <c r="M463" s="140"/>
      <c r="N463" s="141"/>
      <c r="O463" s="139" t="str">
        <f t="shared" si="901"/>
        <v/>
      </c>
      <c r="P463" s="140"/>
      <c r="Q463" s="140"/>
      <c r="R463" s="141"/>
      <c r="S463" s="139" t="str">
        <f t="shared" si="902"/>
        <v/>
      </c>
      <c r="T463" s="140"/>
      <c r="U463" s="140"/>
      <c r="V463" s="141"/>
      <c r="W463" s="139" t="str">
        <f t="shared" si="903"/>
        <v/>
      </c>
      <c r="X463" s="140"/>
      <c r="Y463" s="140"/>
      <c r="Z463" s="141"/>
      <c r="AA463" s="139" t="str">
        <f t="shared" si="904"/>
        <v/>
      </c>
      <c r="AB463" s="140"/>
      <c r="AC463" s="140"/>
      <c r="AD463" s="141"/>
      <c r="AE463" s="142">
        <f t="shared" si="905"/>
        <v>0</v>
      </c>
      <c r="AF463" s="143">
        <f t="shared" si="886"/>
        <v>0</v>
      </c>
      <c r="AG463" s="144">
        <f t="shared" si="906"/>
        <v>0</v>
      </c>
      <c r="AH463" s="76">
        <f t="shared" si="907"/>
        <v>119.216342</v>
      </c>
      <c r="AI463" s="143">
        <f> ( IF(ISNUMBER(G463), VLOOKUP(G463/$AH463,F!$A1:$B101,2,1)*G463*$H463*$I463,0)+IF(ISNUMBER(K463), VLOOKUP(K463/$AH463,F!$A1:$B101,2,1)*K463*$L463*$M463,0)+IF(ISNUMBER(O463), VLOOKUP(O463/$AH463,F!$A1:$B101,2,1)*O463*$P463*$Q463,0)+IF(ISNUMBER(S463), VLOOKUP(S463/$AH463,F!$A1:$B101,2,1)*S463*$T463*$U463,0)+IF(ISNUMBER(W463), VLOOKUP(W463/$AH463,F!$A1:$B101,2,1)*W463*$X463*$Y463,0)+IF(ISNUMBER(AA463), VLOOKUP(AA463/$AH463,F!$A1:$B101,2,1)*AA463*$AB463*$AC463,0))*IF(ISNUMBER(F463),F463,1)*IF(ISNUMBER(E463),E463,1)</f>
        <v>0</v>
      </c>
      <c r="AJ463" s="140">
        <f t="shared" si="908"/>
        <v>0</v>
      </c>
      <c r="AK463" s="145">
        <f t="array" ref="AK463">IFERROR(I463*INDEX(F!$P$21:$AB$33, MATCH(G463/$AH463, F!$O$21:$O$33,1), MATCH(E463, F!$P$20:$AB$20,1)), 0 ) +IFERROR( M463*INDEX(F!$P$21:$AB$33, MATCH(K463/$AH463, F!$O$21:$O$33,1), MATCH(E463, F!$P$20:$AB$20,1)),0) +  IFERROR( Q463*INDEX(F!$P$21:$AB$33, MATCH(O463/$AH463, F!$O$21:$O$33,1), MATCH(E463, F!$P$20:$AB$20,1)), 0) + IFERROR( U463*INDEX(F!$P$21:$AB$33, MATCH(S463/$AH463, F!$O$21:$O$33,1), MATCH(E463, F!$P$20:$AB$20,1)),0)  + IFERROR(Y463*INDEX(F!$P$21:$AB$33, MATCH(W463/$AH463, F!$O$21:$O$33,1), MATCH(E463, F!$P$20:$AB$20,1)),0)  + IFERROR( AC463*INDEX(F!$P$21:$AB$33, MATCH(AA463/$AH463, F!$O$21:$O$33,1), MATCH(E463, F!$P$20:$AB$20,1)),)</f>
        <v>0</v>
      </c>
      <c r="AL463" s="5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ht="15.75" hidden="1" customHeight="1">
      <c r="A464" s="59"/>
      <c r="B464" s="126" t="str">
        <f t="shared" ref="B464:F464" si="910">IF(B408="","",B408)</f>
        <v>Средняя</v>
      </c>
      <c r="C464" s="127" t="str">
        <f t="shared" si="910"/>
        <v>ОФП</v>
      </c>
      <c r="D464" s="128" t="str">
        <f t="shared" si="910"/>
        <v>Жим стоя</v>
      </c>
      <c r="E464" s="48">
        <f t="shared" si="910"/>
        <v>1</v>
      </c>
      <c r="F464" s="129" t="str">
        <f t="shared" si="910"/>
        <v/>
      </c>
      <c r="G464" s="130" t="str">
        <f t="shared" si="899"/>
        <v/>
      </c>
      <c r="H464" s="34"/>
      <c r="I464" s="34"/>
      <c r="J464" s="65"/>
      <c r="K464" s="130" t="str">
        <f t="shared" si="900"/>
        <v/>
      </c>
      <c r="L464" s="34"/>
      <c r="M464" s="34"/>
      <c r="N464" s="65"/>
      <c r="O464" s="130" t="str">
        <f t="shared" si="901"/>
        <v/>
      </c>
      <c r="P464" s="34"/>
      <c r="Q464" s="34"/>
      <c r="R464" s="65"/>
      <c r="S464" s="130" t="str">
        <f t="shared" si="902"/>
        <v/>
      </c>
      <c r="T464" s="34"/>
      <c r="U464" s="34"/>
      <c r="V464" s="65"/>
      <c r="W464" s="130" t="str">
        <f t="shared" si="903"/>
        <v/>
      </c>
      <c r="X464" s="34"/>
      <c r="Y464" s="34"/>
      <c r="Z464" s="65"/>
      <c r="AA464" s="130" t="str">
        <f t="shared" si="904"/>
        <v/>
      </c>
      <c r="AB464" s="34"/>
      <c r="AC464" s="34"/>
      <c r="AD464" s="65"/>
      <c r="AE464" s="131">
        <f t="shared" si="905"/>
        <v>0</v>
      </c>
      <c r="AF464" s="132">
        <f t="shared" si="886"/>
        <v>0</v>
      </c>
      <c r="AG464" s="133">
        <f t="shared" si="906"/>
        <v>0</v>
      </c>
      <c r="AH464" s="76">
        <f t="shared" si="907"/>
        <v>66.78458472</v>
      </c>
      <c r="AI464" s="132">
        <f> ( IF(ISNUMBER(G464), VLOOKUP(G464/$AH464,F!$A1:$B101,2,1)*G464*$H464*$I464,0)+IF(ISNUMBER(K464), VLOOKUP(K464/$AH464,F!$A1:$B101,2,1)*K464*$L464*$M464,0)+IF(ISNUMBER(O464), VLOOKUP(O464/$AH464,F!$A1:$B101,2,1)*O464*$P464*$Q464,0)+IF(ISNUMBER(S464), VLOOKUP(S464/$AH464,F!$A1:$B101,2,1)*S464*$T464*$U464,0)+IF(ISNUMBER(W464), VLOOKUP(W464/$AH464,F!$A1:$B101,2,1)*W464*$X464*$Y464,0)+IF(ISNUMBER(AA464), VLOOKUP(AA464/$AH464,F!$A1:$B101,2,1)*AA464*$AB464*$AC464,0))*IF(ISNUMBER(F464),F464,1)*IF(ISNUMBER(E464),E464,1)</f>
        <v>0</v>
      </c>
      <c r="AJ464" s="34">
        <f t="shared" si="908"/>
        <v>0</v>
      </c>
      <c r="AK464" s="134">
        <f t="array" ref="AK464">IFERROR(I464*INDEX(F!$P$21:$AB$33, MATCH(G464/$AH464, F!$O$21:$O$33,1), MATCH(E464, F!$P$20:$AB$20,1)), 0 ) +IFERROR( M464*INDEX(F!$P$21:$AB$33, MATCH(K464/$AH464, F!$O$21:$O$33,1), MATCH(E464, F!$P$20:$AB$20,1)),0) +  IFERROR( Q464*INDEX(F!$P$21:$AB$33, MATCH(O464/$AH464, F!$O$21:$O$33,1), MATCH(E464, F!$P$20:$AB$20,1)), 0) + IFERROR( U464*INDEX(F!$P$21:$AB$33, MATCH(S464/$AH464, F!$O$21:$O$33,1), MATCH(E464, F!$P$20:$AB$20,1)),0)  + IFERROR(Y464*INDEX(F!$P$21:$AB$33, MATCH(W464/$AH464, F!$O$21:$O$33,1), MATCH(E464, F!$P$20:$AB$20,1)),0)  + IFERROR( AC464*INDEX(F!$P$21:$AB$33, MATCH(AA464/$AH464, F!$O$21:$O$33,1), MATCH(E464, F!$P$20:$AB$20,1)),)</f>
        <v>0</v>
      </c>
      <c r="AL464" s="5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ht="15.75" hidden="1" customHeight="1">
      <c r="A465" s="59"/>
      <c r="B465" s="135" t="str">
        <f t="shared" ref="B465:F465" si="911">IF(B409="","",B409)</f>
        <v>Средняя</v>
      </c>
      <c r="C465" s="136" t="str">
        <f t="shared" si="911"/>
        <v>ЖМ</v>
      </c>
      <c r="D465" s="137" t="str">
        <f t="shared" si="911"/>
        <v>Жим средним хватом</v>
      </c>
      <c r="E465" s="48">
        <f t="shared" si="911"/>
        <v>1</v>
      </c>
      <c r="F465" s="138" t="str">
        <f t="shared" si="911"/>
        <v/>
      </c>
      <c r="G465" s="139" t="str">
        <f t="shared" si="899"/>
        <v/>
      </c>
      <c r="H465" s="140"/>
      <c r="I465" s="140"/>
      <c r="J465" s="141"/>
      <c r="K465" s="139" t="str">
        <f t="shared" si="900"/>
        <v/>
      </c>
      <c r="L465" s="140"/>
      <c r="M465" s="140"/>
      <c r="N465" s="141"/>
      <c r="O465" s="139" t="str">
        <f t="shared" si="901"/>
        <v/>
      </c>
      <c r="P465" s="140"/>
      <c r="Q465" s="140"/>
      <c r="R465" s="141"/>
      <c r="S465" s="139" t="str">
        <f t="shared" si="902"/>
        <v/>
      </c>
      <c r="T465" s="140"/>
      <c r="U465" s="140"/>
      <c r="V465" s="141"/>
      <c r="W465" s="139" t="str">
        <f t="shared" si="903"/>
        <v/>
      </c>
      <c r="X465" s="140"/>
      <c r="Y465" s="140"/>
      <c r="Z465" s="141"/>
      <c r="AA465" s="139" t="str">
        <f t="shared" si="904"/>
        <v/>
      </c>
      <c r="AB465" s="140"/>
      <c r="AC465" s="140"/>
      <c r="AD465" s="141"/>
      <c r="AE465" s="142">
        <f t="shared" si="905"/>
        <v>0</v>
      </c>
      <c r="AF465" s="143">
        <f t="shared" si="886"/>
        <v>0</v>
      </c>
      <c r="AG465" s="144">
        <f t="shared" si="906"/>
        <v>0</v>
      </c>
      <c r="AH465" s="76">
        <f t="shared" si="907"/>
        <v>94.61149502</v>
      </c>
      <c r="AI465" s="143">
        <f> ( IF(ISNUMBER(G465), VLOOKUP(G465/$AH465,F!$A1:$B101,2,1)*G465*$H465*$I465,0)+IF(ISNUMBER(K465), VLOOKUP(K465/$AH465,F!$A1:$B101,2,1)*K465*$L465*$M465,0)+IF(ISNUMBER(O465), VLOOKUP(O465/$AH465,F!$A1:$B101,2,1)*O465*$P465*$Q465,0)+IF(ISNUMBER(S465), VLOOKUP(S465/$AH465,F!$A1:$B101,2,1)*S465*$T465*$U465,0)+IF(ISNUMBER(W465), VLOOKUP(W465/$AH465,F!$A1:$B101,2,1)*W465*$X465*$Y465,0)+IF(ISNUMBER(AA465), VLOOKUP(AA465/$AH465,F!$A1:$B101,2,1)*AA465*$AB465*$AC465,0))*IF(ISNUMBER(F465),F465,1)*IF(ISNUMBER(E465),E465,1)</f>
        <v>0</v>
      </c>
      <c r="AJ465" s="140">
        <f t="shared" si="908"/>
        <v>0</v>
      </c>
      <c r="AK465" s="145">
        <f t="array" ref="AK465">IFERROR(I465*INDEX(F!$P$21:$AB$33, MATCH(G465/$AH465, F!$O$21:$O$33,1), MATCH(E465, F!$P$20:$AB$20,1)), 0 ) +IFERROR( M465*INDEX(F!$P$21:$AB$33, MATCH(K465/$AH465, F!$O$21:$O$33,1), MATCH(E465, F!$P$20:$AB$20,1)),0) +  IFERROR( Q465*INDEX(F!$P$21:$AB$33, MATCH(O465/$AH465, F!$O$21:$O$33,1), MATCH(E465, F!$P$20:$AB$20,1)), 0) + IFERROR( U465*INDEX(F!$P$21:$AB$33, MATCH(S465/$AH465, F!$O$21:$O$33,1), MATCH(E465, F!$P$20:$AB$20,1)),0)  + IFERROR(Y465*INDEX(F!$P$21:$AB$33, MATCH(W465/$AH465, F!$O$21:$O$33,1), MATCH(E465, F!$P$20:$AB$20,1)),0)  + IFERROR( AC465*INDEX(F!$P$21:$AB$33, MATCH(AA465/$AH465, F!$O$21:$O$33,1), MATCH(E465, F!$P$20:$AB$20,1)),)</f>
        <v>0</v>
      </c>
      <c r="AL465" s="5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ht="15.75" hidden="1" customHeight="1">
      <c r="A466" s="59"/>
      <c r="B466" s="126" t="str">
        <f t="shared" ref="B466:F466" si="912">IF(B410="","",B410)</f>
        <v/>
      </c>
      <c r="C466" s="127" t="str">
        <f t="shared" si="912"/>
        <v/>
      </c>
      <c r="D466" s="128" t="str">
        <f t="shared" si="912"/>
        <v/>
      </c>
      <c r="E466" s="48" t="str">
        <f t="shared" si="912"/>
        <v/>
      </c>
      <c r="F466" s="129" t="str">
        <f t="shared" si="912"/>
        <v/>
      </c>
      <c r="G466" s="130" t="str">
        <f t="shared" si="899"/>
        <v/>
      </c>
      <c r="H466" s="34"/>
      <c r="I466" s="34"/>
      <c r="J466" s="65"/>
      <c r="K466" s="130" t="str">
        <f t="shared" si="900"/>
        <v/>
      </c>
      <c r="L466" s="34"/>
      <c r="M466" s="34"/>
      <c r="N466" s="65"/>
      <c r="O466" s="130" t="str">
        <f t="shared" si="901"/>
        <v/>
      </c>
      <c r="P466" s="34"/>
      <c r="Q466" s="34"/>
      <c r="R466" s="65"/>
      <c r="S466" s="130" t="str">
        <f t="shared" si="902"/>
        <v/>
      </c>
      <c r="T466" s="34"/>
      <c r="U466" s="34"/>
      <c r="V466" s="65"/>
      <c r="W466" s="130" t="str">
        <f t="shared" si="903"/>
        <v/>
      </c>
      <c r="X466" s="34"/>
      <c r="Y466" s="34"/>
      <c r="Z466" s="65"/>
      <c r="AA466" s="130" t="str">
        <f t="shared" si="904"/>
        <v/>
      </c>
      <c r="AB466" s="34"/>
      <c r="AC466" s="34"/>
      <c r="AD466" s="65"/>
      <c r="AE466" s="131">
        <f t="shared" si="905"/>
        <v>0</v>
      </c>
      <c r="AF466" s="132">
        <f t="shared" si="886"/>
        <v>0</v>
      </c>
      <c r="AG466" s="133">
        <f t="shared" si="906"/>
        <v>0</v>
      </c>
      <c r="AH466" s="76" t="str">
        <f t="shared" si="907"/>
        <v/>
      </c>
      <c r="AI466" s="132">
        <f> ( IF(ISNUMBER(G466), VLOOKUP(G466/$AH466,F!$A1:$B101,2,1)*G466*$H466*$I466,0)+IF(ISNUMBER(K466), VLOOKUP(K466/$AH466,F!$A1:$B101,2,1)*K466*$L466*$M466,0)+IF(ISNUMBER(O466), VLOOKUP(O466/$AH466,F!$A1:$B101,2,1)*O466*$P466*$Q466,0)+IF(ISNUMBER(S466), VLOOKUP(S466/$AH466,F!$A1:$B101,2,1)*S466*$T466*$U466,0)+IF(ISNUMBER(W466), VLOOKUP(W466/$AH466,F!$A1:$B101,2,1)*W466*$X466*$Y466,0)+IF(ISNUMBER(AA466), VLOOKUP(AA466/$AH466,F!$A1:$B101,2,1)*AA466*$AB466*$AC466,0))*IF(ISNUMBER(F466),F466,1)*IF(ISNUMBER(E466),E466,1)</f>
        <v>0</v>
      </c>
      <c r="AJ466" s="34">
        <f t="shared" si="908"/>
        <v>0</v>
      </c>
      <c r="AK466" s="134">
        <f t="array" ref="AK466">IFERROR(I466*INDEX(F!$P$21:$AB$33, MATCH(G466/$AH466, F!$O$21:$O$33,1), MATCH(E466, F!$P$20:$AB$20,1)), 0 ) +IFERROR( M466*INDEX(F!$P$21:$AB$33, MATCH(K466/$AH466, F!$O$21:$O$33,1), MATCH(E466, F!$P$20:$AB$20,1)),0) +  IFERROR( Q466*INDEX(F!$P$21:$AB$33, MATCH(O466/$AH466, F!$O$21:$O$33,1), MATCH(E466, F!$P$20:$AB$20,1)), 0) + IFERROR( U466*INDEX(F!$P$21:$AB$33, MATCH(S466/$AH466, F!$O$21:$O$33,1), MATCH(E466, F!$P$20:$AB$20,1)),0)  + IFERROR(Y466*INDEX(F!$P$21:$AB$33, MATCH(W466/$AH466, F!$O$21:$O$33,1), MATCH(E466, F!$P$20:$AB$20,1)),0)  + IFERROR( AC466*INDEX(F!$P$21:$AB$33, MATCH(AA466/$AH466, F!$O$21:$O$33,1), MATCH(E466, F!$P$20:$AB$20,1)),)</f>
        <v>0</v>
      </c>
      <c r="AL466" s="5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ht="15.75" hidden="1" customHeight="1">
      <c r="A467" s="59"/>
      <c r="B467" s="135" t="str">
        <f t="shared" ref="B467:F467" si="913">IF(B411="","",B411)</f>
        <v/>
      </c>
      <c r="C467" s="136" t="str">
        <f t="shared" si="913"/>
        <v/>
      </c>
      <c r="D467" s="137" t="str">
        <f t="shared" si="913"/>
        <v/>
      </c>
      <c r="E467" s="48" t="str">
        <f t="shared" si="913"/>
        <v/>
      </c>
      <c r="F467" s="138" t="str">
        <f t="shared" si="913"/>
        <v/>
      </c>
      <c r="G467" s="139" t="str">
        <f t="shared" si="899"/>
        <v/>
      </c>
      <c r="H467" s="140"/>
      <c r="I467" s="140"/>
      <c r="J467" s="141"/>
      <c r="K467" s="139" t="str">
        <f t="shared" si="900"/>
        <v/>
      </c>
      <c r="L467" s="140"/>
      <c r="M467" s="140"/>
      <c r="N467" s="141"/>
      <c r="O467" s="139" t="str">
        <f t="shared" si="901"/>
        <v/>
      </c>
      <c r="P467" s="140"/>
      <c r="Q467" s="140"/>
      <c r="R467" s="141"/>
      <c r="S467" s="139" t="str">
        <f t="shared" si="902"/>
        <v/>
      </c>
      <c r="T467" s="140"/>
      <c r="U467" s="140"/>
      <c r="V467" s="141"/>
      <c r="W467" s="139" t="str">
        <f t="shared" si="903"/>
        <v/>
      </c>
      <c r="X467" s="140"/>
      <c r="Y467" s="140"/>
      <c r="Z467" s="141"/>
      <c r="AA467" s="139" t="str">
        <f t="shared" si="904"/>
        <v/>
      </c>
      <c r="AB467" s="140"/>
      <c r="AC467" s="140"/>
      <c r="AD467" s="141"/>
      <c r="AE467" s="142">
        <f t="shared" si="905"/>
        <v>0</v>
      </c>
      <c r="AF467" s="143">
        <f t="shared" si="886"/>
        <v>0</v>
      </c>
      <c r="AG467" s="144">
        <f t="shared" si="906"/>
        <v>0</v>
      </c>
      <c r="AH467" s="76" t="str">
        <f t="shared" si="907"/>
        <v/>
      </c>
      <c r="AI467" s="143">
        <f> ( IF(ISNUMBER(G467), VLOOKUP(G467/$AH467,F!$A1:$B101,2,1)*G467*$H467*$I467,0)+IF(ISNUMBER(K467), VLOOKUP(K467/$AH467,F!$A1:$B101,2,1)*K467*$L467*$M467,0)+IF(ISNUMBER(O467), VLOOKUP(O467/$AH467,F!$A1:$B101,2,1)*O467*$P467*$Q467,0)+IF(ISNUMBER(S467), VLOOKUP(S467/$AH467,F!$A1:$B101,2,1)*S467*$T467*$U467,0)+IF(ISNUMBER(W467), VLOOKUP(W467/$AH467,F!$A1:$B101,2,1)*W467*$X467*$Y467,0)+IF(ISNUMBER(AA467), VLOOKUP(AA467/$AH467,F!$A1:$B101,2,1)*AA467*$AB467*$AC467,0))*IF(ISNUMBER(F467),F467,1)*IF(ISNUMBER(E467),E467,1)</f>
        <v>0</v>
      </c>
      <c r="AJ467" s="140">
        <f t="shared" si="908"/>
        <v>0</v>
      </c>
      <c r="AK467" s="145">
        <f t="array" ref="AK467">IFERROR(I467*INDEX(F!$P$21:$AB$33, MATCH(G467/$AH467, F!$O$21:$O$33,1), MATCH(E467, F!$P$20:$AB$20,1)), 0 ) +IFERROR( M467*INDEX(F!$P$21:$AB$33, MATCH(K467/$AH467, F!$O$21:$O$33,1), MATCH(E467, F!$P$20:$AB$20,1)),0) +  IFERROR( Q467*INDEX(F!$P$21:$AB$33, MATCH(O467/$AH467, F!$O$21:$O$33,1), MATCH(E467, F!$P$20:$AB$20,1)), 0) + IFERROR( U467*INDEX(F!$P$21:$AB$33, MATCH(S467/$AH467, F!$O$21:$O$33,1), MATCH(E467, F!$P$20:$AB$20,1)),0)  + IFERROR(Y467*INDEX(F!$P$21:$AB$33, MATCH(W467/$AH467, F!$O$21:$O$33,1), MATCH(E467, F!$P$20:$AB$20,1)),0)  + IFERROR( AC467*INDEX(F!$P$21:$AB$33, MATCH(AA467/$AH467, F!$O$21:$O$33,1), MATCH(E467, F!$P$20:$AB$20,1)),)</f>
        <v>0</v>
      </c>
      <c r="AL467" s="5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ht="15.75" hidden="1" customHeight="1">
      <c r="A468" s="59"/>
      <c r="B468" s="126" t="str">
        <f t="shared" ref="B468:F468" si="914">IF(B412="","",B412)</f>
        <v/>
      </c>
      <c r="C468" s="127" t="str">
        <f t="shared" si="914"/>
        <v/>
      </c>
      <c r="D468" s="128" t="str">
        <f t="shared" si="914"/>
        <v/>
      </c>
      <c r="E468" s="48" t="str">
        <f t="shared" si="914"/>
        <v/>
      </c>
      <c r="F468" s="129" t="str">
        <f t="shared" si="914"/>
        <v/>
      </c>
      <c r="G468" s="130" t="str">
        <f t="shared" si="899"/>
        <v/>
      </c>
      <c r="H468" s="34"/>
      <c r="I468" s="34"/>
      <c r="J468" s="65"/>
      <c r="K468" s="130" t="str">
        <f t="shared" si="900"/>
        <v/>
      </c>
      <c r="L468" s="34"/>
      <c r="M468" s="34"/>
      <c r="N468" s="65"/>
      <c r="O468" s="130" t="str">
        <f t="shared" si="901"/>
        <v/>
      </c>
      <c r="P468" s="34"/>
      <c r="Q468" s="34"/>
      <c r="R468" s="65"/>
      <c r="S468" s="130" t="str">
        <f t="shared" si="902"/>
        <v/>
      </c>
      <c r="T468" s="34"/>
      <c r="U468" s="34"/>
      <c r="V468" s="65"/>
      <c r="W468" s="130" t="str">
        <f t="shared" si="903"/>
        <v/>
      </c>
      <c r="X468" s="34"/>
      <c r="Y468" s="34"/>
      <c r="Z468" s="65"/>
      <c r="AA468" s="130" t="str">
        <f t="shared" si="904"/>
        <v/>
      </c>
      <c r="AB468" s="34"/>
      <c r="AC468" s="34"/>
      <c r="AD468" s="65"/>
      <c r="AE468" s="131">
        <f t="shared" si="905"/>
        <v>0</v>
      </c>
      <c r="AF468" s="132">
        <f t="shared" si="886"/>
        <v>0</v>
      </c>
      <c r="AG468" s="133">
        <f t="shared" si="906"/>
        <v>0</v>
      </c>
      <c r="AH468" s="76" t="str">
        <f t="shared" si="907"/>
        <v/>
      </c>
      <c r="AI468" s="132">
        <f> ( IF(ISNUMBER(G468), VLOOKUP(G468/$AH468,F!$A1:$B101,2,1)*G468*$H468*$I468,0)+IF(ISNUMBER(K468), VLOOKUP(K468/$AH468,F!$A1:$B101,2,1)*K468*$L468*$M468,0)+IF(ISNUMBER(O468), VLOOKUP(O468/$AH468,F!$A1:$B101,2,1)*O468*$P468*$Q468,0)+IF(ISNUMBER(S468), VLOOKUP(S468/$AH468,F!$A1:$B101,2,1)*S468*$T468*$U468,0)+IF(ISNUMBER(W468), VLOOKUP(W468/$AH468,F!$A1:$B101,2,1)*W468*$X468*$Y468,0)+IF(ISNUMBER(AA468), VLOOKUP(AA468/$AH468,F!$A1:$B101,2,1)*AA468*$AB468*$AC468,0))*IF(ISNUMBER(F468),F468,1)*IF(ISNUMBER(E468),E468,1)</f>
        <v>0</v>
      </c>
      <c r="AJ468" s="34">
        <f t="shared" si="908"/>
        <v>0</v>
      </c>
      <c r="AK468" s="134">
        <f t="array" ref="AK468">IFERROR(I468*INDEX(F!$P$21:$AB$33, MATCH(G468/$AH468, F!$O$21:$O$33,1), MATCH(E468, F!$P$20:$AB$20,1)), 0 ) +IFERROR( M468*INDEX(F!$P$21:$AB$33, MATCH(K468/$AH468, F!$O$21:$O$33,1), MATCH(E468, F!$P$20:$AB$20,1)),0) +  IFERROR( Q468*INDEX(F!$P$21:$AB$33, MATCH(O468/$AH468, F!$O$21:$O$33,1), MATCH(E468, F!$P$20:$AB$20,1)), 0) + IFERROR( U468*INDEX(F!$P$21:$AB$33, MATCH(S468/$AH468, F!$O$21:$O$33,1), MATCH(E468, F!$P$20:$AB$20,1)),0)  + IFERROR(Y468*INDEX(F!$P$21:$AB$33, MATCH(W468/$AH468, F!$O$21:$O$33,1), MATCH(E468, F!$P$20:$AB$20,1)),0)  + IFERROR( AC468*INDEX(F!$P$21:$AB$33, MATCH(AA468/$AH468, F!$O$21:$O$33,1), MATCH(E468, F!$P$20:$AB$20,1)),)</f>
        <v>0</v>
      </c>
      <c r="AL468" s="5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ht="15.75" hidden="1" customHeight="1">
      <c r="A469" s="98"/>
      <c r="B469" s="150"/>
      <c r="C469" s="151"/>
      <c r="D469" s="152"/>
      <c r="E469" s="102">
        <f>ROUND(IFERROR(SUMPRODUCT(AJ461:AJ468,E461:E468)/AJ469,0),3)</f>
        <v>0</v>
      </c>
      <c r="F469" s="153"/>
      <c r="G469" s="154"/>
      <c r="H469" s="155"/>
      <c r="I469" s="155"/>
      <c r="J469" s="156"/>
      <c r="K469" s="154"/>
      <c r="L469" s="155"/>
      <c r="M469" s="155"/>
      <c r="N469" s="156"/>
      <c r="O469" s="154"/>
      <c r="P469" s="155"/>
      <c r="Q469" s="155"/>
      <c r="R469" s="156"/>
      <c r="S469" s="154"/>
      <c r="T469" s="155"/>
      <c r="U469" s="155"/>
      <c r="V469" s="156"/>
      <c r="W469" s="154"/>
      <c r="X469" s="155"/>
      <c r="Y469" s="155"/>
      <c r="Z469" s="156"/>
      <c r="AA469" s="154"/>
      <c r="AB469" s="155"/>
      <c r="AC469" s="155"/>
      <c r="AD469" s="156"/>
      <c r="AE469" s="107">
        <f>SUM(AE461:AE468)</f>
        <v>0</v>
      </c>
      <c r="AF469" s="108">
        <f t="shared" si="886"/>
        <v>0</v>
      </c>
      <c r="AG469" s="109">
        <f>IFERROR(  SUMPRODUCT(AG461:AG468,AJ461:AJ468)/AJ469,0)</f>
        <v>0</v>
      </c>
      <c r="AH469" s="157"/>
      <c r="AI469" s="111">
        <f t="shared" ref="AI469:AJ469" si="915">SUM(AI461:AI468)</f>
        <v>0</v>
      </c>
      <c r="AJ469" s="111">
        <f t="shared" si="915"/>
        <v>0</v>
      </c>
      <c r="AK469" s="112">
        <f>IF(SUM(AK461:AK468)=0,TIME(,0,),TIME(,SUM(AK461:AK468)+F!$V$37,))</f>
        <v>0</v>
      </c>
      <c r="AL469" s="98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ht="15.75" hidden="1" customHeight="1">
      <c r="A470" s="158">
        <f>A471</f>
        <v>43840</v>
      </c>
      <c r="B470" s="159" t="str">
        <f t="shared" ref="B470:F470" si="916">IF(B414="","",B414)</f>
        <v>Тяжелая</v>
      </c>
      <c r="C470" s="160" t="str">
        <f t="shared" si="916"/>
        <v>ПР</v>
      </c>
      <c r="D470" s="161" t="str">
        <f t="shared" si="916"/>
        <v>Присед</v>
      </c>
      <c r="E470" s="29">
        <f t="shared" si="916"/>
        <v>1.2</v>
      </c>
      <c r="F470" s="162" t="str">
        <f t="shared" si="916"/>
        <v/>
      </c>
      <c r="G470" s="163" t="str">
        <f t="shared" ref="G470:G477" si="918">IF(J470&lt;&gt;0, IFERROR(IF( $F470=2,  MROUND($AH470*J470,1),    IF( OR($F470="",$F470=1),   MROUND($AH470*J470,2.5),  MROUND($AH470*J470, 0.1))), "" ), "")</f>
        <v/>
      </c>
      <c r="H470" s="164"/>
      <c r="I470" s="164"/>
      <c r="J470" s="165"/>
      <c r="K470" s="163" t="str">
        <f t="shared" ref="K470:K477" si="919">IF(N470&lt;&gt;0, IFERROR(IF( $F470=2,  MROUND($AH470*N470,1),    IF( OR($F470="",$F470=1),   MROUND($AH470*N470,2.5),  MROUND($AH470*N470, 0.1))), "" ), "")</f>
        <v/>
      </c>
      <c r="L470" s="164"/>
      <c r="M470" s="164"/>
      <c r="N470" s="165"/>
      <c r="O470" s="163" t="str">
        <f t="shared" ref="O470:O477" si="920">IF(R470&lt;&gt;0, IFERROR(IF( $F470=2,  MROUND($AH470*R470,1),    IF( OR($F470="",$F470=1),   MROUND($AH470*R470,2.5),  MROUND($AH470*R470, 0.1))), "" ), "")</f>
        <v/>
      </c>
      <c r="P470" s="164"/>
      <c r="Q470" s="164"/>
      <c r="R470" s="165"/>
      <c r="S470" s="163" t="str">
        <f t="shared" ref="S470:S477" si="921">IF(V470&lt;&gt;0, IFERROR(IF( $F470=2,  MROUND($AH470*V470,1),    IF( OR($F470="",$F470=1),   MROUND($AH470*V470,2.5),  MROUND($AH470*V470, 0.1))), "" ), "")</f>
        <v/>
      </c>
      <c r="T470" s="164"/>
      <c r="U470" s="164"/>
      <c r="V470" s="165"/>
      <c r="W470" s="163" t="str">
        <f t="shared" ref="W470:W477" si="922">IF(Z470&lt;&gt;0, IFERROR(IF( $F470=2,  MROUND($AH470*Z470,1),    IF( OR($F470="",$F470=1),   MROUND($AH470*Z470,2.5),  MROUND($AH470*Z470, 0.1))), "" ), "")</f>
        <v/>
      </c>
      <c r="X470" s="164"/>
      <c r="Y470" s="164"/>
      <c r="Z470" s="165"/>
      <c r="AA470" s="163" t="str">
        <f t="shared" ref="AA470:AA477" si="923">IF(AD470&lt;&gt;0, IFERROR(IF( $F470=2,  MROUND($AH470*AD470,1),    IF( OR($F470="",$F470=1),   MROUND($AH470*AD470,2.5),  MROUND($AH470*AD470, 0.1))), "" ), "")</f>
        <v/>
      </c>
      <c r="AB470" s="164"/>
      <c r="AC470" s="164"/>
      <c r="AD470" s="165"/>
      <c r="AE470" s="166">
        <f t="shared" ref="AE470:AE477" si="924">(IF(ISNUMBER(G470),G470,0)*H470*I470+IF(ISNUMBER(K470),K470,1)*L470*M470+IF(ISNUMBER(O470),O470,1)*P470*Q470+IF(ISNUMBER(S470),S470,1)*T470*U470+IF(ISNUMBER(W470),W470,1)*X470*Y470+IF(ISNUMBER(AA470),AA470,1)*AB470*AC470)*IF(ISNUMBER(F470),F470,1)</f>
        <v>0</v>
      </c>
      <c r="AF470" s="167">
        <f t="shared" si="886"/>
        <v>0</v>
      </c>
      <c r="AG470" s="168">
        <f t="shared" ref="AG470:AG477" si="925">IFERROR((AF470/(AH470*IF(ISNUMBER(F470),F470,1))),0)</f>
        <v>0</v>
      </c>
      <c r="AH470" s="169">
        <f t="shared" ref="AH470:AH477" si="926">IF(ISNUMBER(AH414), AH414+(AH414*$AH$450),"")</f>
        <v>158.1740164</v>
      </c>
      <c r="AI470" s="167">
        <f> ( IF(ISNUMBER(G470), VLOOKUP(G470/$AH470,F!$A1:$B101,2,1)*G470*$H470*$I470,0)+IF(ISNUMBER(K470), VLOOKUP(K470/$AH470,F!$A1:$B101,2,1)*K470*$L470*$M470,0)+IF(ISNUMBER(O470), VLOOKUP(O470/$AH470,F!$A1:$B101,2,1)*O470*$P470*$Q470,0)+IF(ISNUMBER(S470), VLOOKUP(S470/$AH470,F!$A1:$B101,2,1)*S470*$T470*$U470,0)+IF(ISNUMBER(W470), VLOOKUP(W470/$AH470,F!$A1:$B101,2,1)*W470*$X470*$Y470,0)+IF(ISNUMBER(AA470), VLOOKUP(AA470/$AH470,F!$A1:$B101,2,1)*AA470*$AB470*$AC470,0))*IF(ISNUMBER(F470),F470,1)*IF(ISNUMBER(E470),E470,1)</f>
        <v>0</v>
      </c>
      <c r="AJ470" s="164">
        <f t="shared" ref="AJ470:AJ477" si="927">H470*I470+L470*M470+P470*Q470+T470*U470+X470*Y470+AB470*AC470</f>
        <v>0</v>
      </c>
      <c r="AK470" s="170">
        <f t="array" ref="AK470">IFERROR(I470*INDEX(F!$P$21:$AB$33, MATCH(G470/$AH470, F!$O$21:$O$33,1), MATCH(E470, F!$P$20:$AB$20,1)), 0 ) +IFERROR( M470*INDEX(F!$P$21:$AB$33, MATCH(K470/$AH470, F!$O$21:$O$33,1), MATCH(E470, F!$P$20:$AB$20,1)),0) +  IFERROR( Q470*INDEX(F!$P$21:$AB$33, MATCH(O470/$AH470, F!$O$21:$O$33,1), MATCH(E470, F!$P$20:$AB$20,1)), 0) + IFERROR( U470*INDEX(F!$P$21:$AB$33, MATCH(S470/$AH470, F!$O$21:$O$33,1), MATCH(E470, F!$P$20:$AB$20,1)),0)  + IFERROR(Y470*INDEX(F!$P$21:$AB$33, MATCH(W470/$AH470, F!$O$21:$O$33,1), MATCH(E470, F!$P$20:$AB$20,1)),0)  + IFERROR( AC470*INDEX(F!$P$21:$AB$33, MATCH(AA470/$AH470, F!$O$21:$O$33,1), MATCH(E470, F!$P$20:$AB$20,1)),)</f>
        <v>0</v>
      </c>
      <c r="AL470" s="42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ht="15.75" hidden="1" customHeight="1">
      <c r="A471" s="44">
        <f>A415+A394</f>
        <v>43840</v>
      </c>
      <c r="B471" s="135" t="str">
        <f t="shared" ref="B471:F471" si="917">IF(B415="","",B415)</f>
        <v>Тяжелая</v>
      </c>
      <c r="C471" s="136" t="str">
        <f t="shared" si="917"/>
        <v>ЖМ</v>
      </c>
      <c r="D471" s="137" t="str">
        <f t="shared" si="917"/>
        <v>Жим лежа</v>
      </c>
      <c r="E471" s="48">
        <f t="shared" si="917"/>
        <v>1</v>
      </c>
      <c r="F471" s="138" t="str">
        <f t="shared" si="917"/>
        <v/>
      </c>
      <c r="G471" s="139" t="str">
        <f t="shared" si="918"/>
        <v/>
      </c>
      <c r="H471" s="140"/>
      <c r="I471" s="140"/>
      <c r="J471" s="141"/>
      <c r="K471" s="139" t="str">
        <f t="shared" si="919"/>
        <v/>
      </c>
      <c r="L471" s="140"/>
      <c r="M471" s="140"/>
      <c r="N471" s="141"/>
      <c r="O471" s="139" t="str">
        <f t="shared" si="920"/>
        <v/>
      </c>
      <c r="P471" s="140"/>
      <c r="Q471" s="140"/>
      <c r="R471" s="141"/>
      <c r="S471" s="139" t="str">
        <f t="shared" si="921"/>
        <v/>
      </c>
      <c r="T471" s="140"/>
      <c r="U471" s="140"/>
      <c r="V471" s="141"/>
      <c r="W471" s="139" t="str">
        <f t="shared" si="922"/>
        <v/>
      </c>
      <c r="X471" s="140"/>
      <c r="Y471" s="140"/>
      <c r="Z471" s="141"/>
      <c r="AA471" s="139" t="str">
        <f t="shared" si="923"/>
        <v/>
      </c>
      <c r="AB471" s="140"/>
      <c r="AC471" s="140"/>
      <c r="AD471" s="141"/>
      <c r="AE471" s="142">
        <f t="shared" si="924"/>
        <v>0</v>
      </c>
      <c r="AF471" s="143">
        <f t="shared" si="886"/>
        <v>0</v>
      </c>
      <c r="AG471" s="144">
        <f t="shared" si="925"/>
        <v>0</v>
      </c>
      <c r="AH471" s="76">
        <f t="shared" si="926"/>
        <v>111.3076412</v>
      </c>
      <c r="AI471" s="143">
        <f> ( IF(ISNUMBER(G471), VLOOKUP(G471/$AH471,F!$A1:$B101,2,1)*G471*$H471*$I471,0)+IF(ISNUMBER(K471), VLOOKUP(K471/$AH471,F!$A1:$B101,2,1)*K471*$L471*$M471,0)+IF(ISNUMBER(O471), VLOOKUP(O471/$AH471,F!$A1:$B101,2,1)*O471*$P471*$Q471,0)+IF(ISNUMBER(S471), VLOOKUP(S471/$AH471,F!$A1:$B101,2,1)*S471*$T471*$U471,0)+IF(ISNUMBER(W471), VLOOKUP(W471/$AH471,F!$A1:$B101,2,1)*W471*$X471*$Y471,0)+IF(ISNUMBER(AA471), VLOOKUP(AA471/$AH471,F!$A1:$B101,2,1)*AA471*$AB471*$AC471,0))*IF(ISNUMBER(F471),F471,1)*IF(ISNUMBER(E471),E471,1)</f>
        <v>0</v>
      </c>
      <c r="AJ471" s="140">
        <f t="shared" si="927"/>
        <v>0</v>
      </c>
      <c r="AK471" s="145">
        <f t="array" ref="AK471">IFERROR(I471*INDEX(F!$P$21:$AB$33, MATCH(G471/$AH471, F!$O$21:$O$33,1), MATCH(E471, F!$P$20:$AB$20,1)), 0 ) +IFERROR( M471*INDEX(F!$P$21:$AB$33, MATCH(K471/$AH471, F!$O$21:$O$33,1), MATCH(E471, F!$P$20:$AB$20,1)),0) +  IFERROR( Q471*INDEX(F!$P$21:$AB$33, MATCH(O471/$AH471, F!$O$21:$O$33,1), MATCH(E471, F!$P$20:$AB$20,1)), 0) + IFERROR( U471*INDEX(F!$P$21:$AB$33, MATCH(S471/$AH471, F!$O$21:$O$33,1), MATCH(E471, F!$P$20:$AB$20,1)),0)  + IFERROR(Y471*INDEX(F!$P$21:$AB$33, MATCH(W471/$AH471, F!$O$21:$O$33,1), MATCH(E471, F!$P$20:$AB$20,1)),0)  + IFERROR( AC471*INDEX(F!$P$21:$AB$33, MATCH(AA471/$AH471, F!$O$21:$O$33,1), MATCH(E471, F!$P$20:$AB$20,1)),)</f>
        <v>0</v>
      </c>
      <c r="AL471" s="5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ht="15.75" hidden="1" customHeight="1">
      <c r="A472" s="59"/>
      <c r="B472" s="173" t="str">
        <f t="shared" ref="B472:F472" si="928">IF(B416="","",B416)</f>
        <v>Средняя</v>
      </c>
      <c r="C472" s="174" t="str">
        <f t="shared" si="928"/>
        <v>ПР</v>
      </c>
      <c r="D472" s="175" t="str">
        <f t="shared" si="928"/>
        <v>Присед</v>
      </c>
      <c r="E472" s="48">
        <f t="shared" si="928"/>
        <v>1.2</v>
      </c>
      <c r="F472" s="176" t="str">
        <f t="shared" si="928"/>
        <v/>
      </c>
      <c r="G472" s="177" t="str">
        <f t="shared" si="918"/>
        <v/>
      </c>
      <c r="H472" s="178"/>
      <c r="I472" s="178"/>
      <c r="J472" s="179"/>
      <c r="K472" s="177" t="str">
        <f t="shared" si="919"/>
        <v/>
      </c>
      <c r="L472" s="178"/>
      <c r="M472" s="178"/>
      <c r="N472" s="179"/>
      <c r="O472" s="177" t="str">
        <f t="shared" si="920"/>
        <v/>
      </c>
      <c r="P472" s="178"/>
      <c r="Q472" s="178"/>
      <c r="R472" s="179"/>
      <c r="S472" s="177" t="str">
        <f t="shared" si="921"/>
        <v/>
      </c>
      <c r="T472" s="178"/>
      <c r="U472" s="178"/>
      <c r="V472" s="179"/>
      <c r="W472" s="177" t="str">
        <f t="shared" si="922"/>
        <v/>
      </c>
      <c r="X472" s="178"/>
      <c r="Y472" s="178"/>
      <c r="Z472" s="179"/>
      <c r="AA472" s="177" t="str">
        <f t="shared" si="923"/>
        <v/>
      </c>
      <c r="AB472" s="178"/>
      <c r="AC472" s="178"/>
      <c r="AD472" s="179"/>
      <c r="AE472" s="180">
        <f t="shared" si="924"/>
        <v>0</v>
      </c>
      <c r="AF472" s="181">
        <f t="shared" si="886"/>
        <v>0</v>
      </c>
      <c r="AG472" s="182">
        <f t="shared" si="925"/>
        <v>0</v>
      </c>
      <c r="AH472" s="76">
        <f t="shared" si="926"/>
        <v>158.1740164</v>
      </c>
      <c r="AI472" s="181">
        <f> ( IF(ISNUMBER(G472), VLOOKUP(G472/$AH472,F!$A1:$B101,2,1)*G472*$H472*$I472,0)+IF(ISNUMBER(K472), VLOOKUP(K472/$AH472,F!$A1:$B101,2,1)*K472*$L472*$M472,0)+IF(ISNUMBER(O472), VLOOKUP(O472/$AH472,F!$A1:$B101,2,1)*O472*$P472*$Q472,0)+IF(ISNUMBER(S472), VLOOKUP(S472/$AH472,F!$A1:$B101,2,1)*S472*$T472*$U472,0)+IF(ISNUMBER(W472), VLOOKUP(W472/$AH472,F!$A1:$B101,2,1)*W472*$X472*$Y472,0)+IF(ISNUMBER(AA472), VLOOKUP(AA472/$AH472,F!$A1:$B101,2,1)*AA472*$AB472*$AC472,0))*IF(ISNUMBER(F472),F472,1)*IF(ISNUMBER(E472),E472,1)</f>
        <v>0</v>
      </c>
      <c r="AJ472" s="178">
        <f t="shared" si="927"/>
        <v>0</v>
      </c>
      <c r="AK472" s="183">
        <f t="array" ref="AK472">IFERROR(I472*INDEX(F!$P$21:$AB$33, MATCH(G472/$AH472, F!$O$21:$O$33,1), MATCH(E472, F!$P$20:$AB$20,1)), 0 ) +IFERROR( M472*INDEX(F!$P$21:$AB$33, MATCH(K472/$AH472, F!$O$21:$O$33,1), MATCH(E472, F!$P$20:$AB$20,1)),0) +  IFERROR( Q472*INDEX(F!$P$21:$AB$33, MATCH(O472/$AH472, F!$O$21:$O$33,1), MATCH(E472, F!$P$20:$AB$20,1)), 0) + IFERROR( U472*INDEX(F!$P$21:$AB$33, MATCH(S472/$AH472, F!$O$21:$O$33,1), MATCH(E472, F!$P$20:$AB$20,1)),0)  + IFERROR(Y472*INDEX(F!$P$21:$AB$33, MATCH(W472/$AH472, F!$O$21:$O$33,1), MATCH(E472, F!$P$20:$AB$20,1)),0)  + IFERROR( AC472*INDEX(F!$P$21:$AB$33, MATCH(AA472/$AH472, F!$O$21:$O$33,1), MATCH(E472, F!$P$20:$AB$20,1)),)</f>
        <v>0</v>
      </c>
      <c r="AL472" s="5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ht="15.75" hidden="1" customHeight="1">
      <c r="A473" s="59"/>
      <c r="B473" s="135" t="str">
        <f t="shared" ref="B473:F473" si="929">IF(B417="","",B417)</f>
        <v>Средняя</v>
      </c>
      <c r="C473" s="136" t="str">
        <f t="shared" si="929"/>
        <v>ЖМ</v>
      </c>
      <c r="D473" s="137" t="str">
        <f t="shared" si="929"/>
        <v>Жим на наклонной скамье</v>
      </c>
      <c r="E473" s="48">
        <f t="shared" si="929"/>
        <v>1</v>
      </c>
      <c r="F473" s="138" t="str">
        <f t="shared" si="929"/>
        <v/>
      </c>
      <c r="G473" s="139" t="str">
        <f t="shared" si="918"/>
        <v/>
      </c>
      <c r="H473" s="140"/>
      <c r="I473" s="140"/>
      <c r="J473" s="141"/>
      <c r="K473" s="139" t="str">
        <f t="shared" si="919"/>
        <v/>
      </c>
      <c r="L473" s="140"/>
      <c r="M473" s="140"/>
      <c r="N473" s="141"/>
      <c r="O473" s="139" t="str">
        <f t="shared" si="920"/>
        <v/>
      </c>
      <c r="P473" s="140"/>
      <c r="Q473" s="140"/>
      <c r="R473" s="141"/>
      <c r="S473" s="139" t="str">
        <f t="shared" si="921"/>
        <v/>
      </c>
      <c r="T473" s="140"/>
      <c r="U473" s="140"/>
      <c r="V473" s="141"/>
      <c r="W473" s="139" t="str">
        <f t="shared" si="922"/>
        <v/>
      </c>
      <c r="X473" s="140"/>
      <c r="Y473" s="140"/>
      <c r="Z473" s="141"/>
      <c r="AA473" s="139" t="str">
        <f t="shared" si="923"/>
        <v/>
      </c>
      <c r="AB473" s="140"/>
      <c r="AC473" s="140"/>
      <c r="AD473" s="141"/>
      <c r="AE473" s="142">
        <f t="shared" si="924"/>
        <v>0</v>
      </c>
      <c r="AF473" s="143">
        <f t="shared" si="886"/>
        <v>0</v>
      </c>
      <c r="AG473" s="144">
        <f t="shared" si="925"/>
        <v>0</v>
      </c>
      <c r="AH473" s="76">
        <f t="shared" si="926"/>
        <v>89.04611296</v>
      </c>
      <c r="AI473" s="143">
        <f> ( IF(ISNUMBER(G473), VLOOKUP(G473/$AH473,F!$A1:$B101,2,1)*G473*$H473*$I473,0)+IF(ISNUMBER(K473), VLOOKUP(K473/$AH473,F!$A1:$B101,2,1)*K473*$L473*$M473,0)+IF(ISNUMBER(O473), VLOOKUP(O473/$AH473,F!$A1:$B101,2,1)*O473*$P473*$Q473,0)+IF(ISNUMBER(S473), VLOOKUP(S473/$AH473,F!$A1:$B101,2,1)*S473*$T473*$U473,0)+IF(ISNUMBER(W473), VLOOKUP(W473/$AH473,F!$A1:$B101,2,1)*W473*$X473*$Y473,0)+IF(ISNUMBER(AA473), VLOOKUP(AA473/$AH473,F!$A1:$B101,2,1)*AA473*$AB473*$AC473,0))*IF(ISNUMBER(F473),F473,1)*IF(ISNUMBER(E473),E473,1)</f>
        <v>0</v>
      </c>
      <c r="AJ473" s="140">
        <f t="shared" si="927"/>
        <v>0</v>
      </c>
      <c r="AK473" s="145">
        <f t="array" ref="AK473">IFERROR(I473*INDEX(F!$P$21:$AB$33, MATCH(G473/$AH473, F!$O$21:$O$33,1), MATCH(E473, F!$P$20:$AB$20,1)), 0 ) +IFERROR( M473*INDEX(F!$P$21:$AB$33, MATCH(K473/$AH473, F!$O$21:$O$33,1), MATCH(E473, F!$P$20:$AB$20,1)),0) +  IFERROR( Q473*INDEX(F!$P$21:$AB$33, MATCH(O473/$AH473, F!$O$21:$O$33,1), MATCH(E473, F!$P$20:$AB$20,1)), 0) + IFERROR( U473*INDEX(F!$P$21:$AB$33, MATCH(S473/$AH473, F!$O$21:$O$33,1), MATCH(E473, F!$P$20:$AB$20,1)),0)  + IFERROR(Y473*INDEX(F!$P$21:$AB$33, MATCH(W473/$AH473, F!$O$21:$O$33,1), MATCH(E473, F!$P$20:$AB$20,1)),0)  + IFERROR( AC473*INDEX(F!$P$21:$AB$33, MATCH(AA473/$AH473, F!$O$21:$O$33,1), MATCH(E473, F!$P$20:$AB$20,1)),)</f>
        <v>0</v>
      </c>
      <c r="AL473" s="5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ht="15.75" hidden="1" customHeight="1">
      <c r="A474" s="59"/>
      <c r="B474" s="173" t="str">
        <f t="shared" ref="B474:F474" si="930">IF(B418="","",B418)</f>
        <v>Средняя</v>
      </c>
      <c r="C474" s="174" t="str">
        <f t="shared" si="930"/>
        <v>ОФП</v>
      </c>
      <c r="D474" s="175" t="str">
        <f t="shared" si="930"/>
        <v>Бицепс стоя</v>
      </c>
      <c r="E474" s="48">
        <f t="shared" si="930"/>
        <v>0.5</v>
      </c>
      <c r="F474" s="176" t="str">
        <f t="shared" si="930"/>
        <v/>
      </c>
      <c r="G474" s="177" t="str">
        <f t="shared" si="918"/>
        <v/>
      </c>
      <c r="H474" s="178"/>
      <c r="I474" s="178"/>
      <c r="J474" s="179"/>
      <c r="K474" s="177" t="str">
        <f t="shared" si="919"/>
        <v/>
      </c>
      <c r="L474" s="178"/>
      <c r="M474" s="178"/>
      <c r="N474" s="179"/>
      <c r="O474" s="177" t="str">
        <f t="shared" si="920"/>
        <v/>
      </c>
      <c r="P474" s="178"/>
      <c r="Q474" s="178"/>
      <c r="R474" s="179"/>
      <c r="S474" s="177" t="str">
        <f t="shared" si="921"/>
        <v/>
      </c>
      <c r="T474" s="178"/>
      <c r="U474" s="178"/>
      <c r="V474" s="179"/>
      <c r="W474" s="177" t="str">
        <f t="shared" si="922"/>
        <v/>
      </c>
      <c r="X474" s="178"/>
      <c r="Y474" s="178"/>
      <c r="Z474" s="179"/>
      <c r="AA474" s="177" t="str">
        <f t="shared" si="923"/>
        <v/>
      </c>
      <c r="AB474" s="178"/>
      <c r="AC474" s="178"/>
      <c r="AD474" s="179"/>
      <c r="AE474" s="180">
        <f t="shared" si="924"/>
        <v>0</v>
      </c>
      <c r="AF474" s="181">
        <f t="shared" si="886"/>
        <v>0</v>
      </c>
      <c r="AG474" s="182">
        <f t="shared" si="925"/>
        <v>0</v>
      </c>
      <c r="AH474" s="76" t="str">
        <f t="shared" si="926"/>
        <v/>
      </c>
      <c r="AI474" s="181">
        <f> ( IF(ISNUMBER(G474), VLOOKUP(G474/$AH474,F!$A1:$B101,2,1)*G474*$H474*$I474,0)+IF(ISNUMBER(K474), VLOOKUP(K474/$AH474,F!$A1:$B101,2,1)*K474*$L474*$M474,0)+IF(ISNUMBER(O474), VLOOKUP(O474/$AH474,F!$A1:$B101,2,1)*O474*$P474*$Q474,0)+IF(ISNUMBER(S474), VLOOKUP(S474/$AH474,F!$A1:$B101,2,1)*S474*$T474*$U474,0)+IF(ISNUMBER(W474), VLOOKUP(W474/$AH474,F!$A1:$B101,2,1)*W474*$X474*$Y474,0)+IF(ISNUMBER(AA474), VLOOKUP(AA474/$AH474,F!$A1:$B101,2,1)*AA474*$AB474*$AC474,0))*IF(ISNUMBER(F474),F474,1)*IF(ISNUMBER(E474),E474,1)</f>
        <v>0</v>
      </c>
      <c r="AJ474" s="178">
        <f t="shared" si="927"/>
        <v>0</v>
      </c>
      <c r="AK474" s="183">
        <f t="array" ref="AK474">IFERROR(I474*INDEX(F!$P$21:$AB$33, MATCH(G474/$AH474, F!$O$21:$O$33,1), MATCH(E474, F!$P$20:$AB$20,1)), 0 ) +IFERROR( M474*INDEX(F!$P$21:$AB$33, MATCH(K474/$AH474, F!$O$21:$O$33,1), MATCH(E474, F!$P$20:$AB$20,1)),0) +  IFERROR( Q474*INDEX(F!$P$21:$AB$33, MATCH(O474/$AH474, F!$O$21:$O$33,1), MATCH(E474, F!$P$20:$AB$20,1)), 0) + IFERROR( U474*INDEX(F!$P$21:$AB$33, MATCH(S474/$AH474, F!$O$21:$O$33,1), MATCH(E474, F!$P$20:$AB$20,1)),0)  + IFERROR(Y474*INDEX(F!$P$21:$AB$33, MATCH(W474/$AH474, F!$O$21:$O$33,1), MATCH(E474, F!$P$20:$AB$20,1)),0)  + IFERROR( AC474*INDEX(F!$P$21:$AB$33, MATCH(AA474/$AH474, F!$O$21:$O$33,1), MATCH(E474, F!$P$20:$AB$20,1)),)</f>
        <v>0</v>
      </c>
      <c r="AL474" s="5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ht="15.75" hidden="1" customHeight="1">
      <c r="A475" s="59"/>
      <c r="B475" s="135" t="str">
        <f t="shared" ref="B475:F475" si="931">IF(B419="","",B419)</f>
        <v/>
      </c>
      <c r="C475" s="136" t="str">
        <f t="shared" si="931"/>
        <v/>
      </c>
      <c r="D475" s="137" t="str">
        <f t="shared" si="931"/>
        <v/>
      </c>
      <c r="E475" s="48" t="str">
        <f t="shared" si="931"/>
        <v/>
      </c>
      <c r="F475" s="138" t="str">
        <f t="shared" si="931"/>
        <v/>
      </c>
      <c r="G475" s="139" t="str">
        <f t="shared" si="918"/>
        <v/>
      </c>
      <c r="H475" s="140"/>
      <c r="I475" s="140"/>
      <c r="J475" s="141"/>
      <c r="K475" s="139" t="str">
        <f t="shared" si="919"/>
        <v/>
      </c>
      <c r="L475" s="140"/>
      <c r="M475" s="140"/>
      <c r="N475" s="141"/>
      <c r="O475" s="139" t="str">
        <f t="shared" si="920"/>
        <v/>
      </c>
      <c r="P475" s="140"/>
      <c r="Q475" s="140"/>
      <c r="R475" s="141"/>
      <c r="S475" s="139" t="str">
        <f t="shared" si="921"/>
        <v/>
      </c>
      <c r="T475" s="140"/>
      <c r="U475" s="140"/>
      <c r="V475" s="141"/>
      <c r="W475" s="139" t="str">
        <f t="shared" si="922"/>
        <v/>
      </c>
      <c r="X475" s="140"/>
      <c r="Y475" s="140"/>
      <c r="Z475" s="141"/>
      <c r="AA475" s="139" t="str">
        <f t="shared" si="923"/>
        <v/>
      </c>
      <c r="AB475" s="140"/>
      <c r="AC475" s="140"/>
      <c r="AD475" s="141"/>
      <c r="AE475" s="142">
        <f t="shared" si="924"/>
        <v>0</v>
      </c>
      <c r="AF475" s="143">
        <f t="shared" si="886"/>
        <v>0</v>
      </c>
      <c r="AG475" s="144">
        <f t="shared" si="925"/>
        <v>0</v>
      </c>
      <c r="AH475" s="76" t="str">
        <f t="shared" si="926"/>
        <v/>
      </c>
      <c r="AI475" s="143">
        <f> ( IF(ISNUMBER(G475), VLOOKUP(G475/$AH475,F!$A1:$B101,2,1)*G475*$H475*$I475,0)+IF(ISNUMBER(K475), VLOOKUP(K475/$AH475,F!$A1:$B101,2,1)*K475*$L475*$M475,0)+IF(ISNUMBER(O475), VLOOKUP(O475/$AH475,F!$A1:$B101,2,1)*O475*$P475*$Q475,0)+IF(ISNUMBER(S475), VLOOKUP(S475/$AH475,F!$A1:$B101,2,1)*S475*$T475*$U475,0)+IF(ISNUMBER(W475), VLOOKUP(W475/$AH475,F!$A1:$B101,2,1)*W475*$X475*$Y475,0)+IF(ISNUMBER(AA475), VLOOKUP(AA475/$AH475,F!$A1:$B101,2,1)*AA475*$AB475*$AC475,0))*IF(ISNUMBER(F475),F475,1)*IF(ISNUMBER(E475),E475,1)</f>
        <v>0</v>
      </c>
      <c r="AJ475" s="140">
        <f t="shared" si="927"/>
        <v>0</v>
      </c>
      <c r="AK475" s="145">
        <f t="array" ref="AK475">IFERROR(I475*INDEX(F!$P$21:$AB$33, MATCH(G475/$AH475, F!$O$21:$O$33,1), MATCH(E475, F!$P$20:$AB$20,1)), 0 ) +IFERROR( M475*INDEX(F!$P$21:$AB$33, MATCH(K475/$AH475, F!$O$21:$O$33,1), MATCH(E475, F!$P$20:$AB$20,1)),0) +  IFERROR( Q475*INDEX(F!$P$21:$AB$33, MATCH(O475/$AH475, F!$O$21:$O$33,1), MATCH(E475, F!$P$20:$AB$20,1)), 0) + IFERROR( U475*INDEX(F!$P$21:$AB$33, MATCH(S475/$AH475, F!$O$21:$O$33,1), MATCH(E475, F!$P$20:$AB$20,1)),0)  + IFERROR(Y475*INDEX(F!$P$21:$AB$33, MATCH(W475/$AH475, F!$O$21:$O$33,1), MATCH(E475, F!$P$20:$AB$20,1)),0)  + IFERROR( AC475*INDEX(F!$P$21:$AB$33, MATCH(AA475/$AH475, F!$O$21:$O$33,1), MATCH(E475, F!$P$20:$AB$20,1)),)</f>
        <v>0</v>
      </c>
      <c r="AL475" s="5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ht="15.75" hidden="1" customHeight="1">
      <c r="A476" s="59"/>
      <c r="B476" s="173" t="str">
        <f t="shared" ref="B476:F476" si="932">IF(B420="","",B420)</f>
        <v/>
      </c>
      <c r="C476" s="174" t="str">
        <f t="shared" si="932"/>
        <v/>
      </c>
      <c r="D476" s="175" t="str">
        <f t="shared" si="932"/>
        <v/>
      </c>
      <c r="E476" s="48" t="str">
        <f t="shared" si="932"/>
        <v/>
      </c>
      <c r="F476" s="176" t="str">
        <f t="shared" si="932"/>
        <v/>
      </c>
      <c r="G476" s="177" t="str">
        <f t="shared" si="918"/>
        <v/>
      </c>
      <c r="H476" s="178"/>
      <c r="I476" s="178"/>
      <c r="J476" s="179"/>
      <c r="K476" s="177" t="str">
        <f t="shared" si="919"/>
        <v/>
      </c>
      <c r="L476" s="178"/>
      <c r="M476" s="178"/>
      <c r="N476" s="179"/>
      <c r="O476" s="177" t="str">
        <f t="shared" si="920"/>
        <v/>
      </c>
      <c r="P476" s="178"/>
      <c r="Q476" s="178"/>
      <c r="R476" s="179"/>
      <c r="S476" s="177" t="str">
        <f t="shared" si="921"/>
        <v/>
      </c>
      <c r="T476" s="178"/>
      <c r="U476" s="178"/>
      <c r="V476" s="179"/>
      <c r="W476" s="177" t="str">
        <f t="shared" si="922"/>
        <v/>
      </c>
      <c r="X476" s="178"/>
      <c r="Y476" s="178"/>
      <c r="Z476" s="179"/>
      <c r="AA476" s="177" t="str">
        <f t="shared" si="923"/>
        <v/>
      </c>
      <c r="AB476" s="178"/>
      <c r="AC476" s="178"/>
      <c r="AD476" s="179"/>
      <c r="AE476" s="180">
        <f t="shared" si="924"/>
        <v>0</v>
      </c>
      <c r="AF476" s="181">
        <f t="shared" si="886"/>
        <v>0</v>
      </c>
      <c r="AG476" s="182">
        <f t="shared" si="925"/>
        <v>0</v>
      </c>
      <c r="AH476" s="76" t="str">
        <f t="shared" si="926"/>
        <v/>
      </c>
      <c r="AI476" s="181">
        <f> ( IF(ISNUMBER(G476), VLOOKUP(G476/$AH476,F!$A1:$B101,2,1)*G476*$H476*$I476,0)+IF(ISNUMBER(K476), VLOOKUP(K476/$AH476,F!$A1:$B101,2,1)*K476*$L476*$M476,0)+IF(ISNUMBER(O476), VLOOKUP(O476/$AH476,F!$A1:$B101,2,1)*O476*$P476*$Q476,0)+IF(ISNUMBER(S476), VLOOKUP(S476/$AH476,F!$A1:$B101,2,1)*S476*$T476*$U476,0)+IF(ISNUMBER(W476), VLOOKUP(W476/$AH476,F!$A1:$B101,2,1)*W476*$X476*$Y476,0)+IF(ISNUMBER(AA476), VLOOKUP(AA476/$AH476,F!$A1:$B101,2,1)*AA476*$AB476*$AC476,0))*IF(ISNUMBER(F476),F476,1)*IF(ISNUMBER(E476),E476,1)</f>
        <v>0</v>
      </c>
      <c r="AJ476" s="178">
        <f t="shared" si="927"/>
        <v>0</v>
      </c>
      <c r="AK476" s="183">
        <f t="array" ref="AK476">IFERROR(I476*INDEX(F!$P$21:$AB$33, MATCH(G476/$AH476, F!$O$21:$O$33,1), MATCH(E476, F!$P$20:$AB$20,1)), 0 ) +IFERROR( M476*INDEX(F!$P$21:$AB$33, MATCH(K476/$AH476, F!$O$21:$O$33,1), MATCH(E476, F!$P$20:$AB$20,1)),0) +  IFERROR( Q476*INDEX(F!$P$21:$AB$33, MATCH(O476/$AH476, F!$O$21:$O$33,1), MATCH(E476, F!$P$20:$AB$20,1)), 0) + IFERROR( U476*INDEX(F!$P$21:$AB$33, MATCH(S476/$AH476, F!$O$21:$O$33,1), MATCH(E476, F!$P$20:$AB$20,1)),0)  + IFERROR(Y476*INDEX(F!$P$21:$AB$33, MATCH(W476/$AH476, F!$O$21:$O$33,1), MATCH(E476, F!$P$20:$AB$20,1)),0)  + IFERROR( AC476*INDEX(F!$P$21:$AB$33, MATCH(AA476/$AH476, F!$O$21:$O$33,1), MATCH(E476, F!$P$20:$AB$20,1)),)</f>
        <v>0</v>
      </c>
      <c r="AL476" s="5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ht="15.75" hidden="1" customHeight="1">
      <c r="A477" s="59"/>
      <c r="B477" s="135" t="str">
        <f t="shared" ref="B477:F477" si="933">IF(B421="","",B421)</f>
        <v/>
      </c>
      <c r="C477" s="136" t="str">
        <f t="shared" si="933"/>
        <v/>
      </c>
      <c r="D477" s="137" t="str">
        <f t="shared" si="933"/>
        <v/>
      </c>
      <c r="E477" s="48" t="str">
        <f t="shared" si="933"/>
        <v/>
      </c>
      <c r="F477" s="138" t="str">
        <f t="shared" si="933"/>
        <v/>
      </c>
      <c r="G477" s="139" t="str">
        <f t="shared" si="918"/>
        <v/>
      </c>
      <c r="H477" s="140"/>
      <c r="I477" s="140"/>
      <c r="J477" s="141"/>
      <c r="K477" s="139" t="str">
        <f t="shared" si="919"/>
        <v/>
      </c>
      <c r="L477" s="140"/>
      <c r="M477" s="140"/>
      <c r="N477" s="141"/>
      <c r="O477" s="139" t="str">
        <f t="shared" si="920"/>
        <v/>
      </c>
      <c r="P477" s="140"/>
      <c r="Q477" s="140"/>
      <c r="R477" s="141"/>
      <c r="S477" s="139" t="str">
        <f t="shared" si="921"/>
        <v/>
      </c>
      <c r="T477" s="140"/>
      <c r="U477" s="140"/>
      <c r="V477" s="141"/>
      <c r="W477" s="139" t="str">
        <f t="shared" si="922"/>
        <v/>
      </c>
      <c r="X477" s="140"/>
      <c r="Y477" s="140"/>
      <c r="Z477" s="141"/>
      <c r="AA477" s="139" t="str">
        <f t="shared" si="923"/>
        <v/>
      </c>
      <c r="AB477" s="140"/>
      <c r="AC477" s="140"/>
      <c r="AD477" s="141"/>
      <c r="AE477" s="142">
        <f t="shared" si="924"/>
        <v>0</v>
      </c>
      <c r="AF477" s="143">
        <f t="shared" si="886"/>
        <v>0</v>
      </c>
      <c r="AG477" s="144">
        <f t="shared" si="925"/>
        <v>0</v>
      </c>
      <c r="AH477" s="76" t="str">
        <f t="shared" si="926"/>
        <v/>
      </c>
      <c r="AI477" s="143">
        <f> ( IF(ISNUMBER(G477), VLOOKUP(G477/$AH477,F!$A1:$B101,2,1)*G477*$H477*$I477,0)+IF(ISNUMBER(K477), VLOOKUP(K477/$AH477,F!$A1:$B101,2,1)*K477*$L477*$M477,0)+IF(ISNUMBER(O477), VLOOKUP(O477/$AH477,F!$A1:$B101,2,1)*O477*$P477*$Q477,0)+IF(ISNUMBER(S477), VLOOKUP(S477/$AH477,F!$A1:$B101,2,1)*S477*$T477*$U477,0)+IF(ISNUMBER(W477), VLOOKUP(W477/$AH477,F!$A1:$B101,2,1)*W477*$X477*$Y477,0)+IF(ISNUMBER(AA477), VLOOKUP(AA477/$AH477,F!$A1:$B101,2,1)*AA477*$AB477*$AC477,0))*IF(ISNUMBER(F477),F477,1)*IF(ISNUMBER(E477),E477,1)</f>
        <v>0</v>
      </c>
      <c r="AJ477" s="140">
        <f t="shared" si="927"/>
        <v>0</v>
      </c>
      <c r="AK477" s="145">
        <f t="array" ref="AK477">IFERROR(I477*INDEX(F!$P$21:$AB$33, MATCH(G477/$AH477, F!$O$21:$O$33,1), MATCH(E477, F!$P$20:$AB$20,1)), 0 ) +IFERROR( M477*INDEX(F!$P$21:$AB$33, MATCH(K477/$AH477, F!$O$21:$O$33,1), MATCH(E477, F!$P$20:$AB$20,1)),0) +  IFERROR( Q477*INDEX(F!$P$21:$AB$33, MATCH(O477/$AH477, F!$O$21:$O$33,1), MATCH(E477, F!$P$20:$AB$20,1)), 0) + IFERROR( U477*INDEX(F!$P$21:$AB$33, MATCH(S477/$AH477, F!$O$21:$O$33,1), MATCH(E477, F!$P$20:$AB$20,1)),0)  + IFERROR(Y477*INDEX(F!$P$21:$AB$33, MATCH(W477/$AH477, F!$O$21:$O$33,1), MATCH(E477, F!$P$20:$AB$20,1)),0)  + IFERROR( AC477*INDEX(F!$P$21:$AB$33, MATCH(AA477/$AH477, F!$O$21:$O$33,1), MATCH(E477, F!$P$20:$AB$20,1)),)</f>
        <v>0</v>
      </c>
      <c r="AL477" s="5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ht="15.75" hidden="1" customHeight="1">
      <c r="A478" s="98"/>
      <c r="B478" s="188"/>
      <c r="C478" s="189"/>
      <c r="D478" s="190"/>
      <c r="E478" s="102">
        <f>ROUND(IFERROR(SUMPRODUCT(AJ470:AJ477,E470:E477)/AJ478,0),3)</f>
        <v>0</v>
      </c>
      <c r="F478" s="191"/>
      <c r="G478" s="192"/>
      <c r="H478" s="193"/>
      <c r="I478" s="193"/>
      <c r="J478" s="194"/>
      <c r="K478" s="192"/>
      <c r="L478" s="193"/>
      <c r="M478" s="193"/>
      <c r="N478" s="194"/>
      <c r="O478" s="192"/>
      <c r="P478" s="193"/>
      <c r="Q478" s="193"/>
      <c r="R478" s="194"/>
      <c r="S478" s="192"/>
      <c r="T478" s="193"/>
      <c r="U478" s="193"/>
      <c r="V478" s="194"/>
      <c r="W478" s="192"/>
      <c r="X478" s="193"/>
      <c r="Y478" s="193"/>
      <c r="Z478" s="194"/>
      <c r="AA478" s="192"/>
      <c r="AB478" s="193"/>
      <c r="AC478" s="193"/>
      <c r="AD478" s="194"/>
      <c r="AE478" s="107">
        <f>SUM(AE470:AE477)</f>
        <v>0</v>
      </c>
      <c r="AF478" s="108">
        <f t="shared" si="886"/>
        <v>0</v>
      </c>
      <c r="AG478" s="109">
        <f>IFERROR(  SUMPRODUCT(AG470:AG477,AJ470:AJ477)/AJ478,0)</f>
        <v>0</v>
      </c>
      <c r="AH478" s="157"/>
      <c r="AI478" s="111">
        <f t="shared" ref="AI478:AJ478" si="934">SUM(AI470:AI477)</f>
        <v>0</v>
      </c>
      <c r="AJ478" s="111">
        <f t="shared" si="934"/>
        <v>0</v>
      </c>
      <c r="AK478" s="112">
        <f>IF(SUM(AK470:AK477)=0,TIME(,0,),TIME(,SUM(AK470:AK477)+F!$V$37,))</f>
        <v>0</v>
      </c>
      <c r="AL478" s="98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ht="15.75" hidden="1" customHeight="1">
      <c r="A479" s="25">
        <f>A480</f>
        <v>43841</v>
      </c>
      <c r="B479" s="26" t="str">
        <f t="shared" ref="B479:F479" si="935">IF(B423="","",B423)</f>
        <v/>
      </c>
      <c r="C479" s="27" t="str">
        <f t="shared" si="935"/>
        <v/>
      </c>
      <c r="D479" s="28" t="str">
        <f t="shared" si="935"/>
        <v/>
      </c>
      <c r="E479" s="29" t="str">
        <f t="shared" si="935"/>
        <v/>
      </c>
      <c r="F479" s="30" t="str">
        <f t="shared" si="935"/>
        <v/>
      </c>
      <c r="G479" s="31" t="str">
        <f t="shared" ref="G479:G486" si="937">IF(J479&lt;&gt;0, IFERROR(IF( $F479=2,  MROUND($AH479*J479,1),    IF( OR($F479="",$F479=1),   MROUND($AH479*J479,2.5),  MROUND($AH479*J479, 0.1))), "" ), "")</f>
        <v/>
      </c>
      <c r="H479" s="32"/>
      <c r="I479" s="32"/>
      <c r="J479" s="33"/>
      <c r="K479" s="31" t="str">
        <f t="shared" ref="K479:K486" si="938">IF(N479&lt;&gt;0, IFERROR(IF( $F479=2,  MROUND($AH479*N479,1),    IF( OR($F479="",$F479=1),   MROUND($AH479*N479,2.5),  MROUND($AH479*N479, 0.1))), "" ), "")</f>
        <v/>
      </c>
      <c r="L479" s="32"/>
      <c r="M479" s="32"/>
      <c r="N479" s="33"/>
      <c r="O479" s="31" t="str">
        <f t="shared" ref="O479:O486" si="939">IF(R479&lt;&gt;0, IFERROR(IF( $F479=2,  MROUND($AH479*R479,1),    IF( OR($F479="",$F479=1),   MROUND($AH479*R479,2.5),  MROUND($AH479*R479, 0.1))), "" ), "")</f>
        <v/>
      </c>
      <c r="P479" s="32"/>
      <c r="Q479" s="32"/>
      <c r="R479" s="33"/>
      <c r="S479" s="31" t="str">
        <f t="shared" ref="S479:S486" si="940">IF(V479&lt;&gt;0, IFERROR(IF( $F479=2,  MROUND($AH479*V479,1),    IF( OR($F479="",$F479=1),   MROUND($AH479*V479,2.5),  MROUND($AH479*V479, 0.1))), "" ), "")</f>
        <v/>
      </c>
      <c r="T479" s="32"/>
      <c r="U479" s="32"/>
      <c r="V479" s="33"/>
      <c r="W479" s="31" t="str">
        <f t="shared" ref="W479:W486" si="941">IF(Z479&lt;&gt;0, IFERROR(IF( $F479=2,  MROUND($AH479*Z479,1),    IF( OR($F479="",$F479=1),   MROUND($AH479*Z479,2.5),  MROUND($AH479*Z479, 0.1))), "" ), "")</f>
        <v/>
      </c>
      <c r="X479" s="32"/>
      <c r="Y479" s="32"/>
      <c r="Z479" s="33"/>
      <c r="AA479" s="31" t="str">
        <f t="shared" ref="AA479:AA486" si="942">IF(AD479&lt;&gt;0, IFERROR(IF( $F479=2,  MROUND($AH479*AD479,1),    IF( OR($F479="",$F479=1),   MROUND($AH479*AD479,2.5),  MROUND($AH479*AD479, 0.1))), "" ), "")</f>
        <v/>
      </c>
      <c r="AB479" s="32"/>
      <c r="AC479" s="32"/>
      <c r="AD479" s="33"/>
      <c r="AE479" s="35">
        <f t="shared" ref="AE479:AE486" si="943">(IF(ISNUMBER(G479),G479,0)*H479*I479+IF(ISNUMBER(K479),K479,1)*L479*M479+IF(ISNUMBER(O479),O479,1)*P479*Q479+IF(ISNUMBER(S479),S479,1)*T479*U479+IF(ISNUMBER(W479),W479,1)*X479*Y479+IF(ISNUMBER(AA479),AA479,1)*AB479*AC479)*IF(ISNUMBER(F479),F479,1)</f>
        <v>0</v>
      </c>
      <c r="AF479" s="36">
        <f t="shared" si="886"/>
        <v>0</v>
      </c>
      <c r="AG479" s="195">
        <f t="shared" ref="AG479:AG486" si="944">IFERROR((AF479/(AH479*IF(ISNUMBER(F479),F479,1))),0)</f>
        <v>0</v>
      </c>
      <c r="AH479" s="169" t="str">
        <f t="shared" ref="AH479:AH486" si="945">IF(ISNUMBER(AH423), AH423+(AH423*$AH$450),"")</f>
        <v/>
      </c>
      <c r="AI479" s="196">
        <f> ( IF(ISNUMBER(G479), VLOOKUP(G479/$AH479,F!$A1:$B101,2,1)*G479*$H479*$I479,0)+IF(ISNUMBER(K479), VLOOKUP(K479/$AH479,F!$A1:$B101,2,1)*K479*$L479*$M479,0)+IF(ISNUMBER(O479), VLOOKUP(O479/$AH479,F!$A1:$B101,2,1)*O479*$P479*$Q479,0)+IF(ISNUMBER(S479), VLOOKUP(S479/$AH479,F!$A1:$B101,2,1)*S479*$T479*$U479,0)+IF(ISNUMBER(W479), VLOOKUP(W479/$AH479,F!$A1:$B101,2,1)*W479*$X479*$Y479,0)+IF(ISNUMBER(AA479), VLOOKUP(AA479/$AH479,F!$A1:$B101,2,1)*AA479*$AB479*$AC479,0))*IF(ISNUMBER(F479),F479,1)*IF(ISNUMBER(E479),E479,1)</f>
        <v>0</v>
      </c>
      <c r="AJ479" s="40">
        <f t="shared" ref="AJ479:AJ486" si="946">H479*I479+L479*M479+P479*Q479+T479*U479+X479*Y479+AB479*AC479</f>
        <v>0</v>
      </c>
      <c r="AK479" s="41">
        <f t="array" ref="AK479">IFERROR(I479*INDEX(F!$P$21:$AB$33, MATCH(G479/$AH479, F!$O$21:$O$33,1), MATCH(E479, F!$P$20:$AB$20,1)), 0 ) +IFERROR( M479*INDEX(F!$P$21:$AB$33, MATCH(K479/$AH479, F!$O$21:$O$33,1), MATCH(E479, F!$P$20:$AB$20,1)),0) +  IFERROR( Q479*INDEX(F!$P$21:$AB$33, MATCH(O479/$AH479, F!$O$21:$O$33,1), MATCH(E479, F!$P$20:$AB$20,1)), 0) + IFERROR( U479*INDEX(F!$P$21:$AB$33, MATCH(S479/$AH479, F!$O$21:$O$33,1), MATCH(E479, F!$P$20:$AB$20,1)),0)  + IFERROR(Y479*INDEX(F!$P$21:$AB$33, MATCH(W479/$AH479, F!$O$21:$O$33,1), MATCH(E479, F!$P$20:$AB$20,1)),0)  + IFERROR( AC479*INDEX(F!$P$21:$AB$33, MATCH(AA479/$AH479, F!$O$21:$O$33,1), MATCH(E479, F!$P$20:$AB$20,1)),)</f>
        <v>0</v>
      </c>
      <c r="AL479" s="42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ht="15.75" hidden="1" customHeight="1">
      <c r="A480" s="44">
        <f>A424+A394</f>
        <v>43841</v>
      </c>
      <c r="B480" s="45" t="str">
        <f t="shared" ref="B480:F480" si="936">IF(B424="","",B424)</f>
        <v/>
      </c>
      <c r="C480" s="46" t="str">
        <f t="shared" si="936"/>
        <v/>
      </c>
      <c r="D480" s="47" t="str">
        <f t="shared" si="936"/>
        <v/>
      </c>
      <c r="E480" s="48" t="str">
        <f t="shared" si="936"/>
        <v/>
      </c>
      <c r="F480" s="49" t="str">
        <f t="shared" si="936"/>
        <v/>
      </c>
      <c r="G480" s="50" t="str">
        <f t="shared" si="937"/>
        <v/>
      </c>
      <c r="H480" s="51"/>
      <c r="I480" s="51"/>
      <c r="J480" s="52"/>
      <c r="K480" s="50" t="str">
        <f t="shared" si="938"/>
        <v/>
      </c>
      <c r="L480" s="51"/>
      <c r="M480" s="51"/>
      <c r="N480" s="52"/>
      <c r="O480" s="50" t="str">
        <f t="shared" si="939"/>
        <v/>
      </c>
      <c r="P480" s="51"/>
      <c r="Q480" s="51"/>
      <c r="R480" s="52"/>
      <c r="S480" s="50" t="str">
        <f t="shared" si="940"/>
        <v/>
      </c>
      <c r="T480" s="51"/>
      <c r="U480" s="51"/>
      <c r="V480" s="52"/>
      <c r="W480" s="50" t="str">
        <f t="shared" si="941"/>
        <v/>
      </c>
      <c r="X480" s="51"/>
      <c r="Y480" s="51"/>
      <c r="Z480" s="52"/>
      <c r="AA480" s="50" t="str">
        <f t="shared" si="942"/>
        <v/>
      </c>
      <c r="AB480" s="51"/>
      <c r="AC480" s="51"/>
      <c r="AD480" s="52"/>
      <c r="AE480" s="53">
        <f t="shared" si="943"/>
        <v>0</v>
      </c>
      <c r="AF480" s="54">
        <f t="shared" si="886"/>
        <v>0</v>
      </c>
      <c r="AG480" s="75">
        <f t="shared" si="944"/>
        <v>0</v>
      </c>
      <c r="AH480" s="76" t="str">
        <f t="shared" si="945"/>
        <v/>
      </c>
      <c r="AI480" s="77">
        <f> ( IF(ISNUMBER(G480), VLOOKUP(G480/$AH480,F!$A1:$B101,2,1)*G480*$H480*$I480,0)+IF(ISNUMBER(K480), VLOOKUP(K480/$AH480,F!$A1:$B101,2,1)*K480*$L480*$M480,0)+IF(ISNUMBER(O480), VLOOKUP(O480/$AH480,F!$A1:$B101,2,1)*O480*$P480*$Q480,0)+IF(ISNUMBER(S480), VLOOKUP(S480/$AH480,F!$A1:$B101,2,1)*S480*$T480*$U480,0)+IF(ISNUMBER(W480), VLOOKUP(W480/$AH480,F!$A1:$B101,2,1)*W480*$X480*$Y480,0)+IF(ISNUMBER(AA480), VLOOKUP(AA480/$AH480,F!$A1:$B101,2,1)*AA480*$AB480*$AC480,0))*IF(ISNUMBER(F480),F480,1)*IF(ISNUMBER(E480),E480,1)</f>
        <v>0</v>
      </c>
      <c r="AJ480" s="57">
        <f t="shared" si="946"/>
        <v>0</v>
      </c>
      <c r="AK480" s="58">
        <f t="array" ref="AK480">IFERROR(I480*INDEX(F!$P$21:$AB$33, MATCH(G480/$AH480, F!$O$21:$O$33,1), MATCH(E480, F!$P$20:$AB$20,1)), 0 ) +IFERROR( M480*INDEX(F!$P$21:$AB$33, MATCH(K480/$AH480, F!$O$21:$O$33,1), MATCH(E480, F!$P$20:$AB$20,1)),0) +  IFERROR( Q480*INDEX(F!$P$21:$AB$33, MATCH(O480/$AH480, F!$O$21:$O$33,1), MATCH(E480, F!$P$20:$AB$20,1)), 0) + IFERROR( U480*INDEX(F!$P$21:$AB$33, MATCH(S480/$AH480, F!$O$21:$O$33,1), MATCH(E480, F!$P$20:$AB$20,1)),0)  + IFERROR(Y480*INDEX(F!$P$21:$AB$33, MATCH(W480/$AH480, F!$O$21:$O$33,1), MATCH(E480, F!$P$20:$AB$20,1)),0)  + IFERROR( AC480*INDEX(F!$P$21:$AB$33, MATCH(AA480/$AH480, F!$O$21:$O$33,1), MATCH(E480, F!$P$20:$AB$20,1)),)</f>
        <v>0</v>
      </c>
      <c r="AL480" s="5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ht="15.75" hidden="1" customHeight="1">
      <c r="A481" s="59"/>
      <c r="B481" s="60" t="str">
        <f t="shared" ref="B481:F481" si="947">IF(B425="","",B425)</f>
        <v/>
      </c>
      <c r="C481" s="61" t="str">
        <f t="shared" si="947"/>
        <v/>
      </c>
      <c r="D481" s="62" t="str">
        <f t="shared" si="947"/>
        <v/>
      </c>
      <c r="E481" s="48" t="str">
        <f t="shared" si="947"/>
        <v/>
      </c>
      <c r="F481" s="63" t="str">
        <f t="shared" si="947"/>
        <v/>
      </c>
      <c r="G481" s="64" t="str">
        <f t="shared" si="937"/>
        <v/>
      </c>
      <c r="H481" s="34"/>
      <c r="I481" s="34"/>
      <c r="J481" s="65"/>
      <c r="K481" s="64" t="str">
        <f t="shared" si="938"/>
        <v/>
      </c>
      <c r="L481" s="34"/>
      <c r="M481" s="34"/>
      <c r="N481" s="65"/>
      <c r="O481" s="64" t="str">
        <f t="shared" si="939"/>
        <v/>
      </c>
      <c r="P481" s="34"/>
      <c r="Q481" s="34"/>
      <c r="R481" s="65"/>
      <c r="S481" s="64" t="str">
        <f t="shared" si="940"/>
        <v/>
      </c>
      <c r="T481" s="34"/>
      <c r="U481" s="34"/>
      <c r="V481" s="65"/>
      <c r="W481" s="64" t="str">
        <f t="shared" si="941"/>
        <v/>
      </c>
      <c r="X481" s="34"/>
      <c r="Y481" s="34"/>
      <c r="Z481" s="65"/>
      <c r="AA481" s="64" t="str">
        <f t="shared" si="942"/>
        <v/>
      </c>
      <c r="AB481" s="34"/>
      <c r="AC481" s="34"/>
      <c r="AD481" s="65"/>
      <c r="AE481" s="66">
        <f t="shared" si="943"/>
        <v>0</v>
      </c>
      <c r="AF481" s="67">
        <f t="shared" si="886"/>
        <v>0</v>
      </c>
      <c r="AG481" s="68">
        <f t="shared" si="944"/>
        <v>0</v>
      </c>
      <c r="AH481" s="76" t="str">
        <f t="shared" si="945"/>
        <v/>
      </c>
      <c r="AI481" s="70">
        <f> ( IF(ISNUMBER(G481), VLOOKUP(G481/$AH481,F!$A1:$B101,2,1)*G481*$H481*$I481,0)+IF(ISNUMBER(K481), VLOOKUP(K481/$AH481,F!$A1:$B101,2,1)*K481*$L481*$M481,0)+IF(ISNUMBER(O481), VLOOKUP(O481/$AH481,F!$A1:$B101,2,1)*O481*$P481*$Q481,0)+IF(ISNUMBER(S481), VLOOKUP(S481/$AH481,F!$A1:$B101,2,1)*S481*$T481*$U481,0)+IF(ISNUMBER(W481), VLOOKUP(W481/$AH481,F!$A1:$B101,2,1)*W481*$X481*$Y481,0)+IF(ISNUMBER(AA481), VLOOKUP(AA481/$AH481,F!$A1:$B101,2,1)*AA481*$AB481*$AC481,0))*IF(ISNUMBER(F481),F481,1)*IF(ISNUMBER(E481),E481,1)</f>
        <v>0</v>
      </c>
      <c r="AJ481" s="71">
        <f t="shared" si="946"/>
        <v>0</v>
      </c>
      <c r="AK481" s="72">
        <f t="array" ref="AK481">IFERROR(I481*INDEX(F!$P$21:$AB$33, MATCH(G481/$AH481, F!$O$21:$O$33,1), MATCH(E481, F!$P$20:$AB$20,1)), 0 ) +IFERROR( M481*INDEX(F!$P$21:$AB$33, MATCH(K481/$AH481, F!$O$21:$O$33,1), MATCH(E481, F!$P$20:$AB$20,1)),0) +  IFERROR( Q481*INDEX(F!$P$21:$AB$33, MATCH(O481/$AH481, F!$O$21:$O$33,1), MATCH(E481, F!$P$20:$AB$20,1)), 0) + IFERROR( U481*INDEX(F!$P$21:$AB$33, MATCH(S481/$AH481, F!$O$21:$O$33,1), MATCH(E481, F!$P$20:$AB$20,1)),0)  + IFERROR(Y481*INDEX(F!$P$21:$AB$33, MATCH(W481/$AH481, F!$O$21:$O$33,1), MATCH(E481, F!$P$20:$AB$20,1)),0)  + IFERROR( AC481*INDEX(F!$P$21:$AB$33, MATCH(AA481/$AH481, F!$O$21:$O$33,1), MATCH(E481, F!$P$20:$AB$20,1)),)</f>
        <v>0</v>
      </c>
      <c r="AL481" s="5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ht="15.75" hidden="1" customHeight="1">
      <c r="A482" s="59"/>
      <c r="B482" s="215" t="str">
        <f t="shared" ref="B482:F482" si="948">IF(B426="","",B426)</f>
        <v/>
      </c>
      <c r="C482" s="73" t="str">
        <f t="shared" si="948"/>
        <v/>
      </c>
      <c r="D482" s="47" t="str">
        <f t="shared" si="948"/>
        <v/>
      </c>
      <c r="E482" s="48" t="str">
        <f t="shared" si="948"/>
        <v/>
      </c>
      <c r="F482" s="74" t="str">
        <f t="shared" si="948"/>
        <v/>
      </c>
      <c r="G482" s="50" t="str">
        <f t="shared" si="937"/>
        <v/>
      </c>
      <c r="H482" s="51"/>
      <c r="I482" s="51"/>
      <c r="J482" s="52"/>
      <c r="K482" s="50" t="str">
        <f t="shared" si="938"/>
        <v/>
      </c>
      <c r="L482" s="51"/>
      <c r="M482" s="51"/>
      <c r="N482" s="52"/>
      <c r="O482" s="50" t="str">
        <f t="shared" si="939"/>
        <v/>
      </c>
      <c r="P482" s="51"/>
      <c r="Q482" s="51"/>
      <c r="R482" s="52"/>
      <c r="S482" s="50" t="str">
        <f t="shared" si="940"/>
        <v/>
      </c>
      <c r="T482" s="51"/>
      <c r="U482" s="51"/>
      <c r="V482" s="52"/>
      <c r="W482" s="50" t="str">
        <f t="shared" si="941"/>
        <v/>
      </c>
      <c r="X482" s="51"/>
      <c r="Y482" s="51"/>
      <c r="Z482" s="52"/>
      <c r="AA482" s="50" t="str">
        <f t="shared" si="942"/>
        <v/>
      </c>
      <c r="AB482" s="51"/>
      <c r="AC482" s="51"/>
      <c r="AD482" s="52"/>
      <c r="AE482" s="53">
        <f t="shared" si="943"/>
        <v>0</v>
      </c>
      <c r="AF482" s="54">
        <f t="shared" si="886"/>
        <v>0</v>
      </c>
      <c r="AG482" s="75">
        <f t="shared" si="944"/>
        <v>0</v>
      </c>
      <c r="AH482" s="76" t="str">
        <f t="shared" si="945"/>
        <v/>
      </c>
      <c r="AI482" s="77">
        <f> ( IF(ISNUMBER(G482), VLOOKUP(G482/$AH482,F!$A1:$B101,2,1)*G482*$H482*$I482,0)+IF(ISNUMBER(K482), VLOOKUP(K482/$AH482,F!$A1:$B101,2,1)*K482*$L482*$M482,0)+IF(ISNUMBER(O482), VLOOKUP(O482/$AH482,F!$A1:$B101,2,1)*O482*$P482*$Q482,0)+IF(ISNUMBER(S482), VLOOKUP(S482/$AH482,F!$A1:$B101,2,1)*S482*$T482*$U482,0)+IF(ISNUMBER(W482), VLOOKUP(W482/$AH482,F!$A1:$B101,2,1)*W482*$X482*$Y482,0)+IF(ISNUMBER(AA482), VLOOKUP(AA482/$AH482,F!$A1:$B101,2,1)*AA482*$AB482*$AC482,0))*IF(ISNUMBER(F482),F482,1)*IF(ISNUMBER(E482),E482,1)</f>
        <v>0</v>
      </c>
      <c r="AJ482" s="57">
        <f t="shared" si="946"/>
        <v>0</v>
      </c>
      <c r="AK482" s="58">
        <f t="array" ref="AK482">IFERROR(I482*INDEX(F!$P$21:$AB$33, MATCH(G482/$AH482, F!$O$21:$O$33,1), MATCH(E482, F!$P$20:$AB$20,1)), 0 ) +IFERROR( M482*INDEX(F!$P$21:$AB$33, MATCH(K482/$AH482, F!$O$21:$O$33,1), MATCH(E482, F!$P$20:$AB$20,1)),0) +  IFERROR( Q482*INDEX(F!$P$21:$AB$33, MATCH(O482/$AH482, F!$O$21:$O$33,1), MATCH(E482, F!$P$20:$AB$20,1)), 0) + IFERROR( U482*INDEX(F!$P$21:$AB$33, MATCH(S482/$AH482, F!$O$21:$O$33,1), MATCH(E482, F!$P$20:$AB$20,1)),0)  + IFERROR(Y482*INDEX(F!$P$21:$AB$33, MATCH(W482/$AH482, F!$O$21:$O$33,1), MATCH(E482, F!$P$20:$AB$20,1)),0)  + IFERROR( AC482*INDEX(F!$P$21:$AB$33, MATCH(AA482/$AH482, F!$O$21:$O$33,1), MATCH(E482, F!$P$20:$AB$20,1)),)</f>
        <v>0</v>
      </c>
      <c r="AL482" s="5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ht="15.75" hidden="1" customHeight="1">
      <c r="A483" s="59"/>
      <c r="B483" s="216" t="str">
        <f t="shared" ref="B483:F483" si="949">IF(B427="","",B427)</f>
        <v/>
      </c>
      <c r="C483" s="78" t="str">
        <f t="shared" si="949"/>
        <v/>
      </c>
      <c r="D483" s="62" t="str">
        <f t="shared" si="949"/>
        <v/>
      </c>
      <c r="E483" s="48" t="str">
        <f t="shared" si="949"/>
        <v/>
      </c>
      <c r="F483" s="79" t="str">
        <f t="shared" si="949"/>
        <v/>
      </c>
      <c r="G483" s="64" t="str">
        <f t="shared" si="937"/>
        <v/>
      </c>
      <c r="H483" s="34"/>
      <c r="I483" s="34"/>
      <c r="J483" s="65"/>
      <c r="K483" s="64" t="str">
        <f t="shared" si="938"/>
        <v/>
      </c>
      <c r="L483" s="34"/>
      <c r="M483" s="34"/>
      <c r="N483" s="65"/>
      <c r="O483" s="64" t="str">
        <f t="shared" si="939"/>
        <v/>
      </c>
      <c r="P483" s="34"/>
      <c r="Q483" s="34"/>
      <c r="R483" s="65"/>
      <c r="S483" s="64" t="str">
        <f t="shared" si="940"/>
        <v/>
      </c>
      <c r="T483" s="34"/>
      <c r="U483" s="34"/>
      <c r="V483" s="65"/>
      <c r="W483" s="64" t="str">
        <f t="shared" si="941"/>
        <v/>
      </c>
      <c r="X483" s="34"/>
      <c r="Y483" s="34"/>
      <c r="Z483" s="65"/>
      <c r="AA483" s="64" t="str">
        <f t="shared" si="942"/>
        <v/>
      </c>
      <c r="AB483" s="34"/>
      <c r="AC483" s="34"/>
      <c r="AD483" s="65"/>
      <c r="AE483" s="66">
        <f t="shared" si="943"/>
        <v>0</v>
      </c>
      <c r="AF483" s="67">
        <f t="shared" si="886"/>
        <v>0</v>
      </c>
      <c r="AG483" s="68">
        <f t="shared" si="944"/>
        <v>0</v>
      </c>
      <c r="AH483" s="76" t="str">
        <f t="shared" si="945"/>
        <v/>
      </c>
      <c r="AI483" s="70">
        <f> ( IF(ISNUMBER(G483), VLOOKUP(G483/$AH483,F!$A1:$B101,2,1)*G483*$H483*$I483,0)+IF(ISNUMBER(K483), VLOOKUP(K483/$AH483,F!$A1:$B101,2,1)*K483*$L483*$M483,0)+IF(ISNUMBER(O483), VLOOKUP(O483/$AH483,F!$A1:$B101,2,1)*O483*$P483*$Q483,0)+IF(ISNUMBER(S483), VLOOKUP(S483/$AH483,F!$A1:$B101,2,1)*S483*$T483*$U483,0)+IF(ISNUMBER(W483), VLOOKUP(W483/$AH483,F!$A1:$B101,2,1)*W483*$X483*$Y483,0)+IF(ISNUMBER(AA483), VLOOKUP(AA483/$AH483,F!$A1:$B101,2,1)*AA483*$AB483*$AC483,0))*IF(ISNUMBER(F483),F483,1)*IF(ISNUMBER(E483),E483,1)</f>
        <v>0</v>
      </c>
      <c r="AJ483" s="71">
        <f t="shared" si="946"/>
        <v>0</v>
      </c>
      <c r="AK483" s="72">
        <f t="array" ref="AK483">IFERROR(I483*INDEX(F!$P$21:$AB$33, MATCH(G483/$AH483, F!$O$21:$O$33,1), MATCH(E483, F!$P$20:$AB$20,1)), 0 ) +IFERROR( M483*INDEX(F!$P$21:$AB$33, MATCH(K483/$AH483, F!$O$21:$O$33,1), MATCH(E483, F!$P$20:$AB$20,1)),0) +  IFERROR( Q483*INDEX(F!$P$21:$AB$33, MATCH(O483/$AH483, F!$O$21:$O$33,1), MATCH(E483, F!$P$20:$AB$20,1)), 0) + IFERROR( U483*INDEX(F!$P$21:$AB$33, MATCH(S483/$AH483, F!$O$21:$O$33,1), MATCH(E483, F!$P$20:$AB$20,1)),0)  + IFERROR(Y483*INDEX(F!$P$21:$AB$33, MATCH(W483/$AH483, F!$O$21:$O$33,1), MATCH(E483, F!$P$20:$AB$20,1)),0)  + IFERROR( AC483*INDEX(F!$P$21:$AB$33, MATCH(AA483/$AH483, F!$O$21:$O$33,1), MATCH(E483, F!$P$20:$AB$20,1)),)</f>
        <v>0</v>
      </c>
      <c r="AL483" s="5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ht="15.75" hidden="1" customHeight="1">
      <c r="A484" s="59"/>
      <c r="B484" s="45" t="str">
        <f t="shared" ref="B484:F484" si="950">IF(B428="","",B428)</f>
        <v/>
      </c>
      <c r="C484" s="46" t="str">
        <f t="shared" si="950"/>
        <v/>
      </c>
      <c r="D484" s="197" t="str">
        <f t="shared" si="950"/>
        <v/>
      </c>
      <c r="E484" s="48" t="str">
        <f t="shared" si="950"/>
        <v/>
      </c>
      <c r="F484" s="83" t="str">
        <f t="shared" si="950"/>
        <v/>
      </c>
      <c r="G484" s="50" t="str">
        <f t="shared" si="937"/>
        <v/>
      </c>
      <c r="H484" s="51"/>
      <c r="I484" s="51"/>
      <c r="J484" s="52"/>
      <c r="K484" s="50" t="str">
        <f t="shared" si="938"/>
        <v/>
      </c>
      <c r="L484" s="51"/>
      <c r="M484" s="51"/>
      <c r="N484" s="52"/>
      <c r="O484" s="50" t="str">
        <f t="shared" si="939"/>
        <v/>
      </c>
      <c r="P484" s="51"/>
      <c r="Q484" s="51"/>
      <c r="R484" s="52"/>
      <c r="S484" s="50" t="str">
        <f t="shared" si="940"/>
        <v/>
      </c>
      <c r="T484" s="51"/>
      <c r="U484" s="51"/>
      <c r="V484" s="52"/>
      <c r="W484" s="50" t="str">
        <f t="shared" si="941"/>
        <v/>
      </c>
      <c r="X484" s="51"/>
      <c r="Y484" s="51"/>
      <c r="Z484" s="52"/>
      <c r="AA484" s="50" t="str">
        <f t="shared" si="942"/>
        <v/>
      </c>
      <c r="AB484" s="51"/>
      <c r="AC484" s="51"/>
      <c r="AD484" s="52"/>
      <c r="AE484" s="53">
        <f t="shared" si="943"/>
        <v>0</v>
      </c>
      <c r="AF484" s="54">
        <f t="shared" si="886"/>
        <v>0</v>
      </c>
      <c r="AG484" s="75">
        <f t="shared" si="944"/>
        <v>0</v>
      </c>
      <c r="AH484" s="76" t="str">
        <f t="shared" si="945"/>
        <v/>
      </c>
      <c r="AI484" s="77">
        <f> ( IF(ISNUMBER(G484), VLOOKUP(G484/$AH484,F!$A1:$B101,2,1)*G484*$H484*$I484,0)+IF(ISNUMBER(K484), VLOOKUP(K484/$AH484,F!$A1:$B101,2,1)*K484*$L484*$M484,0)+IF(ISNUMBER(O484), VLOOKUP(O484/$AH484,F!$A1:$B101,2,1)*O484*$P484*$Q484,0)+IF(ISNUMBER(S484), VLOOKUP(S484/$AH484,F!$A1:$B101,2,1)*S484*$T484*$U484,0)+IF(ISNUMBER(W484), VLOOKUP(W484/$AH484,F!$A1:$B101,2,1)*W484*$X484*$Y484,0)+IF(ISNUMBER(AA484), VLOOKUP(AA484/$AH484,F!$A1:$B101,2,1)*AA484*$AB484*$AC484,0))*IF(ISNUMBER(F484),F484,1)*IF(ISNUMBER(E484),E484,1)</f>
        <v>0</v>
      </c>
      <c r="AJ484" s="86">
        <f t="shared" si="946"/>
        <v>0</v>
      </c>
      <c r="AK484" s="58">
        <f t="array" ref="AK484">IFERROR(I484*INDEX(F!$P$21:$AB$33, MATCH(G484/$AH484, F!$O$21:$O$33,1), MATCH(E484, F!$P$20:$AB$20,1)), 0 ) +IFERROR( M484*INDEX(F!$P$21:$AB$33, MATCH(K484/$AH484, F!$O$21:$O$33,1), MATCH(E484, F!$P$20:$AB$20,1)),0) +  IFERROR( Q484*INDEX(F!$P$21:$AB$33, MATCH(O484/$AH484, F!$O$21:$O$33,1), MATCH(E484, F!$P$20:$AB$20,1)), 0) + IFERROR( U484*INDEX(F!$P$21:$AB$33, MATCH(S484/$AH484, F!$O$21:$O$33,1), MATCH(E484, F!$P$20:$AB$20,1)),0)  + IFERROR(Y484*INDEX(F!$P$21:$AB$33, MATCH(W484/$AH484, F!$O$21:$O$33,1), MATCH(E484, F!$P$20:$AB$20,1)),0)  + IFERROR( AC484*INDEX(F!$P$21:$AB$33, MATCH(AA484/$AH484, F!$O$21:$O$33,1), MATCH(E484, F!$P$20:$AB$20,1)),)</f>
        <v>0</v>
      </c>
      <c r="AL484" s="5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ht="15.75" hidden="1" customHeight="1">
      <c r="A485" s="59"/>
      <c r="B485" s="60" t="str">
        <f t="shared" ref="B485:F485" si="951">IF(B429="","",B429)</f>
        <v/>
      </c>
      <c r="C485" s="61" t="str">
        <f t="shared" si="951"/>
        <v/>
      </c>
      <c r="D485" s="198" t="str">
        <f t="shared" si="951"/>
        <v/>
      </c>
      <c r="E485" s="48" t="str">
        <f t="shared" si="951"/>
        <v/>
      </c>
      <c r="F485" s="79" t="str">
        <f t="shared" si="951"/>
        <v/>
      </c>
      <c r="G485" s="64" t="str">
        <f t="shared" si="937"/>
        <v/>
      </c>
      <c r="H485" s="34"/>
      <c r="I485" s="34"/>
      <c r="J485" s="65"/>
      <c r="K485" s="64" t="str">
        <f t="shared" si="938"/>
        <v/>
      </c>
      <c r="L485" s="34"/>
      <c r="M485" s="34"/>
      <c r="N485" s="65"/>
      <c r="O485" s="64" t="str">
        <f t="shared" si="939"/>
        <v/>
      </c>
      <c r="P485" s="34"/>
      <c r="Q485" s="34"/>
      <c r="R485" s="65"/>
      <c r="S485" s="64" t="str">
        <f t="shared" si="940"/>
        <v/>
      </c>
      <c r="T485" s="34"/>
      <c r="U485" s="34"/>
      <c r="V485" s="65"/>
      <c r="W485" s="64" t="str">
        <f t="shared" si="941"/>
        <v/>
      </c>
      <c r="X485" s="34"/>
      <c r="Y485" s="34"/>
      <c r="Z485" s="65"/>
      <c r="AA485" s="64" t="str">
        <f t="shared" si="942"/>
        <v/>
      </c>
      <c r="AB485" s="34"/>
      <c r="AC485" s="34"/>
      <c r="AD485" s="65"/>
      <c r="AE485" s="66">
        <f t="shared" si="943"/>
        <v>0</v>
      </c>
      <c r="AF485" s="67">
        <f t="shared" si="886"/>
        <v>0</v>
      </c>
      <c r="AG485" s="68">
        <f t="shared" si="944"/>
        <v>0</v>
      </c>
      <c r="AH485" s="76" t="str">
        <f t="shared" si="945"/>
        <v/>
      </c>
      <c r="AI485" s="90">
        <f> ( IF(ISNUMBER(G485), VLOOKUP(G485/$AH485,F!$A1:$B101,2,1)*G485*$H485*$I485,0)+IF(ISNUMBER(K485), VLOOKUP(K485/$AH485,F!$A1:$B101,2,1)*K485*$L485*$M485,0)+IF(ISNUMBER(O485), VLOOKUP(O485/$AH485,F!$A1:$B101,2,1)*O485*$P485*$Q485,0)+IF(ISNUMBER(S485), VLOOKUP(S485/$AH485,F!$A1:$B101,2,1)*S485*$T485*$U485,0)+IF(ISNUMBER(W485), VLOOKUP(W485/$AH485,F!$A1:$B101,2,1)*W485*$X485*$Y485,0)+IF(ISNUMBER(AA485), VLOOKUP(AA485/$AH485,F!$A1:$B101,2,1)*AA485*$AB485*$AC485,0))*IF(ISNUMBER(F485),F485,1)*IF(ISNUMBER(E485),E485,1)</f>
        <v>0</v>
      </c>
      <c r="AJ485" s="34">
        <f t="shared" si="946"/>
        <v>0</v>
      </c>
      <c r="AK485" s="91">
        <f t="array" ref="AK485">IFERROR(I485*INDEX(F!$P$21:$AB$33, MATCH(G485/$AH485, F!$O$21:$O$33,1), MATCH(E485, F!$P$20:$AB$20,1)), 0 ) +IFERROR( M485*INDEX(F!$P$21:$AB$33, MATCH(K485/$AH485, F!$O$21:$O$33,1), MATCH(E485, F!$P$20:$AB$20,1)),0) +  IFERROR( Q485*INDEX(F!$P$21:$AB$33, MATCH(O485/$AH485, F!$O$21:$O$33,1), MATCH(E485, F!$P$20:$AB$20,1)), 0) + IFERROR( U485*INDEX(F!$P$21:$AB$33, MATCH(S485/$AH485, F!$O$21:$O$33,1), MATCH(E485, F!$P$20:$AB$20,1)),0)  + IFERROR(Y485*INDEX(F!$P$21:$AB$33, MATCH(W485/$AH485, F!$O$21:$O$33,1), MATCH(E485, F!$P$20:$AB$20,1)),0)  + IFERROR( AC485*INDEX(F!$P$21:$AB$33, MATCH(AA485/$AH485, F!$O$21:$O$33,1), MATCH(E485, F!$P$20:$AB$20,1)),)</f>
        <v>0</v>
      </c>
      <c r="AL485" s="5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ht="15.75" hidden="1" customHeight="1">
      <c r="A486" s="59"/>
      <c r="B486" s="45" t="str">
        <f t="shared" ref="B486:F486" si="952">IF(B430="","",B430)</f>
        <v/>
      </c>
      <c r="C486" s="46" t="str">
        <f t="shared" si="952"/>
        <v/>
      </c>
      <c r="D486" s="92" t="str">
        <f t="shared" si="952"/>
        <v/>
      </c>
      <c r="E486" s="48" t="str">
        <f t="shared" si="952"/>
        <v/>
      </c>
      <c r="F486" s="74" t="str">
        <f t="shared" si="952"/>
        <v/>
      </c>
      <c r="G486" s="50" t="str">
        <f t="shared" si="937"/>
        <v/>
      </c>
      <c r="H486" s="51"/>
      <c r="I486" s="51"/>
      <c r="J486" s="52"/>
      <c r="K486" s="50" t="str">
        <f t="shared" si="938"/>
        <v/>
      </c>
      <c r="L486" s="51"/>
      <c r="M486" s="51"/>
      <c r="N486" s="52"/>
      <c r="O486" s="50" t="str">
        <f t="shared" si="939"/>
        <v/>
      </c>
      <c r="P486" s="51"/>
      <c r="Q486" s="51"/>
      <c r="R486" s="52"/>
      <c r="S486" s="50" t="str">
        <f t="shared" si="940"/>
        <v/>
      </c>
      <c r="T486" s="51"/>
      <c r="U486" s="51"/>
      <c r="V486" s="52"/>
      <c r="W486" s="50" t="str">
        <f t="shared" si="941"/>
        <v/>
      </c>
      <c r="X486" s="51"/>
      <c r="Y486" s="51"/>
      <c r="Z486" s="52"/>
      <c r="AA486" s="50" t="str">
        <f t="shared" si="942"/>
        <v/>
      </c>
      <c r="AB486" s="51"/>
      <c r="AC486" s="51"/>
      <c r="AD486" s="52"/>
      <c r="AE486" s="53">
        <f t="shared" si="943"/>
        <v>0</v>
      </c>
      <c r="AF486" s="93">
        <f t="shared" si="886"/>
        <v>0</v>
      </c>
      <c r="AG486" s="94">
        <f t="shared" si="944"/>
        <v>0</v>
      </c>
      <c r="AH486" s="76" t="str">
        <f t="shared" si="945"/>
        <v/>
      </c>
      <c r="AI486" s="95">
        <f> ( IF(ISNUMBER(G486), VLOOKUP(G486/$AH486,F!$A1:$B101,2,1)*G486*$H486*$I486,0)+IF(ISNUMBER(K486), VLOOKUP(K486/$AH486,F!$A1:$B101,2,1)*K486*$L486*$M486,0)+IF(ISNUMBER(O486), VLOOKUP(O486/$AH486,F!$A1:$B101,2,1)*O486*$P486*$Q486,0)+IF(ISNUMBER(S486), VLOOKUP(S486/$AH486,F!$A1:$B101,2,1)*S486*$T486*$U486,0)+IF(ISNUMBER(W486), VLOOKUP(W486/$AH486,F!$A1:$B101,2,1)*W486*$X486*$Y486,0)+IF(ISNUMBER(AA486), VLOOKUP(AA486/$AH486,F!$A1:$B101,2,1)*AA486*$AB486*$AC486,0))*IF(ISNUMBER(F486),F486,1)*IF(ISNUMBER(E486),E486,1)</f>
        <v>0</v>
      </c>
      <c r="AJ486" s="96">
        <f t="shared" si="946"/>
        <v>0</v>
      </c>
      <c r="AK486" s="97">
        <f t="array" ref="AK486">IFERROR(I486*INDEX(F!$P$21:$AB$33, MATCH(G486/$AH486, F!$O$21:$O$33,1), MATCH(E486, F!$P$20:$AB$20,1)), 0 ) +IFERROR( M486*INDEX(F!$P$21:$AB$33, MATCH(K486/$AH486, F!$O$21:$O$33,1), MATCH(E486, F!$P$20:$AB$20,1)),0) +  IFERROR( Q486*INDEX(F!$P$21:$AB$33, MATCH(O486/$AH486, F!$O$21:$O$33,1), MATCH(E486, F!$P$20:$AB$20,1)), 0) + IFERROR( U486*INDEX(F!$P$21:$AB$33, MATCH(S486/$AH486, F!$O$21:$O$33,1), MATCH(E486, F!$P$20:$AB$20,1)),0)  + IFERROR(Y486*INDEX(F!$P$21:$AB$33, MATCH(W486/$AH486, F!$O$21:$O$33,1), MATCH(E486, F!$P$20:$AB$20,1)),0)  + IFERROR( AC486*INDEX(F!$P$21:$AB$33, MATCH(AA486/$AH486, F!$O$21:$O$33,1), MATCH(E486, F!$P$20:$AB$20,1)),)</f>
        <v>0</v>
      </c>
      <c r="AL486" s="5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ht="15.75" hidden="1" customHeight="1">
      <c r="A487" s="98"/>
      <c r="B487" s="99"/>
      <c r="C487" s="100"/>
      <c r="D487" s="101"/>
      <c r="E487" s="102">
        <f>ROUND(IFERROR(SUMPRODUCT(AJ479:AJ486,E479:E486)/AJ487,0),3)</f>
        <v>0</v>
      </c>
      <c r="F487" s="199"/>
      <c r="G487" s="104"/>
      <c r="H487" s="105"/>
      <c r="I487" s="105"/>
      <c r="J487" s="106"/>
      <c r="K487" s="104"/>
      <c r="L487" s="105"/>
      <c r="M487" s="105"/>
      <c r="N487" s="106"/>
      <c r="O487" s="104"/>
      <c r="P487" s="105"/>
      <c r="Q487" s="105"/>
      <c r="R487" s="106"/>
      <c r="S487" s="104"/>
      <c r="T487" s="105"/>
      <c r="U487" s="105"/>
      <c r="V487" s="106"/>
      <c r="W487" s="104"/>
      <c r="X487" s="105"/>
      <c r="Y487" s="105"/>
      <c r="Z487" s="106"/>
      <c r="AA487" s="104"/>
      <c r="AB487" s="105"/>
      <c r="AC487" s="105"/>
      <c r="AD487" s="106"/>
      <c r="AE487" s="107">
        <f>SUM(AE479:AE486)</f>
        <v>0</v>
      </c>
      <c r="AF487" s="108">
        <f t="shared" si="886"/>
        <v>0</v>
      </c>
      <c r="AG487" s="109">
        <f>IFERROR(  SUMPRODUCT(AG479:AG486,AJ479:AJ486)/AJ487,0)</f>
        <v>0</v>
      </c>
      <c r="AH487" s="157"/>
      <c r="AI487" s="111">
        <f t="shared" ref="AI487:AJ487" si="953">SUM(AI479:AI486)</f>
        <v>0</v>
      </c>
      <c r="AJ487" s="111">
        <f t="shared" si="953"/>
        <v>0</v>
      </c>
      <c r="AK487" s="112">
        <f>IF(SUM(AK479:AK486)=0,TIME(,0,),TIME(,SUM(AK479:AK486)+F!$V$37,))</f>
        <v>0</v>
      </c>
      <c r="AL487" s="98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ht="15.75" hidden="1" customHeight="1">
      <c r="A488" s="113">
        <f>A489</f>
        <v>43842</v>
      </c>
      <c r="B488" s="114" t="str">
        <f t="shared" ref="B488:F488" si="954">IF(B432="","",B432)</f>
        <v/>
      </c>
      <c r="C488" s="115" t="str">
        <f t="shared" si="954"/>
        <v/>
      </c>
      <c r="D488" s="116" t="str">
        <f t="shared" si="954"/>
        <v/>
      </c>
      <c r="E488" s="29" t="str">
        <f t="shared" si="954"/>
        <v/>
      </c>
      <c r="F488" s="117" t="str">
        <f t="shared" si="954"/>
        <v/>
      </c>
      <c r="G488" s="118" t="str">
        <f t="shared" ref="G488:G495" si="956">IF(J488&lt;&gt;0, IFERROR(IF( $F488=2,  MROUND($AH488*J488,1),    IF( OR($F488="",$F488=1),   MROUND($AH488*J488,2.5),  MROUND($AH488*J488, 0.1))), "" ), "")</f>
        <v/>
      </c>
      <c r="H488" s="119"/>
      <c r="I488" s="119"/>
      <c r="J488" s="120"/>
      <c r="K488" s="118" t="str">
        <f t="shared" ref="K488:K495" si="957">IF(N488&lt;&gt;0, IFERROR(IF( $F488=2,  MROUND($AH488*N488,1),    IF( OR($F488="",$F488=1),   MROUND($AH488*N488,2.5),  MROUND($AH488*N488, 0.1))), "" ), "")</f>
        <v/>
      </c>
      <c r="L488" s="119"/>
      <c r="M488" s="119"/>
      <c r="N488" s="120"/>
      <c r="O488" s="118" t="str">
        <f t="shared" ref="O488:O495" si="958">IF(R488&lt;&gt;0, IFERROR(IF( $F488=2,  MROUND($AH488*R488,1),    IF( OR($F488="",$F488=1),   MROUND($AH488*R488,2.5),  MROUND($AH488*R488, 0.1))), "" ), "")</f>
        <v/>
      </c>
      <c r="P488" s="119"/>
      <c r="Q488" s="119"/>
      <c r="R488" s="120"/>
      <c r="S488" s="118" t="str">
        <f t="shared" ref="S488:S495" si="959">IF(V488&lt;&gt;0, IFERROR(IF( $F488=2,  MROUND($AH488*V488,1),    IF( OR($F488="",$F488=1),   MROUND($AH488*V488,2.5),  MROUND($AH488*V488, 0.1))), "" ), "")</f>
        <v/>
      </c>
      <c r="T488" s="119"/>
      <c r="U488" s="119"/>
      <c r="V488" s="120"/>
      <c r="W488" s="118" t="str">
        <f t="shared" ref="W488:W495" si="960">IF(Z488&lt;&gt;0, IFERROR(IF( $F488=2,  MROUND($AH488*Z488,1),    IF( OR($F488="",$F488=1),   MROUND($AH488*Z488,2.5),  MROUND($AH488*Z488, 0.1))), "" ), "")</f>
        <v/>
      </c>
      <c r="X488" s="119"/>
      <c r="Y488" s="119"/>
      <c r="Z488" s="120"/>
      <c r="AA488" s="118" t="str">
        <f t="shared" ref="AA488:AA495" si="961">IF(AD488&lt;&gt;0, IFERROR(IF( $F488=2,  MROUND($AH488*AD488,1),    IF( OR($F488="",$F488=1),   MROUND($AH488*AD488,2.5),  MROUND($AH488*AD488, 0.1))), "" ), "")</f>
        <v/>
      </c>
      <c r="AB488" s="119"/>
      <c r="AC488" s="119"/>
      <c r="AD488" s="120"/>
      <c r="AE488" s="121">
        <f t="shared" ref="AE488:AE495" si="962">(IF(ISNUMBER(G488),G488,0)*H488*I488+IF(ISNUMBER(K488),K488,1)*L488*M488+IF(ISNUMBER(O488),O488,1)*P488*Q488+IF(ISNUMBER(S488),S488,1)*T488*U488+IF(ISNUMBER(W488),W488,1)*X488*Y488+IF(ISNUMBER(AA488),AA488,1)*AB488*AC488)*IF(ISNUMBER(F488),F488,1)</f>
        <v>0</v>
      </c>
      <c r="AF488" s="122">
        <f t="shared" si="886"/>
        <v>0</v>
      </c>
      <c r="AG488" s="200">
        <f t="shared" ref="AG488:AG495" si="963">IFERROR((AF488/(AH488*IF(ISNUMBER(F488),F488,1))),0)</f>
        <v>0</v>
      </c>
      <c r="AH488" s="169" t="str">
        <f t="shared" ref="AH488:AH495" si="964">IF(ISNUMBER(AH432), AH432+(AH432*$AH$450),"")</f>
        <v/>
      </c>
      <c r="AI488" s="122">
        <f> ( IF(ISNUMBER(G488), VLOOKUP(G488/$AH488,F!$A1:$B101,2,1)*G488*$H488*$I488,0)+IF(ISNUMBER(K488), VLOOKUP(K488/$AH488,F!$A1:$B101,2,1)*K488*$L488*$M488,0)+IF(ISNUMBER(O488), VLOOKUP(O488/$AH488,F!$A1:$B101,2,1)*O488*$P488*$Q488,0)+IF(ISNUMBER(S488), VLOOKUP(S488/$AH488,F!$A1:$B101,2,1)*S488*$T488*$U488,0)+IF(ISNUMBER(W488), VLOOKUP(W488/$AH488,F!$A1:$B101,2,1)*W488*$X488*$Y488,0)+IF(ISNUMBER(AA488), VLOOKUP(AA488/$AH488,F!$A1:$B101,2,1)*AA488*$AB488*$AC488,0))*IF(ISNUMBER(F488),F488,1)*IF(ISNUMBER(E488),E488,1)</f>
        <v>0</v>
      </c>
      <c r="AJ488" s="119">
        <f t="shared" ref="AJ488:AJ495" si="965">H488*I488+L488*M488+P488*Q488+T488*U488+X488*Y488+AB488*AC488</f>
        <v>0</v>
      </c>
      <c r="AK488" s="125">
        <f t="array" ref="AK488">IFERROR(I488*INDEX(F!$P$21:$AB$33, MATCH(G488/$AH488, F!$O$21:$O$33,1), MATCH(E488, F!$P$20:$AB$20,1)), 0 ) +IFERROR( M488*INDEX(F!$P$21:$AB$33, MATCH(K488/$AH488, F!$O$21:$O$33,1), MATCH(E488, F!$P$20:$AB$20,1)),0) +  IFERROR( Q488*INDEX(F!$P$21:$AB$33, MATCH(O488/$AH488, F!$O$21:$O$33,1), MATCH(E488, F!$P$20:$AB$20,1)), 0) + IFERROR( U488*INDEX(F!$P$21:$AB$33, MATCH(S488/$AH488, F!$O$21:$O$33,1), MATCH(E488, F!$P$20:$AB$20,1)),0)  + IFERROR(Y488*INDEX(F!$P$21:$AB$33, MATCH(W488/$AH488, F!$O$21:$O$33,1), MATCH(E488, F!$P$20:$AB$20,1)),0)  + IFERROR( AC488*INDEX(F!$P$21:$AB$33, MATCH(AA488/$AH488, F!$O$21:$O$33,1), MATCH(E488, F!$P$20:$AB$20,1)),)</f>
        <v>0</v>
      </c>
      <c r="AL488" s="42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ht="15.75" hidden="1" customHeight="1">
      <c r="A489" s="44">
        <f>A433+A394</f>
        <v>43842</v>
      </c>
      <c r="B489" s="126" t="str">
        <f t="shared" ref="B489:F489" si="955">IF(B433="","",B433)</f>
        <v/>
      </c>
      <c r="C489" s="127" t="str">
        <f t="shared" si="955"/>
        <v/>
      </c>
      <c r="D489" s="128" t="str">
        <f t="shared" si="955"/>
        <v/>
      </c>
      <c r="E489" s="48" t="str">
        <f t="shared" si="955"/>
        <v/>
      </c>
      <c r="F489" s="129" t="str">
        <f t="shared" si="955"/>
        <v/>
      </c>
      <c r="G489" s="130" t="str">
        <f t="shared" si="956"/>
        <v/>
      </c>
      <c r="H489" s="34"/>
      <c r="I489" s="34"/>
      <c r="J489" s="65"/>
      <c r="K489" s="130" t="str">
        <f t="shared" si="957"/>
        <v/>
      </c>
      <c r="L489" s="34"/>
      <c r="M489" s="34"/>
      <c r="N489" s="65"/>
      <c r="O489" s="130" t="str">
        <f t="shared" si="958"/>
        <v/>
      </c>
      <c r="P489" s="34"/>
      <c r="Q489" s="34"/>
      <c r="R489" s="65"/>
      <c r="S489" s="130" t="str">
        <f t="shared" si="959"/>
        <v/>
      </c>
      <c r="T489" s="34"/>
      <c r="U489" s="34"/>
      <c r="V489" s="65"/>
      <c r="W489" s="130" t="str">
        <f t="shared" si="960"/>
        <v/>
      </c>
      <c r="X489" s="34"/>
      <c r="Y489" s="34"/>
      <c r="Z489" s="65"/>
      <c r="AA489" s="130" t="str">
        <f t="shared" si="961"/>
        <v/>
      </c>
      <c r="AB489" s="34"/>
      <c r="AC489" s="34"/>
      <c r="AD489" s="65"/>
      <c r="AE489" s="131">
        <f t="shared" si="962"/>
        <v>0</v>
      </c>
      <c r="AF489" s="132">
        <f t="shared" si="886"/>
        <v>0</v>
      </c>
      <c r="AG489" s="133">
        <f t="shared" si="963"/>
        <v>0</v>
      </c>
      <c r="AH489" s="76" t="str">
        <f t="shared" si="964"/>
        <v/>
      </c>
      <c r="AI489" s="132">
        <f> ( IF(ISNUMBER(G489), VLOOKUP(G489/$AH489,F!$A1:$B101,2,1)*G489*$H489*$I489,0)+IF(ISNUMBER(K489), VLOOKUP(K489/$AH489,F!$A1:$B101,2,1)*K489*$L489*$M489,0)+IF(ISNUMBER(O489), VLOOKUP(O489/$AH489,F!$A1:$B101,2,1)*O489*$P489*$Q489,0)+IF(ISNUMBER(S489), VLOOKUP(S489/$AH489,F!$A1:$B101,2,1)*S489*$T489*$U489,0)+IF(ISNUMBER(W489), VLOOKUP(W489/$AH489,F!$A1:$B101,2,1)*W489*$X489*$Y489,0)+IF(ISNUMBER(AA489), VLOOKUP(AA489/$AH489,F!$A1:$B101,2,1)*AA489*$AB489*$AC489,0))*IF(ISNUMBER(F489),F489,1)*IF(ISNUMBER(E489),E489,1)</f>
        <v>0</v>
      </c>
      <c r="AJ489" s="34">
        <f t="shared" si="965"/>
        <v>0</v>
      </c>
      <c r="AK489" s="134">
        <f t="array" ref="AK489">IFERROR(I489*INDEX(F!$P$21:$AB$33, MATCH(G489/$AH489, F!$O$21:$O$33,1), MATCH(E489, F!$P$20:$AB$20,1)), 0 ) +IFERROR( M489*INDEX(F!$P$21:$AB$33, MATCH(K489/$AH489, F!$O$21:$O$33,1), MATCH(E489, F!$P$20:$AB$20,1)),0) +  IFERROR( Q489*INDEX(F!$P$21:$AB$33, MATCH(O489/$AH489, F!$O$21:$O$33,1), MATCH(E489, F!$P$20:$AB$20,1)), 0) + IFERROR( U489*INDEX(F!$P$21:$AB$33, MATCH(S489/$AH489, F!$O$21:$O$33,1), MATCH(E489, F!$P$20:$AB$20,1)),0)  + IFERROR(Y489*INDEX(F!$P$21:$AB$33, MATCH(W489/$AH489, F!$O$21:$O$33,1), MATCH(E489, F!$P$20:$AB$20,1)),0)  + IFERROR( AC489*INDEX(F!$P$21:$AB$33, MATCH(AA489/$AH489, F!$O$21:$O$33,1), MATCH(E489, F!$P$20:$AB$20,1)),)</f>
        <v>0</v>
      </c>
      <c r="AL489" s="5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ht="15.75" hidden="1" customHeight="1">
      <c r="A490" s="59"/>
      <c r="B490" s="135" t="str">
        <f t="shared" ref="B490:F490" si="966">IF(B434="","",B434)</f>
        <v/>
      </c>
      <c r="C490" s="136" t="str">
        <f t="shared" si="966"/>
        <v/>
      </c>
      <c r="D490" s="137" t="str">
        <f t="shared" si="966"/>
        <v/>
      </c>
      <c r="E490" s="48" t="str">
        <f t="shared" si="966"/>
        <v/>
      </c>
      <c r="F490" s="138" t="str">
        <f t="shared" si="966"/>
        <v/>
      </c>
      <c r="G490" s="139" t="str">
        <f t="shared" si="956"/>
        <v/>
      </c>
      <c r="H490" s="140"/>
      <c r="I490" s="140"/>
      <c r="J490" s="141"/>
      <c r="K490" s="139" t="str">
        <f t="shared" si="957"/>
        <v/>
      </c>
      <c r="L490" s="140"/>
      <c r="M490" s="140"/>
      <c r="N490" s="141"/>
      <c r="O490" s="139" t="str">
        <f t="shared" si="958"/>
        <v/>
      </c>
      <c r="P490" s="140"/>
      <c r="Q490" s="140"/>
      <c r="R490" s="141"/>
      <c r="S490" s="139" t="str">
        <f t="shared" si="959"/>
        <v/>
      </c>
      <c r="T490" s="140"/>
      <c r="U490" s="140"/>
      <c r="V490" s="141"/>
      <c r="W490" s="139" t="str">
        <f t="shared" si="960"/>
        <v/>
      </c>
      <c r="X490" s="140"/>
      <c r="Y490" s="140"/>
      <c r="Z490" s="141"/>
      <c r="AA490" s="139" t="str">
        <f t="shared" si="961"/>
        <v/>
      </c>
      <c r="AB490" s="140"/>
      <c r="AC490" s="140"/>
      <c r="AD490" s="141"/>
      <c r="AE490" s="142">
        <f t="shared" si="962"/>
        <v>0</v>
      </c>
      <c r="AF490" s="143">
        <f t="shared" si="886"/>
        <v>0</v>
      </c>
      <c r="AG490" s="144">
        <f t="shared" si="963"/>
        <v>0</v>
      </c>
      <c r="AH490" s="76" t="str">
        <f t="shared" si="964"/>
        <v/>
      </c>
      <c r="AI490" s="143">
        <f> ( IF(ISNUMBER(G490), VLOOKUP(G490/$AH490,F!$A1:$B101,2,1)*G490*$H490*$I490,0)+IF(ISNUMBER(K490), VLOOKUP(K490/$AH490,F!$A1:$B101,2,1)*K490*$L490*$M490,0)+IF(ISNUMBER(O490), VLOOKUP(O490/$AH490,F!$A1:$B101,2,1)*O490*$P490*$Q490,0)+IF(ISNUMBER(S490), VLOOKUP(S490/$AH490,F!$A1:$B101,2,1)*S490*$T490*$U490,0)+IF(ISNUMBER(W490), VLOOKUP(W490/$AH490,F!$A1:$B101,2,1)*W490*$X490*$Y490,0)+IF(ISNUMBER(AA490), VLOOKUP(AA490/$AH490,F!$A1:$B101,2,1)*AA490*$AB490*$AC490,0))*IF(ISNUMBER(F490),F490,1)*IF(ISNUMBER(E490),E490,1)</f>
        <v>0</v>
      </c>
      <c r="AJ490" s="140">
        <f t="shared" si="965"/>
        <v>0</v>
      </c>
      <c r="AK490" s="145">
        <f t="array" ref="AK490">IFERROR(I490*INDEX(F!$P$21:$AB$33, MATCH(G490/$AH490, F!$O$21:$O$33,1), MATCH(E490, F!$P$20:$AB$20,1)), 0 ) +IFERROR( M490*INDEX(F!$P$21:$AB$33, MATCH(K490/$AH490, F!$O$21:$O$33,1), MATCH(E490, F!$P$20:$AB$20,1)),0) +  IFERROR( Q490*INDEX(F!$P$21:$AB$33, MATCH(O490/$AH490, F!$O$21:$O$33,1), MATCH(E490, F!$P$20:$AB$20,1)), 0) + IFERROR( U490*INDEX(F!$P$21:$AB$33, MATCH(S490/$AH490, F!$O$21:$O$33,1), MATCH(E490, F!$P$20:$AB$20,1)),0)  + IFERROR(Y490*INDEX(F!$P$21:$AB$33, MATCH(W490/$AH490, F!$O$21:$O$33,1), MATCH(E490, F!$P$20:$AB$20,1)),0)  + IFERROR( AC490*INDEX(F!$P$21:$AB$33, MATCH(AA490/$AH490, F!$O$21:$O$33,1), MATCH(E490, F!$P$20:$AB$20,1)),)</f>
        <v>0</v>
      </c>
      <c r="AL490" s="5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ht="15.75" hidden="1" customHeight="1">
      <c r="A491" s="59"/>
      <c r="B491" s="126" t="str">
        <f t="shared" ref="B491:F491" si="967">IF(B435="","",B435)</f>
        <v/>
      </c>
      <c r="C491" s="127" t="str">
        <f t="shared" si="967"/>
        <v/>
      </c>
      <c r="D491" s="128" t="str">
        <f t="shared" si="967"/>
        <v/>
      </c>
      <c r="E491" s="48" t="str">
        <f t="shared" si="967"/>
        <v/>
      </c>
      <c r="F491" s="129" t="str">
        <f t="shared" si="967"/>
        <v/>
      </c>
      <c r="G491" s="130" t="str">
        <f t="shared" si="956"/>
        <v/>
      </c>
      <c r="H491" s="34"/>
      <c r="I491" s="34"/>
      <c r="J491" s="65"/>
      <c r="K491" s="130" t="str">
        <f t="shared" si="957"/>
        <v/>
      </c>
      <c r="L491" s="34"/>
      <c r="M491" s="34"/>
      <c r="N491" s="65"/>
      <c r="O491" s="130" t="str">
        <f t="shared" si="958"/>
        <v/>
      </c>
      <c r="P491" s="34"/>
      <c r="Q491" s="34"/>
      <c r="R491" s="65"/>
      <c r="S491" s="130" t="str">
        <f t="shared" si="959"/>
        <v/>
      </c>
      <c r="T491" s="34"/>
      <c r="U491" s="34"/>
      <c r="V491" s="65"/>
      <c r="W491" s="130" t="str">
        <f t="shared" si="960"/>
        <v/>
      </c>
      <c r="X491" s="34"/>
      <c r="Y491" s="34"/>
      <c r="Z491" s="65"/>
      <c r="AA491" s="130" t="str">
        <f t="shared" si="961"/>
        <v/>
      </c>
      <c r="AB491" s="34"/>
      <c r="AC491" s="34"/>
      <c r="AD491" s="65"/>
      <c r="AE491" s="131">
        <f t="shared" si="962"/>
        <v>0</v>
      </c>
      <c r="AF491" s="132">
        <f t="shared" si="886"/>
        <v>0</v>
      </c>
      <c r="AG491" s="133">
        <f t="shared" si="963"/>
        <v>0</v>
      </c>
      <c r="AH491" s="76" t="str">
        <f t="shared" si="964"/>
        <v/>
      </c>
      <c r="AI491" s="132">
        <f> ( IF(ISNUMBER(G491), VLOOKUP(G491/$AH491,F!$A1:$B101,2,1)*G491*$H491*$I491,0)+IF(ISNUMBER(K491), VLOOKUP(K491/$AH491,F!$A1:$B101,2,1)*K491*$L491*$M491,0)+IF(ISNUMBER(O491), VLOOKUP(O491/$AH491,F!$A1:$B101,2,1)*O491*$P491*$Q491,0)+IF(ISNUMBER(S491), VLOOKUP(S491/$AH491,F!$A1:$B101,2,1)*S491*$T491*$U491,0)+IF(ISNUMBER(W491), VLOOKUP(W491/$AH491,F!$A1:$B101,2,1)*W491*$X491*$Y491,0)+IF(ISNUMBER(AA491), VLOOKUP(AA491/$AH491,F!$A1:$B101,2,1)*AA491*$AB491*$AC491,0))*IF(ISNUMBER(F491),F491,1)*IF(ISNUMBER(E491),E491,1)</f>
        <v>0</v>
      </c>
      <c r="AJ491" s="34">
        <f t="shared" si="965"/>
        <v>0</v>
      </c>
      <c r="AK491" s="134">
        <f t="array" ref="AK491">IFERROR(I491*INDEX(F!$P$21:$AB$33, MATCH(G491/$AH491, F!$O$21:$O$33,1), MATCH(E491, F!$P$20:$AB$20,1)), 0 ) +IFERROR( M491*INDEX(F!$P$21:$AB$33, MATCH(K491/$AH491, F!$O$21:$O$33,1), MATCH(E491, F!$P$20:$AB$20,1)),0) +  IFERROR( Q491*INDEX(F!$P$21:$AB$33, MATCH(O491/$AH491, F!$O$21:$O$33,1), MATCH(E491, F!$P$20:$AB$20,1)), 0) + IFERROR( U491*INDEX(F!$P$21:$AB$33, MATCH(S491/$AH491, F!$O$21:$O$33,1), MATCH(E491, F!$P$20:$AB$20,1)),0)  + IFERROR(Y491*INDEX(F!$P$21:$AB$33, MATCH(W491/$AH491, F!$O$21:$O$33,1), MATCH(E491, F!$P$20:$AB$20,1)),0)  + IFERROR( AC491*INDEX(F!$P$21:$AB$33, MATCH(AA491/$AH491, F!$O$21:$O$33,1), MATCH(E491, F!$P$20:$AB$20,1)),)</f>
        <v>0</v>
      </c>
      <c r="AL491" s="5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ht="15.75" hidden="1" customHeight="1">
      <c r="A492" s="59"/>
      <c r="B492" s="135" t="str">
        <f t="shared" ref="B492:F492" si="968">IF(B436="","",B436)</f>
        <v/>
      </c>
      <c r="C492" s="136" t="str">
        <f t="shared" si="968"/>
        <v/>
      </c>
      <c r="D492" s="137" t="str">
        <f t="shared" si="968"/>
        <v/>
      </c>
      <c r="E492" s="48" t="str">
        <f t="shared" si="968"/>
        <v/>
      </c>
      <c r="F492" s="138" t="str">
        <f t="shared" si="968"/>
        <v/>
      </c>
      <c r="G492" s="139" t="str">
        <f t="shared" si="956"/>
        <v/>
      </c>
      <c r="H492" s="140"/>
      <c r="I492" s="140"/>
      <c r="J492" s="141"/>
      <c r="K492" s="139" t="str">
        <f t="shared" si="957"/>
        <v/>
      </c>
      <c r="L492" s="140"/>
      <c r="M492" s="140"/>
      <c r="N492" s="141"/>
      <c r="O492" s="139" t="str">
        <f t="shared" si="958"/>
        <v/>
      </c>
      <c r="P492" s="140"/>
      <c r="Q492" s="140"/>
      <c r="R492" s="141"/>
      <c r="S492" s="139" t="str">
        <f t="shared" si="959"/>
        <v/>
      </c>
      <c r="T492" s="140"/>
      <c r="U492" s="140"/>
      <c r="V492" s="141"/>
      <c r="W492" s="139" t="str">
        <f t="shared" si="960"/>
        <v/>
      </c>
      <c r="X492" s="140"/>
      <c r="Y492" s="140"/>
      <c r="Z492" s="141"/>
      <c r="AA492" s="139" t="str">
        <f t="shared" si="961"/>
        <v/>
      </c>
      <c r="AB492" s="140"/>
      <c r="AC492" s="140"/>
      <c r="AD492" s="141"/>
      <c r="AE492" s="142">
        <f t="shared" si="962"/>
        <v>0</v>
      </c>
      <c r="AF492" s="143">
        <f t="shared" si="886"/>
        <v>0</v>
      </c>
      <c r="AG492" s="144">
        <f t="shared" si="963"/>
        <v>0</v>
      </c>
      <c r="AH492" s="76" t="str">
        <f t="shared" si="964"/>
        <v/>
      </c>
      <c r="AI492" s="143">
        <f> ( IF(ISNUMBER(G492), VLOOKUP(G492/$AH492,F!$A1:$B101,2,1)*G492*$H492*$I492,0)+IF(ISNUMBER(K492), VLOOKUP(K492/$AH492,F!$A1:$B101,2,1)*K492*$L492*$M492,0)+IF(ISNUMBER(O492), VLOOKUP(O492/$AH492,F!$A1:$B101,2,1)*O492*$P492*$Q492,0)+IF(ISNUMBER(S492), VLOOKUP(S492/$AH492,F!$A1:$B101,2,1)*S492*$T492*$U492,0)+IF(ISNUMBER(W492), VLOOKUP(W492/$AH492,F!$A1:$B101,2,1)*W492*$X492*$Y492,0)+IF(ISNUMBER(AA492), VLOOKUP(AA492/$AH492,F!$A1:$B101,2,1)*AA492*$AB492*$AC492,0))*IF(ISNUMBER(F492),F492,1)*IF(ISNUMBER(E492),E492,1)</f>
        <v>0</v>
      </c>
      <c r="AJ492" s="140">
        <f t="shared" si="965"/>
        <v>0</v>
      </c>
      <c r="AK492" s="145">
        <f t="array" ref="AK492">IFERROR(I492*INDEX(F!$P$21:$AB$33, MATCH(G492/$AH492, F!$O$21:$O$33,1), MATCH(E492, F!$P$20:$AB$20,1)), 0 ) +IFERROR( M492*INDEX(F!$P$21:$AB$33, MATCH(K492/$AH492, F!$O$21:$O$33,1), MATCH(E492, F!$P$20:$AB$20,1)),0) +  IFERROR( Q492*INDEX(F!$P$21:$AB$33, MATCH(O492/$AH492, F!$O$21:$O$33,1), MATCH(E492, F!$P$20:$AB$20,1)), 0) + IFERROR( U492*INDEX(F!$P$21:$AB$33, MATCH(S492/$AH492, F!$O$21:$O$33,1), MATCH(E492, F!$P$20:$AB$20,1)),0)  + IFERROR(Y492*INDEX(F!$P$21:$AB$33, MATCH(W492/$AH492, F!$O$21:$O$33,1), MATCH(E492, F!$P$20:$AB$20,1)),0)  + IFERROR( AC492*INDEX(F!$P$21:$AB$33, MATCH(AA492/$AH492, F!$O$21:$O$33,1), MATCH(E492, F!$P$20:$AB$20,1)),)</f>
        <v>0</v>
      </c>
      <c r="AL492" s="5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ht="15.75" hidden="1" customHeight="1">
      <c r="A493" s="59"/>
      <c r="B493" s="126" t="str">
        <f t="shared" ref="B493:F493" si="969">IF(B437="","",B437)</f>
        <v/>
      </c>
      <c r="C493" s="127" t="str">
        <f t="shared" si="969"/>
        <v/>
      </c>
      <c r="D493" s="128" t="str">
        <f t="shared" si="969"/>
        <v/>
      </c>
      <c r="E493" s="48" t="str">
        <f t="shared" si="969"/>
        <v/>
      </c>
      <c r="F493" s="129" t="str">
        <f t="shared" si="969"/>
        <v/>
      </c>
      <c r="G493" s="130" t="str">
        <f t="shared" si="956"/>
        <v/>
      </c>
      <c r="H493" s="34"/>
      <c r="I493" s="34"/>
      <c r="J493" s="65"/>
      <c r="K493" s="130" t="str">
        <f t="shared" si="957"/>
        <v/>
      </c>
      <c r="L493" s="34"/>
      <c r="M493" s="34"/>
      <c r="N493" s="65"/>
      <c r="O493" s="130" t="str">
        <f t="shared" si="958"/>
        <v/>
      </c>
      <c r="P493" s="34"/>
      <c r="Q493" s="34"/>
      <c r="R493" s="65"/>
      <c r="S493" s="130" t="str">
        <f t="shared" si="959"/>
        <v/>
      </c>
      <c r="T493" s="34"/>
      <c r="U493" s="34"/>
      <c r="V493" s="65"/>
      <c r="W493" s="130" t="str">
        <f t="shared" si="960"/>
        <v/>
      </c>
      <c r="X493" s="34"/>
      <c r="Y493" s="34"/>
      <c r="Z493" s="65"/>
      <c r="AA493" s="130" t="str">
        <f t="shared" si="961"/>
        <v/>
      </c>
      <c r="AB493" s="34"/>
      <c r="AC493" s="34"/>
      <c r="AD493" s="65"/>
      <c r="AE493" s="131">
        <f t="shared" si="962"/>
        <v>0</v>
      </c>
      <c r="AF493" s="132">
        <f t="shared" si="886"/>
        <v>0</v>
      </c>
      <c r="AG493" s="133">
        <f t="shared" si="963"/>
        <v>0</v>
      </c>
      <c r="AH493" s="76" t="str">
        <f t="shared" si="964"/>
        <v/>
      </c>
      <c r="AI493" s="132">
        <f> ( IF(ISNUMBER(G493), VLOOKUP(G493/$AH493,F!$A1:$B101,2,1)*G493*$H493*$I493,0)+IF(ISNUMBER(K493), VLOOKUP(K493/$AH493,F!$A1:$B101,2,1)*K493*$L493*$M493,0)+IF(ISNUMBER(O493), VLOOKUP(O493/$AH493,F!$A1:$B101,2,1)*O493*$P493*$Q493,0)+IF(ISNUMBER(S493), VLOOKUP(S493/$AH493,F!$A1:$B101,2,1)*S493*$T493*$U493,0)+IF(ISNUMBER(W493), VLOOKUP(W493/$AH493,F!$A1:$B101,2,1)*W493*$X493*$Y493,0)+IF(ISNUMBER(AA493), VLOOKUP(AA493/$AH493,F!$A1:$B101,2,1)*AA493*$AB493*$AC493,0))*IF(ISNUMBER(F493),F493,1)*IF(ISNUMBER(E493),E493,1)</f>
        <v>0</v>
      </c>
      <c r="AJ493" s="34">
        <f t="shared" si="965"/>
        <v>0</v>
      </c>
      <c r="AK493" s="134">
        <f t="array" ref="AK493">IFERROR(I493*INDEX(F!$P$21:$AB$33, MATCH(G493/$AH493, F!$O$21:$O$33,1), MATCH(E493, F!$P$20:$AB$20,1)), 0 ) +IFERROR( M493*INDEX(F!$P$21:$AB$33, MATCH(K493/$AH493, F!$O$21:$O$33,1), MATCH(E493, F!$P$20:$AB$20,1)),0) +  IFERROR( Q493*INDEX(F!$P$21:$AB$33, MATCH(O493/$AH493, F!$O$21:$O$33,1), MATCH(E493, F!$P$20:$AB$20,1)), 0) + IFERROR( U493*INDEX(F!$P$21:$AB$33, MATCH(S493/$AH493, F!$O$21:$O$33,1), MATCH(E493, F!$P$20:$AB$20,1)),0)  + IFERROR(Y493*INDEX(F!$P$21:$AB$33, MATCH(W493/$AH493, F!$O$21:$O$33,1), MATCH(E493, F!$P$20:$AB$20,1)),0)  + IFERROR( AC493*INDEX(F!$P$21:$AB$33, MATCH(AA493/$AH493, F!$O$21:$O$33,1), MATCH(E493, F!$P$20:$AB$20,1)),)</f>
        <v>0</v>
      </c>
      <c r="AL493" s="5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ht="15.75" hidden="1" customHeight="1">
      <c r="A494" s="59"/>
      <c r="B494" s="135" t="str">
        <f t="shared" ref="B494:F494" si="970">IF(B438="","",B438)</f>
        <v/>
      </c>
      <c r="C494" s="136" t="str">
        <f t="shared" si="970"/>
        <v/>
      </c>
      <c r="D494" s="137" t="str">
        <f t="shared" si="970"/>
        <v/>
      </c>
      <c r="E494" s="48" t="str">
        <f t="shared" si="970"/>
        <v/>
      </c>
      <c r="F494" s="138" t="str">
        <f t="shared" si="970"/>
        <v/>
      </c>
      <c r="G494" s="139" t="str">
        <f t="shared" si="956"/>
        <v/>
      </c>
      <c r="H494" s="140"/>
      <c r="I494" s="140"/>
      <c r="J494" s="141"/>
      <c r="K494" s="139" t="str">
        <f t="shared" si="957"/>
        <v/>
      </c>
      <c r="L494" s="140"/>
      <c r="M494" s="140"/>
      <c r="N494" s="141"/>
      <c r="O494" s="139" t="str">
        <f t="shared" si="958"/>
        <v/>
      </c>
      <c r="P494" s="140"/>
      <c r="Q494" s="140"/>
      <c r="R494" s="141"/>
      <c r="S494" s="139" t="str">
        <f t="shared" si="959"/>
        <v/>
      </c>
      <c r="T494" s="140"/>
      <c r="U494" s="140"/>
      <c r="V494" s="141"/>
      <c r="W494" s="139" t="str">
        <f t="shared" si="960"/>
        <v/>
      </c>
      <c r="X494" s="140"/>
      <c r="Y494" s="140"/>
      <c r="Z494" s="141"/>
      <c r="AA494" s="139" t="str">
        <f t="shared" si="961"/>
        <v/>
      </c>
      <c r="AB494" s="140"/>
      <c r="AC494" s="140"/>
      <c r="AD494" s="141"/>
      <c r="AE494" s="142">
        <f t="shared" si="962"/>
        <v>0</v>
      </c>
      <c r="AF494" s="143">
        <f t="shared" si="886"/>
        <v>0</v>
      </c>
      <c r="AG494" s="144">
        <f t="shared" si="963"/>
        <v>0</v>
      </c>
      <c r="AH494" s="76" t="str">
        <f t="shared" si="964"/>
        <v/>
      </c>
      <c r="AI494" s="143">
        <f> ( IF(ISNUMBER(G494), VLOOKUP(G494/$AH494,F!$A1:$B101,2,1)*G494*$H494*$I494,0)+IF(ISNUMBER(K494), VLOOKUP(K494/$AH494,F!$A1:$B101,2,1)*K494*$L494*$M494,0)+IF(ISNUMBER(O494), VLOOKUP(O494/$AH494,F!$A1:$B101,2,1)*O494*$P494*$Q494,0)+IF(ISNUMBER(S494), VLOOKUP(S494/$AH494,F!$A1:$B101,2,1)*S494*$T494*$U494,0)+IF(ISNUMBER(W494), VLOOKUP(W494/$AH494,F!$A1:$B101,2,1)*W494*$X494*$Y494,0)+IF(ISNUMBER(AA494), VLOOKUP(AA494/$AH494,F!$A1:$B101,2,1)*AA494*$AB494*$AC494,0))*IF(ISNUMBER(F494),F494,1)*IF(ISNUMBER(E494),E494,1)</f>
        <v>0</v>
      </c>
      <c r="AJ494" s="140">
        <f t="shared" si="965"/>
        <v>0</v>
      </c>
      <c r="AK494" s="145">
        <f t="array" ref="AK494">IFERROR(I494*INDEX(F!$P$21:$AB$33, MATCH(G494/$AH494, F!$O$21:$O$33,1), MATCH(E494, F!$P$20:$AB$20,1)), 0 ) +IFERROR( M494*INDEX(F!$P$21:$AB$33, MATCH(K494/$AH494, F!$O$21:$O$33,1), MATCH(E494, F!$P$20:$AB$20,1)),0) +  IFERROR( Q494*INDEX(F!$P$21:$AB$33, MATCH(O494/$AH494, F!$O$21:$O$33,1), MATCH(E494, F!$P$20:$AB$20,1)), 0) + IFERROR( U494*INDEX(F!$P$21:$AB$33, MATCH(S494/$AH494, F!$O$21:$O$33,1), MATCH(E494, F!$P$20:$AB$20,1)),0)  + IFERROR(Y494*INDEX(F!$P$21:$AB$33, MATCH(W494/$AH494, F!$O$21:$O$33,1), MATCH(E494, F!$P$20:$AB$20,1)),0)  + IFERROR( AC494*INDEX(F!$P$21:$AB$33, MATCH(AA494/$AH494, F!$O$21:$O$33,1), MATCH(E494, F!$P$20:$AB$20,1)),)</f>
        <v>0</v>
      </c>
      <c r="AL494" s="59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ht="15.75" hidden="1" customHeight="1">
      <c r="A495" s="59"/>
      <c r="B495" s="126" t="str">
        <f t="shared" ref="B495:F495" si="971">IF(B439="","",B439)</f>
        <v/>
      </c>
      <c r="C495" s="127" t="str">
        <f t="shared" si="971"/>
        <v/>
      </c>
      <c r="D495" s="128" t="str">
        <f t="shared" si="971"/>
        <v/>
      </c>
      <c r="E495" s="48" t="str">
        <f t="shared" si="971"/>
        <v/>
      </c>
      <c r="F495" s="129" t="str">
        <f t="shared" si="971"/>
        <v/>
      </c>
      <c r="G495" s="130" t="str">
        <f t="shared" si="956"/>
        <v/>
      </c>
      <c r="H495" s="34"/>
      <c r="I495" s="34"/>
      <c r="J495" s="65"/>
      <c r="K495" s="130" t="str">
        <f t="shared" si="957"/>
        <v/>
      </c>
      <c r="L495" s="34"/>
      <c r="M495" s="34"/>
      <c r="N495" s="65"/>
      <c r="O495" s="130" t="str">
        <f t="shared" si="958"/>
        <v/>
      </c>
      <c r="P495" s="34"/>
      <c r="Q495" s="34"/>
      <c r="R495" s="65"/>
      <c r="S495" s="130" t="str">
        <f t="shared" si="959"/>
        <v/>
      </c>
      <c r="T495" s="34"/>
      <c r="U495" s="34"/>
      <c r="V495" s="65"/>
      <c r="W495" s="130" t="str">
        <f t="shared" si="960"/>
        <v/>
      </c>
      <c r="X495" s="34"/>
      <c r="Y495" s="34"/>
      <c r="Z495" s="65"/>
      <c r="AA495" s="130" t="str">
        <f t="shared" si="961"/>
        <v/>
      </c>
      <c r="AB495" s="34"/>
      <c r="AC495" s="34"/>
      <c r="AD495" s="65"/>
      <c r="AE495" s="131">
        <f t="shared" si="962"/>
        <v>0</v>
      </c>
      <c r="AF495" s="132">
        <f t="shared" si="886"/>
        <v>0</v>
      </c>
      <c r="AG495" s="133">
        <f t="shared" si="963"/>
        <v>0</v>
      </c>
      <c r="AH495" s="76" t="str">
        <f t="shared" si="964"/>
        <v/>
      </c>
      <c r="AI495" s="132">
        <f> ( IF(ISNUMBER(G495), VLOOKUP(G495/$AH495,F!$A1:$B101,2,1)*G495*$H495*$I495,0)+IF(ISNUMBER(K495), VLOOKUP(K495/$AH495,F!$A1:$B101,2,1)*K495*$L495*$M495,0)+IF(ISNUMBER(O495), VLOOKUP(O495/$AH495,F!$A1:$B101,2,1)*O495*$P495*$Q495,0)+IF(ISNUMBER(S495), VLOOKUP(S495/$AH495,F!$A1:$B101,2,1)*S495*$T495*$U495,0)+IF(ISNUMBER(W495), VLOOKUP(W495/$AH495,F!$A1:$B101,2,1)*W495*$X495*$Y495,0)+IF(ISNUMBER(AA495), VLOOKUP(AA495/$AH495,F!$A1:$B101,2,1)*AA495*$AB495*$AC495,0))*IF(ISNUMBER(F495),F495,1)*IF(ISNUMBER(E495),E495,1)</f>
        <v>0</v>
      </c>
      <c r="AJ495" s="34">
        <f t="shared" si="965"/>
        <v>0</v>
      </c>
      <c r="AK495" s="134">
        <f t="array" ref="AK495">IFERROR(I495*INDEX(F!$P$21:$AB$33, MATCH(G495/$AH495, F!$O$21:$O$33,1), MATCH(E495, F!$P$20:$AB$20,1)), 0 ) +IFERROR( M495*INDEX(F!$P$21:$AB$33, MATCH(K495/$AH495, F!$O$21:$O$33,1), MATCH(E495, F!$P$20:$AB$20,1)),0) +  IFERROR( Q495*INDEX(F!$P$21:$AB$33, MATCH(O495/$AH495, F!$O$21:$O$33,1), MATCH(E495, F!$P$20:$AB$20,1)), 0) + IFERROR( U495*INDEX(F!$P$21:$AB$33, MATCH(S495/$AH495, F!$O$21:$O$33,1), MATCH(E495, F!$P$20:$AB$20,1)),0)  + IFERROR(Y495*INDEX(F!$P$21:$AB$33, MATCH(W495/$AH495, F!$O$21:$O$33,1), MATCH(E495, F!$P$20:$AB$20,1)),0)  + IFERROR( AC495*INDEX(F!$P$21:$AB$33, MATCH(AA495/$AH495, F!$O$21:$O$33,1), MATCH(E495, F!$P$20:$AB$20,1)),)</f>
        <v>0</v>
      </c>
      <c r="AL495" s="59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ht="15.75" hidden="1" customHeight="1">
      <c r="A496" s="98"/>
      <c r="B496" s="150"/>
      <c r="C496" s="151"/>
      <c r="D496" s="152"/>
      <c r="E496" s="102">
        <f>ROUND(IFERROR(SUMPRODUCT(AJ488:AJ495,E488:E495)/AJ496,0),3)</f>
        <v>0</v>
      </c>
      <c r="F496" s="153"/>
      <c r="G496" s="154"/>
      <c r="H496" s="155"/>
      <c r="I496" s="155"/>
      <c r="J496" s="156"/>
      <c r="K496" s="154"/>
      <c r="L496" s="155"/>
      <c r="M496" s="155"/>
      <c r="N496" s="156"/>
      <c r="O496" s="154"/>
      <c r="P496" s="155"/>
      <c r="Q496" s="155"/>
      <c r="R496" s="156"/>
      <c r="S496" s="154"/>
      <c r="T496" s="155"/>
      <c r="U496" s="155"/>
      <c r="V496" s="156"/>
      <c r="W496" s="154"/>
      <c r="X496" s="155"/>
      <c r="Y496" s="155"/>
      <c r="Z496" s="156"/>
      <c r="AA496" s="154"/>
      <c r="AB496" s="155"/>
      <c r="AC496" s="155"/>
      <c r="AD496" s="156"/>
      <c r="AE496" s="107">
        <f>SUM(AE488:AE495)</f>
        <v>0</v>
      </c>
      <c r="AF496" s="108">
        <f t="shared" si="886"/>
        <v>0</v>
      </c>
      <c r="AG496" s="109">
        <f>IFERROR(  SUMPRODUCT(AG488:AG495,AJ488:AJ495)/AJ496,0)</f>
        <v>0</v>
      </c>
      <c r="AH496" s="157"/>
      <c r="AI496" s="111">
        <f t="shared" ref="AI496:AJ496" si="972">SUM(AI488:AI495)</f>
        <v>0</v>
      </c>
      <c r="AJ496" s="111">
        <f t="shared" si="972"/>
        <v>0</v>
      </c>
      <c r="AK496" s="112">
        <f>IF(SUM(AK488:AK495)=0,TIME(,0,),TIME(,SUM(AK488:AK495)+F!$V$37,))</f>
        <v>0</v>
      </c>
      <c r="AL496" s="98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ht="15.75" hidden="1" customHeight="1">
      <c r="A497" s="158">
        <f>A498</f>
        <v>43843</v>
      </c>
      <c r="B497" s="159" t="str">
        <f t="shared" ref="B497:F497" si="973">IF(B441="","",B441)</f>
        <v/>
      </c>
      <c r="C497" s="160" t="str">
        <f t="shared" si="973"/>
        <v/>
      </c>
      <c r="D497" s="161" t="str">
        <f t="shared" si="973"/>
        <v/>
      </c>
      <c r="E497" s="29" t="str">
        <f t="shared" si="973"/>
        <v/>
      </c>
      <c r="F497" s="162" t="str">
        <f t="shared" si="973"/>
        <v/>
      </c>
      <c r="G497" s="163" t="str">
        <f t="shared" ref="G497:G504" si="975">IF(J497&lt;&gt;0, IFERROR(IF( $F497=2,  MROUND($AH497*J497,1),    IF( OR($F497="",$F497=1),   MROUND($AH497*J497,2.5),  MROUND($AH497*J497, 0.1))), "" ), "")</f>
        <v/>
      </c>
      <c r="H497" s="164"/>
      <c r="I497" s="164"/>
      <c r="J497" s="165"/>
      <c r="K497" s="163" t="str">
        <f t="shared" ref="K497:K504" si="976">IF(N497&lt;&gt;0, IFERROR(IF( $F497=2,  MROUND($AH497*N497,1),    IF( OR($F497="",$F497=1),   MROUND($AH497*N497,2.5),  MROUND($AH497*N497, 0.1))), "" ), "")</f>
        <v/>
      </c>
      <c r="L497" s="164"/>
      <c r="M497" s="164"/>
      <c r="N497" s="165"/>
      <c r="O497" s="163" t="str">
        <f t="shared" ref="O497:O504" si="977">IF(R497&lt;&gt;0, IFERROR(IF( $F497=2,  MROUND($AH497*R497,1),    IF( OR($F497="",$F497=1),   MROUND($AH497*R497,2.5),  MROUND($AH497*R497, 0.1))), "" ), "")</f>
        <v/>
      </c>
      <c r="P497" s="164"/>
      <c r="Q497" s="164"/>
      <c r="R497" s="165"/>
      <c r="S497" s="163" t="str">
        <f t="shared" ref="S497:S504" si="978">IF(V497&lt;&gt;0, IFERROR(IF( $F497=2,  MROUND($AH497*V497,1),    IF( OR($F497="",$F497=1),   MROUND($AH497*V497,2.5),  MROUND($AH497*V497, 0.1))), "" ), "")</f>
        <v/>
      </c>
      <c r="T497" s="164"/>
      <c r="U497" s="164"/>
      <c r="V497" s="165"/>
      <c r="W497" s="163" t="str">
        <f t="shared" ref="W497:W504" si="979">IF(Z497&lt;&gt;0, IFERROR(IF( $F497=2,  MROUND($AH497*Z497,1),    IF( OR($F497="",$F497=1),   MROUND($AH497*Z497,2.5),  MROUND($AH497*Z497, 0.1))), "" ), "")</f>
        <v/>
      </c>
      <c r="X497" s="164"/>
      <c r="Y497" s="164"/>
      <c r="Z497" s="165"/>
      <c r="AA497" s="163" t="str">
        <f t="shared" ref="AA497:AA504" si="980">IF(AD497&lt;&gt;0, IFERROR(IF( $F497=2,  MROUND($AH497*AD497,1),    IF( OR($F497="",$F497=1),   MROUND($AH497*AD497,2.5),  MROUND($AH497*AD497, 0.1))), "" ), "")</f>
        <v/>
      </c>
      <c r="AB497" s="164"/>
      <c r="AC497" s="164"/>
      <c r="AD497" s="165"/>
      <c r="AE497" s="166">
        <f t="shared" ref="AE497:AE504" si="981">(IF(ISNUMBER(G497),G497,0)*H497*I497+IF(ISNUMBER(K497),K497,1)*L497*M497+IF(ISNUMBER(O497),O497,1)*P497*Q497+IF(ISNUMBER(S497),S497,1)*T497*U497+IF(ISNUMBER(W497),W497,1)*X497*Y497+IF(ISNUMBER(AA497),AA497,1)*AB497*AC497)*IF(ISNUMBER(F497),F497,1)</f>
        <v>0</v>
      </c>
      <c r="AF497" s="167">
        <f t="shared" si="886"/>
        <v>0</v>
      </c>
      <c r="AG497" s="168">
        <f t="shared" ref="AG497:AG504" si="982">IFERROR((AF497/(AH497*IF(ISNUMBER(F497),F497,1))),0)</f>
        <v>0</v>
      </c>
      <c r="AH497" s="169" t="str">
        <f t="shared" ref="AH497:AH504" si="983">IF(ISNUMBER(AH441), AH441+(AH441*$AH$450),"")</f>
        <v/>
      </c>
      <c r="AI497" s="167">
        <f> ( IF(ISNUMBER(G497), VLOOKUP(G497/$AH497,F!$A1:$B101,2,1)*G497*$H497*$I497,0)+IF(ISNUMBER(K497), VLOOKUP(K497/$AH497,F!$A1:$B101,2,1)*K497*$L497*$M497,0)+IF(ISNUMBER(O497), VLOOKUP(O497/$AH497,F!$A1:$B101,2,1)*O497*$P497*$Q497,0)+IF(ISNUMBER(S497), VLOOKUP(S497/$AH497,F!$A1:$B101,2,1)*S497*$T497*$U497,0)+IF(ISNUMBER(W497), VLOOKUP(W497/$AH497,F!$A1:$B101,2,1)*W497*$X497*$Y497,0)+IF(ISNUMBER(AA497), VLOOKUP(AA497/$AH497,F!$A1:$B101,2,1)*AA497*$AB497*$AC497,0))*IF(ISNUMBER(F497),F497,1)*IF(ISNUMBER(E497),E497,1)</f>
        <v>0</v>
      </c>
      <c r="AJ497" s="164">
        <f t="shared" ref="AJ497:AJ504" si="984">H497*I497+L497*M497+P497*Q497+T497*U497+X497*Y497+AB497*AC497</f>
        <v>0</v>
      </c>
      <c r="AK497" s="170">
        <f t="array" ref="AK497">IFERROR(I497*INDEX(F!$P$21:$AB$33, MATCH(G497/$AH497, F!$O$21:$O$33,1), MATCH(E497, F!$P$20:$AB$20,1)), 0 ) +IFERROR( M497*INDEX(F!$P$21:$AB$33, MATCH(K497/$AH497, F!$O$21:$O$33,1), MATCH(E497, F!$P$20:$AB$20,1)),0) +  IFERROR( Q497*INDEX(F!$P$21:$AB$33, MATCH(O497/$AH497, F!$O$21:$O$33,1), MATCH(E497, F!$P$20:$AB$20,1)), 0) + IFERROR( U497*INDEX(F!$P$21:$AB$33, MATCH(S497/$AH497, F!$O$21:$O$33,1), MATCH(E497, F!$P$20:$AB$20,1)),0)  + IFERROR(Y497*INDEX(F!$P$21:$AB$33, MATCH(W497/$AH497, F!$O$21:$O$33,1), MATCH(E497, F!$P$20:$AB$20,1)),0)  + IFERROR( AC497*INDEX(F!$P$21:$AB$33, MATCH(AA497/$AH497, F!$O$21:$O$33,1), MATCH(E497, F!$P$20:$AB$20,1)),)</f>
        <v>0</v>
      </c>
      <c r="AL497" s="42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ht="15.75" hidden="1" customHeight="1">
      <c r="A498" s="44">
        <f>A442+A394</f>
        <v>43843</v>
      </c>
      <c r="B498" s="135" t="str">
        <f t="shared" ref="B498:F498" si="974">IF(B442="","",B442)</f>
        <v/>
      </c>
      <c r="C498" s="136" t="str">
        <f t="shared" si="974"/>
        <v/>
      </c>
      <c r="D498" s="137" t="str">
        <f t="shared" si="974"/>
        <v/>
      </c>
      <c r="E498" s="48" t="str">
        <f t="shared" si="974"/>
        <v/>
      </c>
      <c r="F498" s="138" t="str">
        <f t="shared" si="974"/>
        <v/>
      </c>
      <c r="G498" s="139" t="str">
        <f t="shared" si="975"/>
        <v/>
      </c>
      <c r="H498" s="140"/>
      <c r="I498" s="140"/>
      <c r="J498" s="141"/>
      <c r="K498" s="139" t="str">
        <f t="shared" si="976"/>
        <v/>
      </c>
      <c r="L498" s="140"/>
      <c r="M498" s="140"/>
      <c r="N498" s="141"/>
      <c r="O498" s="139" t="str">
        <f t="shared" si="977"/>
        <v/>
      </c>
      <c r="P498" s="140"/>
      <c r="Q498" s="140"/>
      <c r="R498" s="141"/>
      <c r="S498" s="139" t="str">
        <f t="shared" si="978"/>
        <v/>
      </c>
      <c r="T498" s="140"/>
      <c r="U498" s="140"/>
      <c r="V498" s="141"/>
      <c r="W498" s="139" t="str">
        <f t="shared" si="979"/>
        <v/>
      </c>
      <c r="X498" s="140"/>
      <c r="Y498" s="140"/>
      <c r="Z498" s="141"/>
      <c r="AA498" s="139" t="str">
        <f t="shared" si="980"/>
        <v/>
      </c>
      <c r="AB498" s="140"/>
      <c r="AC498" s="140"/>
      <c r="AD498" s="141"/>
      <c r="AE498" s="142">
        <f t="shared" si="981"/>
        <v>0</v>
      </c>
      <c r="AF498" s="143">
        <f t="shared" si="886"/>
        <v>0</v>
      </c>
      <c r="AG498" s="144">
        <f t="shared" si="982"/>
        <v>0</v>
      </c>
      <c r="AH498" s="76" t="str">
        <f t="shared" si="983"/>
        <v/>
      </c>
      <c r="AI498" s="143">
        <f> ( IF(ISNUMBER(G498), VLOOKUP(G498/$AH498,F!$A1:$B101,2,1)*G498*$H498*$I498,0)+IF(ISNUMBER(K498), VLOOKUP(K498/$AH498,F!$A1:$B101,2,1)*K498*$L498*$M498,0)+IF(ISNUMBER(O498), VLOOKUP(O498/$AH498,F!$A1:$B101,2,1)*O498*$P498*$Q498,0)+IF(ISNUMBER(S498), VLOOKUP(S498/$AH498,F!$A1:$B101,2,1)*S498*$T498*$U498,0)+IF(ISNUMBER(W498), VLOOKUP(W498/$AH498,F!$A1:$B101,2,1)*W498*$X498*$Y498,0)+IF(ISNUMBER(AA498), VLOOKUP(AA498/$AH498,F!$A1:$B101,2,1)*AA498*$AB498*$AC498,0))*IF(ISNUMBER(F498),F498,1)*IF(ISNUMBER(E498),E498,1)</f>
        <v>0</v>
      </c>
      <c r="AJ498" s="140">
        <f t="shared" si="984"/>
        <v>0</v>
      </c>
      <c r="AK498" s="145">
        <f t="array" ref="AK498">IFERROR(I498*INDEX(F!$P$21:$AB$33, MATCH(G498/$AH498, F!$O$21:$O$33,1), MATCH(E498, F!$P$20:$AB$20,1)), 0 ) +IFERROR( M498*INDEX(F!$P$21:$AB$33, MATCH(K498/$AH498, F!$O$21:$O$33,1), MATCH(E498, F!$P$20:$AB$20,1)),0) +  IFERROR( Q498*INDEX(F!$P$21:$AB$33, MATCH(O498/$AH498, F!$O$21:$O$33,1), MATCH(E498, F!$P$20:$AB$20,1)), 0) + IFERROR( U498*INDEX(F!$P$21:$AB$33, MATCH(S498/$AH498, F!$O$21:$O$33,1), MATCH(E498, F!$P$20:$AB$20,1)),0)  + IFERROR(Y498*INDEX(F!$P$21:$AB$33, MATCH(W498/$AH498, F!$O$21:$O$33,1), MATCH(E498, F!$P$20:$AB$20,1)),0)  + IFERROR( AC498*INDEX(F!$P$21:$AB$33, MATCH(AA498/$AH498, F!$O$21:$O$33,1), MATCH(E498, F!$P$20:$AB$20,1)),)</f>
        <v>0</v>
      </c>
      <c r="AL498" s="59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ht="15.75" hidden="1" customHeight="1">
      <c r="A499" s="59"/>
      <c r="B499" s="173" t="str">
        <f t="shared" ref="B499:F499" si="985">IF(B443="","",B443)</f>
        <v/>
      </c>
      <c r="C499" s="174" t="str">
        <f t="shared" si="985"/>
        <v/>
      </c>
      <c r="D499" s="175" t="str">
        <f t="shared" si="985"/>
        <v/>
      </c>
      <c r="E499" s="48" t="str">
        <f t="shared" si="985"/>
        <v/>
      </c>
      <c r="F499" s="176" t="str">
        <f t="shared" si="985"/>
        <v/>
      </c>
      <c r="G499" s="177" t="str">
        <f t="shared" si="975"/>
        <v/>
      </c>
      <c r="H499" s="178"/>
      <c r="I499" s="178"/>
      <c r="J499" s="179"/>
      <c r="K499" s="177" t="str">
        <f t="shared" si="976"/>
        <v/>
      </c>
      <c r="L499" s="178"/>
      <c r="M499" s="178"/>
      <c r="N499" s="179"/>
      <c r="O499" s="177" t="str">
        <f t="shared" si="977"/>
        <v/>
      </c>
      <c r="P499" s="178"/>
      <c r="Q499" s="178"/>
      <c r="R499" s="179"/>
      <c r="S499" s="177" t="str">
        <f t="shared" si="978"/>
        <v/>
      </c>
      <c r="T499" s="178"/>
      <c r="U499" s="178"/>
      <c r="V499" s="179"/>
      <c r="W499" s="177" t="str">
        <f t="shared" si="979"/>
        <v/>
      </c>
      <c r="X499" s="178"/>
      <c r="Y499" s="178"/>
      <c r="Z499" s="179"/>
      <c r="AA499" s="177" t="str">
        <f t="shared" si="980"/>
        <v/>
      </c>
      <c r="AB499" s="178"/>
      <c r="AC499" s="178"/>
      <c r="AD499" s="179"/>
      <c r="AE499" s="180">
        <f t="shared" si="981"/>
        <v>0</v>
      </c>
      <c r="AF499" s="181">
        <f t="shared" si="886"/>
        <v>0</v>
      </c>
      <c r="AG499" s="182">
        <f t="shared" si="982"/>
        <v>0</v>
      </c>
      <c r="AH499" s="76" t="str">
        <f t="shared" si="983"/>
        <v/>
      </c>
      <c r="AI499" s="181">
        <f> ( IF(ISNUMBER(G499), VLOOKUP(G499/$AH499,F!$A1:$B101,2,1)*G499*$H499*$I499,0)+IF(ISNUMBER(K499), VLOOKUP(K499/$AH499,F!$A1:$B101,2,1)*K499*$L499*$M499,0)+IF(ISNUMBER(O499), VLOOKUP(O499/$AH499,F!$A1:$B101,2,1)*O499*$P499*$Q499,0)+IF(ISNUMBER(S499), VLOOKUP(S499/$AH499,F!$A1:$B101,2,1)*S499*$T499*$U499,0)+IF(ISNUMBER(W499), VLOOKUP(W499/$AH499,F!$A1:$B101,2,1)*W499*$X499*$Y499,0)+IF(ISNUMBER(AA499), VLOOKUP(AA499/$AH499,F!$A1:$B101,2,1)*AA499*$AB499*$AC499,0))*IF(ISNUMBER(F499),F499,1)*IF(ISNUMBER(E499),E499,1)</f>
        <v>0</v>
      </c>
      <c r="AJ499" s="178">
        <f t="shared" si="984"/>
        <v>0</v>
      </c>
      <c r="AK499" s="183">
        <f t="array" ref="AK499">IFERROR(I499*INDEX(F!$P$21:$AB$33, MATCH(G499/$AH499, F!$O$21:$O$33,1), MATCH(E499, F!$P$20:$AB$20,1)), 0 ) +IFERROR( M499*INDEX(F!$P$21:$AB$33, MATCH(K499/$AH499, F!$O$21:$O$33,1), MATCH(E499, F!$P$20:$AB$20,1)),0) +  IFERROR( Q499*INDEX(F!$P$21:$AB$33, MATCH(O499/$AH499, F!$O$21:$O$33,1), MATCH(E499, F!$P$20:$AB$20,1)), 0) + IFERROR( U499*INDEX(F!$P$21:$AB$33, MATCH(S499/$AH499, F!$O$21:$O$33,1), MATCH(E499, F!$P$20:$AB$20,1)),0)  + IFERROR(Y499*INDEX(F!$P$21:$AB$33, MATCH(W499/$AH499, F!$O$21:$O$33,1), MATCH(E499, F!$P$20:$AB$20,1)),0)  + IFERROR( AC499*INDEX(F!$P$21:$AB$33, MATCH(AA499/$AH499, F!$O$21:$O$33,1), MATCH(E499, F!$P$20:$AB$20,1)),)</f>
        <v>0</v>
      </c>
      <c r="AL499" s="59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ht="15.75" hidden="1" customHeight="1">
      <c r="A500" s="59"/>
      <c r="B500" s="135" t="str">
        <f t="shared" ref="B500:F500" si="986">IF(B444="","",B444)</f>
        <v/>
      </c>
      <c r="C500" s="136" t="str">
        <f t="shared" si="986"/>
        <v/>
      </c>
      <c r="D500" s="137" t="str">
        <f t="shared" si="986"/>
        <v/>
      </c>
      <c r="E500" s="48" t="str">
        <f t="shared" si="986"/>
        <v/>
      </c>
      <c r="F500" s="138" t="str">
        <f t="shared" si="986"/>
        <v/>
      </c>
      <c r="G500" s="139" t="str">
        <f t="shared" si="975"/>
        <v/>
      </c>
      <c r="H500" s="140"/>
      <c r="I500" s="140"/>
      <c r="J500" s="141"/>
      <c r="K500" s="139" t="str">
        <f t="shared" si="976"/>
        <v/>
      </c>
      <c r="L500" s="140"/>
      <c r="M500" s="140"/>
      <c r="N500" s="141"/>
      <c r="O500" s="139" t="str">
        <f t="shared" si="977"/>
        <v/>
      </c>
      <c r="P500" s="140"/>
      <c r="Q500" s="140"/>
      <c r="R500" s="141"/>
      <c r="S500" s="139" t="str">
        <f t="shared" si="978"/>
        <v/>
      </c>
      <c r="T500" s="140"/>
      <c r="U500" s="140"/>
      <c r="V500" s="141"/>
      <c r="W500" s="139" t="str">
        <f t="shared" si="979"/>
        <v/>
      </c>
      <c r="X500" s="140"/>
      <c r="Y500" s="140"/>
      <c r="Z500" s="141"/>
      <c r="AA500" s="139" t="str">
        <f t="shared" si="980"/>
        <v/>
      </c>
      <c r="AB500" s="140"/>
      <c r="AC500" s="140"/>
      <c r="AD500" s="141"/>
      <c r="AE500" s="142">
        <f t="shared" si="981"/>
        <v>0</v>
      </c>
      <c r="AF500" s="143">
        <f t="shared" si="886"/>
        <v>0</v>
      </c>
      <c r="AG500" s="144">
        <f t="shared" si="982"/>
        <v>0</v>
      </c>
      <c r="AH500" s="76" t="str">
        <f t="shared" si="983"/>
        <v/>
      </c>
      <c r="AI500" s="143">
        <f> ( IF(ISNUMBER(G500), VLOOKUP(G500/$AH500,F!$A1:$B101,2,1)*G500*$H500*$I500,0)+IF(ISNUMBER(K500), VLOOKUP(K500/$AH500,F!$A1:$B101,2,1)*K500*$L500*$M500,0)+IF(ISNUMBER(O500), VLOOKUP(O500/$AH500,F!$A1:$B101,2,1)*O500*$P500*$Q500,0)+IF(ISNUMBER(S500), VLOOKUP(S500/$AH500,F!$A1:$B101,2,1)*S500*$T500*$U500,0)+IF(ISNUMBER(W500), VLOOKUP(W500/$AH500,F!$A1:$B101,2,1)*W500*$X500*$Y500,0)+IF(ISNUMBER(AA500), VLOOKUP(AA500/$AH500,F!$A1:$B101,2,1)*AA500*$AB500*$AC500,0))*IF(ISNUMBER(F500),F500,1)*IF(ISNUMBER(E500),E500,1)</f>
        <v>0</v>
      </c>
      <c r="AJ500" s="140">
        <f t="shared" si="984"/>
        <v>0</v>
      </c>
      <c r="AK500" s="145">
        <f t="array" ref="AK500">IFERROR(I500*INDEX(F!$P$21:$AB$33, MATCH(G500/$AH500, F!$O$21:$O$33,1), MATCH(E500, F!$P$20:$AB$20,1)), 0 ) +IFERROR( M500*INDEX(F!$P$21:$AB$33, MATCH(K500/$AH500, F!$O$21:$O$33,1), MATCH(E500, F!$P$20:$AB$20,1)),0) +  IFERROR( Q500*INDEX(F!$P$21:$AB$33, MATCH(O500/$AH500, F!$O$21:$O$33,1), MATCH(E500, F!$P$20:$AB$20,1)), 0) + IFERROR( U500*INDEX(F!$P$21:$AB$33, MATCH(S500/$AH500, F!$O$21:$O$33,1), MATCH(E500, F!$P$20:$AB$20,1)),0)  + IFERROR(Y500*INDEX(F!$P$21:$AB$33, MATCH(W500/$AH500, F!$O$21:$O$33,1), MATCH(E500, F!$P$20:$AB$20,1)),0)  + IFERROR( AC500*INDEX(F!$P$21:$AB$33, MATCH(AA500/$AH500, F!$O$21:$O$33,1), MATCH(E500, F!$P$20:$AB$20,1)),)</f>
        <v>0</v>
      </c>
      <c r="AL500" s="59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ht="15.75" hidden="1" customHeight="1">
      <c r="A501" s="59"/>
      <c r="B501" s="173" t="str">
        <f t="shared" ref="B501:F501" si="987">IF(B445="","",B445)</f>
        <v/>
      </c>
      <c r="C501" s="174" t="str">
        <f t="shared" si="987"/>
        <v/>
      </c>
      <c r="D501" s="175" t="str">
        <f t="shared" si="987"/>
        <v/>
      </c>
      <c r="E501" s="48" t="str">
        <f t="shared" si="987"/>
        <v/>
      </c>
      <c r="F501" s="176" t="str">
        <f t="shared" si="987"/>
        <v/>
      </c>
      <c r="G501" s="177" t="str">
        <f t="shared" si="975"/>
        <v/>
      </c>
      <c r="H501" s="178"/>
      <c r="I501" s="178"/>
      <c r="J501" s="179"/>
      <c r="K501" s="177" t="str">
        <f t="shared" si="976"/>
        <v/>
      </c>
      <c r="L501" s="178"/>
      <c r="M501" s="178"/>
      <c r="N501" s="179"/>
      <c r="O501" s="177" t="str">
        <f t="shared" si="977"/>
        <v/>
      </c>
      <c r="P501" s="178"/>
      <c r="Q501" s="178"/>
      <c r="R501" s="179"/>
      <c r="S501" s="177" t="str">
        <f t="shared" si="978"/>
        <v/>
      </c>
      <c r="T501" s="178"/>
      <c r="U501" s="178"/>
      <c r="V501" s="179"/>
      <c r="W501" s="177" t="str">
        <f t="shared" si="979"/>
        <v/>
      </c>
      <c r="X501" s="178"/>
      <c r="Y501" s="178"/>
      <c r="Z501" s="179"/>
      <c r="AA501" s="177" t="str">
        <f t="shared" si="980"/>
        <v/>
      </c>
      <c r="AB501" s="178"/>
      <c r="AC501" s="178"/>
      <c r="AD501" s="179"/>
      <c r="AE501" s="180">
        <f t="shared" si="981"/>
        <v>0</v>
      </c>
      <c r="AF501" s="181">
        <f t="shared" si="886"/>
        <v>0</v>
      </c>
      <c r="AG501" s="182">
        <f t="shared" si="982"/>
        <v>0</v>
      </c>
      <c r="AH501" s="76" t="str">
        <f t="shared" si="983"/>
        <v/>
      </c>
      <c r="AI501" s="181">
        <f> ( IF(ISNUMBER(G501), VLOOKUP(G501/$AH501,F!$A1:$B101,2,1)*G501*$H501*$I501,0)+IF(ISNUMBER(K501), VLOOKUP(K501/$AH501,F!$A1:$B101,2,1)*K501*$L501*$M501,0)+IF(ISNUMBER(O501), VLOOKUP(O501/$AH501,F!$A1:$B101,2,1)*O501*$P501*$Q501,0)+IF(ISNUMBER(S501), VLOOKUP(S501/$AH501,F!$A1:$B101,2,1)*S501*$T501*$U501,0)+IF(ISNUMBER(W501), VLOOKUP(W501/$AH501,F!$A1:$B101,2,1)*W501*$X501*$Y501,0)+IF(ISNUMBER(AA501), VLOOKUP(AA501/$AH501,F!$A1:$B101,2,1)*AA501*$AB501*$AC501,0))*IF(ISNUMBER(F501),F501,1)*IF(ISNUMBER(E501),E501,1)</f>
        <v>0</v>
      </c>
      <c r="AJ501" s="178">
        <f t="shared" si="984"/>
        <v>0</v>
      </c>
      <c r="AK501" s="183">
        <f t="array" ref="AK501">IFERROR(I501*INDEX(F!$P$21:$AB$33, MATCH(G501/$AH501, F!$O$21:$O$33,1), MATCH(E501, F!$P$20:$AB$20,1)), 0 ) +IFERROR( M501*INDEX(F!$P$21:$AB$33, MATCH(K501/$AH501, F!$O$21:$O$33,1), MATCH(E501, F!$P$20:$AB$20,1)),0) +  IFERROR( Q501*INDEX(F!$P$21:$AB$33, MATCH(O501/$AH501, F!$O$21:$O$33,1), MATCH(E501, F!$P$20:$AB$20,1)), 0) + IFERROR( U501*INDEX(F!$P$21:$AB$33, MATCH(S501/$AH501, F!$O$21:$O$33,1), MATCH(E501, F!$P$20:$AB$20,1)),0)  + IFERROR(Y501*INDEX(F!$P$21:$AB$33, MATCH(W501/$AH501, F!$O$21:$O$33,1), MATCH(E501, F!$P$20:$AB$20,1)),0)  + IFERROR( AC501*INDEX(F!$P$21:$AB$33, MATCH(AA501/$AH501, F!$O$21:$O$33,1), MATCH(E501, F!$P$20:$AB$20,1)),)</f>
        <v>0</v>
      </c>
      <c r="AL501" s="59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ht="15.75" hidden="1" customHeight="1">
      <c r="A502" s="59"/>
      <c r="B502" s="135" t="str">
        <f t="shared" ref="B502:F502" si="988">IF(B446="","",B446)</f>
        <v/>
      </c>
      <c r="C502" s="136" t="str">
        <f t="shared" si="988"/>
        <v/>
      </c>
      <c r="D502" s="137" t="str">
        <f t="shared" si="988"/>
        <v/>
      </c>
      <c r="E502" s="48" t="str">
        <f t="shared" si="988"/>
        <v/>
      </c>
      <c r="F502" s="138" t="str">
        <f t="shared" si="988"/>
        <v/>
      </c>
      <c r="G502" s="139" t="str">
        <f t="shared" si="975"/>
        <v/>
      </c>
      <c r="H502" s="140"/>
      <c r="I502" s="140"/>
      <c r="J502" s="141"/>
      <c r="K502" s="139" t="str">
        <f t="shared" si="976"/>
        <v/>
      </c>
      <c r="L502" s="140"/>
      <c r="M502" s="140"/>
      <c r="N502" s="141"/>
      <c r="O502" s="139" t="str">
        <f t="shared" si="977"/>
        <v/>
      </c>
      <c r="P502" s="140"/>
      <c r="Q502" s="140"/>
      <c r="R502" s="141"/>
      <c r="S502" s="139" t="str">
        <f t="shared" si="978"/>
        <v/>
      </c>
      <c r="T502" s="140"/>
      <c r="U502" s="140"/>
      <c r="V502" s="141"/>
      <c r="W502" s="139" t="str">
        <f t="shared" si="979"/>
        <v/>
      </c>
      <c r="X502" s="140"/>
      <c r="Y502" s="140"/>
      <c r="Z502" s="141"/>
      <c r="AA502" s="139" t="str">
        <f t="shared" si="980"/>
        <v/>
      </c>
      <c r="AB502" s="140"/>
      <c r="AC502" s="140"/>
      <c r="AD502" s="141"/>
      <c r="AE502" s="142">
        <f t="shared" si="981"/>
        <v>0</v>
      </c>
      <c r="AF502" s="143">
        <f t="shared" si="886"/>
        <v>0</v>
      </c>
      <c r="AG502" s="144">
        <f t="shared" si="982"/>
        <v>0</v>
      </c>
      <c r="AH502" s="76" t="str">
        <f t="shared" si="983"/>
        <v/>
      </c>
      <c r="AI502" s="143">
        <f> ( IF(ISNUMBER(G502), VLOOKUP(G502/$AH502,F!$A1:$B101,2,1)*G502*$H502*$I502,0)+IF(ISNUMBER(K502), VLOOKUP(K502/$AH502,F!$A1:$B101,2,1)*K502*$L502*$M502,0)+IF(ISNUMBER(O502), VLOOKUP(O502/$AH502,F!$A1:$B101,2,1)*O502*$P502*$Q502,0)+IF(ISNUMBER(S502), VLOOKUP(S502/$AH502,F!$A1:$B101,2,1)*S502*$T502*$U502,0)+IF(ISNUMBER(W502), VLOOKUP(W502/$AH502,F!$A1:$B101,2,1)*W502*$X502*$Y502,0)+IF(ISNUMBER(AA502), VLOOKUP(AA502/$AH502,F!$A1:$B101,2,1)*AA502*$AB502*$AC502,0))*IF(ISNUMBER(F502),F502,1)*IF(ISNUMBER(E502),E502,1)</f>
        <v>0</v>
      </c>
      <c r="AJ502" s="140">
        <f t="shared" si="984"/>
        <v>0</v>
      </c>
      <c r="AK502" s="145">
        <f t="array" ref="AK502">IFERROR(I502*INDEX(F!$P$21:$AB$33, MATCH(G502/$AH502, F!$O$21:$O$33,1), MATCH(E502, F!$P$20:$AB$20,1)), 0 ) +IFERROR( M502*INDEX(F!$P$21:$AB$33, MATCH(K502/$AH502, F!$O$21:$O$33,1), MATCH(E502, F!$P$20:$AB$20,1)),0) +  IFERROR( Q502*INDEX(F!$P$21:$AB$33, MATCH(O502/$AH502, F!$O$21:$O$33,1), MATCH(E502, F!$P$20:$AB$20,1)), 0) + IFERROR( U502*INDEX(F!$P$21:$AB$33, MATCH(S502/$AH502, F!$O$21:$O$33,1), MATCH(E502, F!$P$20:$AB$20,1)),0)  + IFERROR(Y502*INDEX(F!$P$21:$AB$33, MATCH(W502/$AH502, F!$O$21:$O$33,1), MATCH(E502, F!$P$20:$AB$20,1)),0)  + IFERROR( AC502*INDEX(F!$P$21:$AB$33, MATCH(AA502/$AH502, F!$O$21:$O$33,1), MATCH(E502, F!$P$20:$AB$20,1)),)</f>
        <v>0</v>
      </c>
      <c r="AL502" s="59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ht="15.75" hidden="1" customHeight="1">
      <c r="A503" s="59"/>
      <c r="B503" s="173" t="str">
        <f t="shared" ref="B503:F503" si="989">IF(B447="","",B447)</f>
        <v/>
      </c>
      <c r="C503" s="174" t="str">
        <f t="shared" si="989"/>
        <v/>
      </c>
      <c r="D503" s="175" t="str">
        <f t="shared" si="989"/>
        <v/>
      </c>
      <c r="E503" s="48" t="str">
        <f t="shared" si="989"/>
        <v/>
      </c>
      <c r="F503" s="176" t="str">
        <f t="shared" si="989"/>
        <v/>
      </c>
      <c r="G503" s="177" t="str">
        <f t="shared" si="975"/>
        <v/>
      </c>
      <c r="H503" s="178"/>
      <c r="I503" s="178"/>
      <c r="J503" s="179"/>
      <c r="K503" s="177" t="str">
        <f t="shared" si="976"/>
        <v/>
      </c>
      <c r="L503" s="178"/>
      <c r="M503" s="178"/>
      <c r="N503" s="179"/>
      <c r="O503" s="177" t="str">
        <f t="shared" si="977"/>
        <v/>
      </c>
      <c r="P503" s="178"/>
      <c r="Q503" s="178"/>
      <c r="R503" s="179"/>
      <c r="S503" s="177" t="str">
        <f t="shared" si="978"/>
        <v/>
      </c>
      <c r="T503" s="178"/>
      <c r="U503" s="178"/>
      <c r="V503" s="179"/>
      <c r="W503" s="177" t="str">
        <f t="shared" si="979"/>
        <v/>
      </c>
      <c r="X503" s="178"/>
      <c r="Y503" s="178"/>
      <c r="Z503" s="179"/>
      <c r="AA503" s="177" t="str">
        <f t="shared" si="980"/>
        <v/>
      </c>
      <c r="AB503" s="178"/>
      <c r="AC503" s="178"/>
      <c r="AD503" s="179"/>
      <c r="AE503" s="180">
        <f t="shared" si="981"/>
        <v>0</v>
      </c>
      <c r="AF503" s="181">
        <f t="shared" si="886"/>
        <v>0</v>
      </c>
      <c r="AG503" s="182">
        <f t="shared" si="982"/>
        <v>0</v>
      </c>
      <c r="AH503" s="76" t="str">
        <f t="shared" si="983"/>
        <v/>
      </c>
      <c r="AI503" s="181">
        <f> ( IF(ISNUMBER(G503), VLOOKUP(G503/$AH503,F!$A1:$B101,2,1)*G503*$H503*$I503,0)+IF(ISNUMBER(K503), VLOOKUP(K503/$AH503,F!$A1:$B101,2,1)*K503*$L503*$M503,0)+IF(ISNUMBER(O503), VLOOKUP(O503/$AH503,F!$A1:$B101,2,1)*O503*$P503*$Q503,0)+IF(ISNUMBER(S503), VLOOKUP(S503/$AH503,F!$A1:$B101,2,1)*S503*$T503*$U503,0)+IF(ISNUMBER(W503), VLOOKUP(W503/$AH503,F!$A1:$B101,2,1)*W503*$X503*$Y503,0)+IF(ISNUMBER(AA503), VLOOKUP(AA503/$AH503,F!$A1:$B101,2,1)*AA503*$AB503*$AC503,0))*IF(ISNUMBER(F503),F503,1)*IF(ISNUMBER(E503),E503,1)</f>
        <v>0</v>
      </c>
      <c r="AJ503" s="178">
        <f t="shared" si="984"/>
        <v>0</v>
      </c>
      <c r="AK503" s="183">
        <f t="array" ref="AK503">IFERROR(I503*INDEX(F!$P$21:$AB$33, MATCH(G503/$AH503, F!$O$21:$O$33,1), MATCH(E503, F!$P$20:$AB$20,1)), 0 ) +IFERROR( M503*INDEX(F!$P$21:$AB$33, MATCH(K503/$AH503, F!$O$21:$O$33,1), MATCH(E503, F!$P$20:$AB$20,1)),0) +  IFERROR( Q503*INDEX(F!$P$21:$AB$33, MATCH(O503/$AH503, F!$O$21:$O$33,1), MATCH(E503, F!$P$20:$AB$20,1)), 0) + IFERROR( U503*INDEX(F!$P$21:$AB$33, MATCH(S503/$AH503, F!$O$21:$O$33,1), MATCH(E503, F!$P$20:$AB$20,1)),0)  + IFERROR(Y503*INDEX(F!$P$21:$AB$33, MATCH(W503/$AH503, F!$O$21:$O$33,1), MATCH(E503, F!$P$20:$AB$20,1)),0)  + IFERROR( AC503*INDEX(F!$P$21:$AB$33, MATCH(AA503/$AH503, F!$O$21:$O$33,1), MATCH(E503, F!$P$20:$AB$20,1)),)</f>
        <v>0</v>
      </c>
      <c r="AL503" s="59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ht="15.75" hidden="1" customHeight="1">
      <c r="A504" s="59"/>
      <c r="B504" s="135" t="str">
        <f t="shared" ref="B504:F504" si="990">IF(B448="","",B448)</f>
        <v/>
      </c>
      <c r="C504" s="136" t="str">
        <f t="shared" si="990"/>
        <v/>
      </c>
      <c r="D504" s="137" t="str">
        <f t="shared" si="990"/>
        <v/>
      </c>
      <c r="E504" s="48" t="str">
        <f t="shared" si="990"/>
        <v/>
      </c>
      <c r="F504" s="138" t="str">
        <f t="shared" si="990"/>
        <v/>
      </c>
      <c r="G504" s="139" t="str">
        <f t="shared" si="975"/>
        <v/>
      </c>
      <c r="H504" s="140"/>
      <c r="I504" s="140"/>
      <c r="J504" s="141"/>
      <c r="K504" s="139" t="str">
        <f t="shared" si="976"/>
        <v/>
      </c>
      <c r="L504" s="140"/>
      <c r="M504" s="140"/>
      <c r="N504" s="141"/>
      <c r="O504" s="139" t="str">
        <f t="shared" si="977"/>
        <v/>
      </c>
      <c r="P504" s="140"/>
      <c r="Q504" s="140"/>
      <c r="R504" s="141"/>
      <c r="S504" s="139" t="str">
        <f t="shared" si="978"/>
        <v/>
      </c>
      <c r="T504" s="140"/>
      <c r="U504" s="140"/>
      <c r="V504" s="141"/>
      <c r="W504" s="139" t="str">
        <f t="shared" si="979"/>
        <v/>
      </c>
      <c r="X504" s="140"/>
      <c r="Y504" s="140"/>
      <c r="Z504" s="141"/>
      <c r="AA504" s="139" t="str">
        <f t="shared" si="980"/>
        <v/>
      </c>
      <c r="AB504" s="140"/>
      <c r="AC504" s="140"/>
      <c r="AD504" s="141"/>
      <c r="AE504" s="142">
        <f t="shared" si="981"/>
        <v>0</v>
      </c>
      <c r="AF504" s="143">
        <f t="shared" si="886"/>
        <v>0</v>
      </c>
      <c r="AG504" s="144">
        <f t="shared" si="982"/>
        <v>0</v>
      </c>
      <c r="AH504" s="76" t="str">
        <f t="shared" si="983"/>
        <v/>
      </c>
      <c r="AI504" s="143">
        <f> ( IF(ISNUMBER(G504), VLOOKUP(G504/$AH504,F!$A1:$B101,2,1)*G504*$H504*$I504,0)+IF(ISNUMBER(K504), VLOOKUP(K504/$AH504,F!$A1:$B101,2,1)*K504*$L504*$M504,0)+IF(ISNUMBER(O504), VLOOKUP(O504/$AH504,F!$A1:$B101,2,1)*O504*$P504*$Q504,0)+IF(ISNUMBER(S504), VLOOKUP(S504/$AH504,F!$A1:$B101,2,1)*S504*$T504*$U504,0)+IF(ISNUMBER(W504), VLOOKUP(W504/$AH504,F!$A1:$B101,2,1)*W504*$X504*$Y504,0)+IF(ISNUMBER(AA504), VLOOKUP(AA504/$AH504,F!$A1:$B101,2,1)*AA504*$AB504*$AC504,0))*IF(ISNUMBER(F504),F504,1)*IF(ISNUMBER(E504),E504,1)</f>
        <v>0</v>
      </c>
      <c r="AJ504" s="140">
        <f t="shared" si="984"/>
        <v>0</v>
      </c>
      <c r="AK504" s="145">
        <f t="array" ref="AK504">IFERROR(I504*INDEX(F!$P$21:$AB$33, MATCH(G504/$AH504, F!$O$21:$O$33,1), MATCH(E504, F!$P$20:$AB$20,1)), 0 ) +IFERROR( M504*INDEX(F!$P$21:$AB$33, MATCH(K504/$AH504, F!$O$21:$O$33,1), MATCH(E504, F!$P$20:$AB$20,1)),0) +  IFERROR( Q504*INDEX(F!$P$21:$AB$33, MATCH(O504/$AH504, F!$O$21:$O$33,1), MATCH(E504, F!$P$20:$AB$20,1)), 0) + IFERROR( U504*INDEX(F!$P$21:$AB$33, MATCH(S504/$AH504, F!$O$21:$O$33,1), MATCH(E504, F!$P$20:$AB$20,1)),0)  + IFERROR(Y504*INDEX(F!$P$21:$AB$33, MATCH(W504/$AH504, F!$O$21:$O$33,1), MATCH(E504, F!$P$20:$AB$20,1)),0)  + IFERROR( AC504*INDEX(F!$P$21:$AB$33, MATCH(AA504/$AH504, F!$O$21:$O$33,1), MATCH(E504, F!$P$20:$AB$20,1)),)</f>
        <v>0</v>
      </c>
      <c r="AL504" s="59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ht="15.75" hidden="1" customHeight="1">
      <c r="A505" s="98"/>
      <c r="B505" s="188"/>
      <c r="C505" s="189"/>
      <c r="D505" s="190"/>
      <c r="E505" s="102">
        <f>ROUND(IFERROR(SUMPRODUCT(AJ497:AJ504,E497:E504)/AJ505,0),3)</f>
        <v>0</v>
      </c>
      <c r="F505" s="191"/>
      <c r="G505" s="201"/>
      <c r="H505" s="193"/>
      <c r="I505" s="193"/>
      <c r="J505" s="194"/>
      <c r="K505" s="201"/>
      <c r="L505" s="193"/>
      <c r="M505" s="193"/>
      <c r="N505" s="194"/>
      <c r="O505" s="201"/>
      <c r="P505" s="193"/>
      <c r="Q505" s="193"/>
      <c r="R505" s="194"/>
      <c r="S505" s="201"/>
      <c r="T505" s="193"/>
      <c r="U505" s="193"/>
      <c r="V505" s="194"/>
      <c r="W505" s="201"/>
      <c r="X505" s="193"/>
      <c r="Y505" s="193"/>
      <c r="Z505" s="194"/>
      <c r="AA505" s="201"/>
      <c r="AB505" s="193"/>
      <c r="AC505" s="193"/>
      <c r="AD505" s="194"/>
      <c r="AE505" s="107">
        <f>SUM(AE497:AE504)</f>
        <v>0</v>
      </c>
      <c r="AF505" s="108">
        <f t="shared" si="886"/>
        <v>0</v>
      </c>
      <c r="AG505" s="109">
        <f>IFERROR(  SUMPRODUCT(AG497:AG504,AJ497:AJ504)/AJ505,0)</f>
        <v>0</v>
      </c>
      <c r="AH505" s="157"/>
      <c r="AI505" s="111">
        <f t="shared" ref="AI505:AJ505" si="991">SUM(AI497:AI504)</f>
        <v>0</v>
      </c>
      <c r="AJ505" s="111">
        <f t="shared" si="991"/>
        <v>0</v>
      </c>
      <c r="AK505" s="112">
        <f>IF(SUM(AK497:AK504)=0,TIME(,0,),TIME(,SUM(AK497:AK504)+F!$V$37,))</f>
        <v>0</v>
      </c>
      <c r="AL505" s="98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ht="15.75" hidden="1" customHeight="1">
      <c r="A506" s="204">
        <f>A450</f>
        <v>7</v>
      </c>
      <c r="B506" s="205"/>
      <c r="C506" s="205"/>
      <c r="D506" s="205"/>
      <c r="E506" s="7">
        <f>IF(AJ506=0,0,(E516*AJ516 + E525*AJ525 + E534*AJ534 + E543*AJ543 + E552*AJ552 + E561*AJ561   ) /AJ506 )</f>
        <v>0</v>
      </c>
      <c r="F506" s="206" t="s">
        <v>0</v>
      </c>
      <c r="G506" s="9"/>
      <c r="H506" s="9"/>
      <c r="I506" s="9"/>
      <c r="J506" s="9"/>
      <c r="K506" s="9"/>
      <c r="L506" s="9"/>
      <c r="M506" s="10"/>
      <c r="N506" s="221">
        <f>N450+1</f>
        <v>10</v>
      </c>
      <c r="O506" s="222"/>
      <c r="P506" s="222"/>
      <c r="Q506" s="222"/>
      <c r="R506" s="222"/>
      <c r="S506" s="222"/>
      <c r="T506" s="222"/>
      <c r="U506" s="222"/>
      <c r="V506" s="222"/>
      <c r="W506" s="222"/>
      <c r="X506" s="222"/>
      <c r="Y506" s="222"/>
      <c r="Z506" s="222"/>
      <c r="AA506" s="222"/>
      <c r="AB506" s="222"/>
      <c r="AC506" s="222"/>
      <c r="AD506" s="223"/>
      <c r="AE506" s="224">
        <f>AE516+AE525+AE534+AE543+AE552+AE561</f>
        <v>0</v>
      </c>
      <c r="AF506" s="225">
        <f t="shared" si="886"/>
        <v>0</v>
      </c>
      <c r="AG506" s="226">
        <f>IF(AJ506=0,0,(AG516*AJ516 + AG525*AJ525 + AG534*AJ534 + AG543*AJ543 + AG552*AJ552 + AG561*AJ561   ) /AJ506 )</f>
        <v>0</v>
      </c>
      <c r="AH506" s="210">
        <f>AH450</f>
        <v>0.02</v>
      </c>
      <c r="AI506" s="224">
        <f t="shared" ref="AI506:AK506" si="992">AI516+AI525+AI534+AI543+AI552+AI561</f>
        <v>0</v>
      </c>
      <c r="AJ506" s="224">
        <f t="shared" si="992"/>
        <v>0</v>
      </c>
      <c r="AK506" s="227">
        <f t="shared" si="992"/>
        <v>0</v>
      </c>
      <c r="AL506" s="212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ht="15.75" hidden="1" customHeight="1">
      <c r="A507" s="19" t="s">
        <v>1</v>
      </c>
      <c r="B507" s="20" t="s">
        <v>2</v>
      </c>
      <c r="C507" s="20" t="s">
        <v>3</v>
      </c>
      <c r="D507" s="20" t="s">
        <v>4</v>
      </c>
      <c r="E507" s="20" t="s">
        <v>5</v>
      </c>
      <c r="F507" s="20" t="s">
        <v>6</v>
      </c>
      <c r="G507" s="20" t="s">
        <v>7</v>
      </c>
      <c r="H507" s="20" t="s">
        <v>8</v>
      </c>
      <c r="I507" s="20" t="s">
        <v>9</v>
      </c>
      <c r="J507" s="20" t="s">
        <v>10</v>
      </c>
      <c r="K507" s="20" t="s">
        <v>7</v>
      </c>
      <c r="L507" s="20" t="s">
        <v>8</v>
      </c>
      <c r="M507" s="20" t="s">
        <v>9</v>
      </c>
      <c r="N507" s="20" t="s">
        <v>10</v>
      </c>
      <c r="O507" s="20" t="s">
        <v>7</v>
      </c>
      <c r="P507" s="20" t="s">
        <v>8</v>
      </c>
      <c r="Q507" s="20" t="s">
        <v>9</v>
      </c>
      <c r="R507" s="20" t="s">
        <v>10</v>
      </c>
      <c r="S507" s="20" t="s">
        <v>7</v>
      </c>
      <c r="T507" s="20" t="s">
        <v>8</v>
      </c>
      <c r="U507" s="20" t="s">
        <v>9</v>
      </c>
      <c r="V507" s="20" t="s">
        <v>10</v>
      </c>
      <c r="W507" s="20" t="s">
        <v>7</v>
      </c>
      <c r="X507" s="20" t="s">
        <v>8</v>
      </c>
      <c r="Y507" s="20" t="s">
        <v>9</v>
      </c>
      <c r="Z507" s="20" t="s">
        <v>10</v>
      </c>
      <c r="AA507" s="20" t="s">
        <v>7</v>
      </c>
      <c r="AB507" s="20" t="s">
        <v>8</v>
      </c>
      <c r="AC507" s="20" t="s">
        <v>9</v>
      </c>
      <c r="AD507" s="21" t="s">
        <v>10</v>
      </c>
      <c r="AE507" s="20" t="s">
        <v>11</v>
      </c>
      <c r="AF507" s="20" t="s">
        <v>12</v>
      </c>
      <c r="AG507" s="20" t="s">
        <v>13</v>
      </c>
      <c r="AH507" s="213" t="s">
        <v>14</v>
      </c>
      <c r="AI507" s="23" t="s">
        <v>15</v>
      </c>
      <c r="AJ507" s="20" t="s">
        <v>16</v>
      </c>
      <c r="AK507" s="21" t="s">
        <v>17</v>
      </c>
      <c r="AL507" s="214" t="s">
        <v>18</v>
      </c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ht="15.75" hidden="1" customHeight="1">
      <c r="A508" s="25">
        <f>A509</f>
        <v>43843</v>
      </c>
      <c r="B508" s="26" t="str">
        <f t="shared" ref="B508:F508" si="993">IF(B452="","",B452)</f>
        <v>Средняя</v>
      </c>
      <c r="C508" s="27" t="str">
        <f t="shared" si="993"/>
        <v>ПР</v>
      </c>
      <c r="D508" s="28" t="str">
        <f t="shared" si="993"/>
        <v>Присед</v>
      </c>
      <c r="E508" s="29">
        <f t="shared" si="993"/>
        <v>1.2</v>
      </c>
      <c r="F508" s="30" t="str">
        <f t="shared" si="993"/>
        <v/>
      </c>
      <c r="G508" s="31" t="str">
        <f t="shared" ref="G508:G515" si="995">IF(J508&lt;&gt;0, IFERROR(IF( $F508=2,  MROUND($AH508*J508,1),    IF( OR($F508="",$F508=1),   MROUND($AH508*J508,2.5),  MROUND($AH508*J508, 0.1))), "" ), "")</f>
        <v/>
      </c>
      <c r="H508" s="32"/>
      <c r="I508" s="32"/>
      <c r="J508" s="33"/>
      <c r="K508" s="31" t="str">
        <f t="shared" ref="K508:K515" si="996">IF(N508&lt;&gt;0, IFERROR(IF( $F508=2,  MROUND($AH508*N508,1),    IF( OR($F508="",$F508=1),   MROUND($AH508*N508,2.5),  MROUND($AH508*N508, 0.1))), "" ), "")</f>
        <v/>
      </c>
      <c r="L508" s="32"/>
      <c r="M508" s="32"/>
      <c r="N508" s="33"/>
      <c r="O508" s="31" t="str">
        <f t="shared" ref="O508:O515" si="997">IF(R508&lt;&gt;0, IFERROR(IF( $F508=2,  MROUND($AH508*R508,1),    IF( OR($F508="",$F508=1),   MROUND($AH508*R508,2.5),  MROUND($AH508*R508, 0.1))), "" ), "")</f>
        <v/>
      </c>
      <c r="P508" s="32"/>
      <c r="Q508" s="32"/>
      <c r="R508" s="33"/>
      <c r="S508" s="31" t="str">
        <f t="shared" ref="S508:S515" si="998">IF(V508&lt;&gt;0, IFERROR(IF( $F508=2,  MROUND($AH508*V508,1),    IF( OR($F508="",$F508=1),   MROUND($AH508*V508,2.5),  MROUND($AH508*V508, 0.1))), "" ), "")</f>
        <v/>
      </c>
      <c r="T508" s="32"/>
      <c r="U508" s="32"/>
      <c r="V508" s="33"/>
      <c r="W508" s="31" t="str">
        <f t="shared" ref="W508:W515" si="999">IF(Z508&lt;&gt;0, IFERROR(IF( $F508=2,  MROUND($AH508*Z508,1),    IF( OR($F508="",$F508=1),   MROUND($AH508*Z508,2.5),  MROUND($AH508*Z508, 0.1))), "" ), "")</f>
        <v/>
      </c>
      <c r="X508" s="32"/>
      <c r="Y508" s="32"/>
      <c r="Z508" s="33"/>
      <c r="AA508" s="31" t="str">
        <f t="shared" ref="AA508:AA515" si="1000">IF(AD508&lt;&gt;0, IFERROR(IF( $F508=2,  MROUND($AH508*AD508,1),    IF( OR($F508="",$F508=1),   MROUND($AH508*AD508,2.5),  MROUND($AH508*AD508, 0.1))), "" ), "")</f>
        <v/>
      </c>
      <c r="AB508" s="32"/>
      <c r="AC508" s="32"/>
      <c r="AD508" s="33"/>
      <c r="AE508" s="35">
        <f t="shared" ref="AE508:AE515" si="1001">(IF(ISNUMBER(G508),G508,0)*H508*I508+IF(ISNUMBER(K508),K508,1)*L508*M508+IF(ISNUMBER(O508),O508,1)*P508*Q508+IF(ISNUMBER(S508),S508,1)*T508*U508+IF(ISNUMBER(W508),W508,1)*X508*Y508+IF(ISNUMBER(AA508),AA508,1)*AB508*AC508)*IF(ISNUMBER(F508),F508,1)</f>
        <v>0</v>
      </c>
      <c r="AF508" s="36">
        <f t="shared" ref="AF508:AF562" si="1002">IFERROR(AE508/AJ508,0)</f>
        <v>0</v>
      </c>
      <c r="AG508" s="195">
        <f t="shared" ref="AG508:AG515" si="1003">IFERROR((AF508/(AH508*IF(ISNUMBER(F508),F508,1))),0)</f>
        <v>0</v>
      </c>
      <c r="AH508" s="169">
        <f t="shared" ref="AH508:AH515" si="1004">IF(ISNUMBER(AH452), AH452+(AH452*$AH$506),"")</f>
        <v>161.3374968</v>
      </c>
      <c r="AI508" s="70">
        <f> ( IF(ISNUMBER(G508), VLOOKUP(G508/$AH508,F!$A1:$B101,2,1)*G508*$H508*$I508,0)+IF(ISNUMBER(K508), VLOOKUP(K508/$AH508,F!$A1:$B101,2,1)*K508*$L508*$M508,0)+IF(ISNUMBER(O508), VLOOKUP(O508/$AH508,F!$A1:$B101,2,1)*O508*$P508*$Q508,0)+IF(ISNUMBER(S508), VLOOKUP(S508/$AH508,F!$A1:$B101,2,1)*S508*$T508*$U508,0)+IF(ISNUMBER(W508), VLOOKUP(W508/$AH508,F!$A1:$B101,2,1)*W508*$X508*$Y508,0)+IF(ISNUMBER(AA508), VLOOKUP(AA508/$AH508,F!$A1:$B101,2,1)*AA508*$AB508*$AC508,0))*IF(ISNUMBER(F508),F508,1)*IF(ISNUMBER(E508),E508,1)</f>
        <v>0</v>
      </c>
      <c r="AJ508" s="40">
        <f t="shared" ref="AJ508:AJ515" si="1005">H508*I508+L508*M508+P508*Q508+T508*U508+X508*Y508+AB508*AC508</f>
        <v>0</v>
      </c>
      <c r="AK508" s="41">
        <f t="array" ref="AK508">IFERROR(I508*INDEX(F!$P$21:$AB$33, MATCH(G508/$AH508, F!$O$21:$O$33,1), MATCH(E508, F!$P$20:$AB$20,1)), 0 ) +IFERROR( M508*INDEX(F!$P$21:$AB$33, MATCH(K508/$AH508, F!$O$21:$O$33,1), MATCH(E508, F!$P$20:$AB$20,1)),0) +  IFERROR( Q508*INDEX(F!$P$21:$AB$33, MATCH(O508/$AH508, F!$O$21:$O$33,1), MATCH(E508, F!$P$20:$AB$20,1)), 0) + IFERROR( U508*INDEX(F!$P$21:$AB$33, MATCH(S508/$AH508, F!$O$21:$O$33,1), MATCH(E508, F!$P$20:$AB$20,1)),0)  + IFERROR(Y508*INDEX(F!$P$21:$AB$33, MATCH(W508/$AH508, F!$O$21:$O$33,1), MATCH(E508, F!$P$20:$AB$20,1)),0)  + IFERROR( AC508*INDEX(F!$P$21:$AB$33, MATCH(AA508/$AH508, F!$O$21:$O$33,1), MATCH(E508, F!$P$20:$AB$20,1)),)</f>
        <v>0</v>
      </c>
      <c r="AL508" s="42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ht="15.75" hidden="1" customHeight="1">
      <c r="A509" s="44">
        <f>A453+A450</f>
        <v>43843</v>
      </c>
      <c r="B509" s="45" t="str">
        <f t="shared" ref="B509:F509" si="994">IF(B453="","",B453)</f>
        <v>Средняя</v>
      </c>
      <c r="C509" s="46" t="str">
        <f t="shared" si="994"/>
        <v>ЖМ</v>
      </c>
      <c r="D509" s="47" t="str">
        <f t="shared" si="994"/>
        <v>Жим лежа</v>
      </c>
      <c r="E509" s="48">
        <f t="shared" si="994"/>
        <v>1</v>
      </c>
      <c r="F509" s="49" t="str">
        <f t="shared" si="994"/>
        <v/>
      </c>
      <c r="G509" s="50" t="str">
        <f t="shared" si="995"/>
        <v/>
      </c>
      <c r="H509" s="51"/>
      <c r="I509" s="51"/>
      <c r="J509" s="52"/>
      <c r="K509" s="50" t="str">
        <f t="shared" si="996"/>
        <v/>
      </c>
      <c r="L509" s="51"/>
      <c r="M509" s="51"/>
      <c r="N509" s="52"/>
      <c r="O509" s="50" t="str">
        <f t="shared" si="997"/>
        <v/>
      </c>
      <c r="P509" s="51"/>
      <c r="Q509" s="51"/>
      <c r="R509" s="52"/>
      <c r="S509" s="50" t="str">
        <f t="shared" si="998"/>
        <v/>
      </c>
      <c r="T509" s="51"/>
      <c r="U509" s="51"/>
      <c r="V509" s="52"/>
      <c r="W509" s="50" t="str">
        <f t="shared" si="999"/>
        <v/>
      </c>
      <c r="X509" s="51"/>
      <c r="Y509" s="51"/>
      <c r="Z509" s="52"/>
      <c r="AA509" s="50" t="str">
        <f t="shared" si="1000"/>
        <v/>
      </c>
      <c r="AB509" s="51"/>
      <c r="AC509" s="51"/>
      <c r="AD509" s="52"/>
      <c r="AE509" s="53">
        <f t="shared" si="1001"/>
        <v>0</v>
      </c>
      <c r="AF509" s="54">
        <f t="shared" si="1002"/>
        <v>0</v>
      </c>
      <c r="AG509" s="75">
        <f t="shared" si="1003"/>
        <v>0</v>
      </c>
      <c r="AH509" s="76">
        <f t="shared" si="1004"/>
        <v>113.533794</v>
      </c>
      <c r="AI509" s="77">
        <f> ( IF(ISNUMBER(G509), VLOOKUP(G509/$AH509,F!$A1:$B101,2,1)*G509*$H509*$I509,0)+IF(ISNUMBER(K509), VLOOKUP(K509/$AH509,F!$A1:$B101,2,1)*K509*$L509*$M509,0)+IF(ISNUMBER(O509), VLOOKUP(O509/$AH509,F!$A1:$B101,2,1)*O509*$P509*$Q509,0)+IF(ISNUMBER(S509), VLOOKUP(S509/$AH509,F!$A1:$B101,2,1)*S509*$T509*$U509,0)+IF(ISNUMBER(W509), VLOOKUP(W509/$AH509,F!$A1:$B101,2,1)*W509*$X509*$Y509,0)+IF(ISNUMBER(AA509), VLOOKUP(AA509/$AH509,F!$A1:$B101,2,1)*AA509*$AB509*$AC509,0))*IF(ISNUMBER(F509),F509,1)*IF(ISNUMBER(E509),E509,1)</f>
        <v>0</v>
      </c>
      <c r="AJ509" s="57">
        <f t="shared" si="1005"/>
        <v>0</v>
      </c>
      <c r="AK509" s="58">
        <f t="array" ref="AK509">IFERROR(I509*INDEX(F!$P$21:$AB$33, MATCH(G509/$AH509, F!$O$21:$O$33,1), MATCH(E509, F!$P$20:$AB$20,1)), 0 ) +IFERROR( M509*INDEX(F!$P$21:$AB$33, MATCH(K509/$AH509, F!$O$21:$O$33,1), MATCH(E509, F!$P$20:$AB$20,1)),0) +  IFERROR( Q509*INDEX(F!$P$21:$AB$33, MATCH(O509/$AH509, F!$O$21:$O$33,1), MATCH(E509, F!$P$20:$AB$20,1)), 0) + IFERROR( U509*INDEX(F!$P$21:$AB$33, MATCH(S509/$AH509, F!$O$21:$O$33,1), MATCH(E509, F!$P$20:$AB$20,1)),0)  + IFERROR(Y509*INDEX(F!$P$21:$AB$33, MATCH(W509/$AH509, F!$O$21:$O$33,1), MATCH(E509, F!$P$20:$AB$20,1)),0)  + IFERROR( AC509*INDEX(F!$P$21:$AB$33, MATCH(AA509/$AH509, F!$O$21:$O$33,1), MATCH(E509, F!$P$20:$AB$20,1)),)</f>
        <v>0</v>
      </c>
      <c r="AL509" s="59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ht="15.75" hidden="1" customHeight="1">
      <c r="A510" s="59"/>
      <c r="B510" s="60" t="str">
        <f t="shared" ref="B510:F510" si="1006">IF(B454="","",B454)</f>
        <v>Тяжелая</v>
      </c>
      <c r="C510" s="61" t="str">
        <f t="shared" si="1006"/>
        <v>ПР</v>
      </c>
      <c r="D510" s="62" t="str">
        <f t="shared" si="1006"/>
        <v>Присед</v>
      </c>
      <c r="E510" s="48">
        <f t="shared" si="1006"/>
        <v>1.2</v>
      </c>
      <c r="F510" s="63" t="str">
        <f t="shared" si="1006"/>
        <v/>
      </c>
      <c r="G510" s="64" t="str">
        <f t="shared" si="995"/>
        <v/>
      </c>
      <c r="H510" s="34"/>
      <c r="I510" s="34"/>
      <c r="J510" s="65"/>
      <c r="K510" s="64" t="str">
        <f t="shared" si="996"/>
        <v/>
      </c>
      <c r="L510" s="34"/>
      <c r="M510" s="34"/>
      <c r="N510" s="65"/>
      <c r="O510" s="64" t="str">
        <f t="shared" si="997"/>
        <v/>
      </c>
      <c r="P510" s="34"/>
      <c r="Q510" s="34"/>
      <c r="R510" s="65"/>
      <c r="S510" s="64" t="str">
        <f t="shared" si="998"/>
        <v/>
      </c>
      <c r="T510" s="34"/>
      <c r="U510" s="34"/>
      <c r="V510" s="65"/>
      <c r="W510" s="64" t="str">
        <f t="shared" si="999"/>
        <v/>
      </c>
      <c r="X510" s="34"/>
      <c r="Y510" s="34"/>
      <c r="Z510" s="65"/>
      <c r="AA510" s="64" t="str">
        <f t="shared" si="1000"/>
        <v/>
      </c>
      <c r="AB510" s="34"/>
      <c r="AC510" s="34"/>
      <c r="AD510" s="65"/>
      <c r="AE510" s="66">
        <f t="shared" si="1001"/>
        <v>0</v>
      </c>
      <c r="AF510" s="67">
        <f t="shared" si="1002"/>
        <v>0</v>
      </c>
      <c r="AG510" s="68">
        <f t="shared" si="1003"/>
        <v>0</v>
      </c>
      <c r="AH510" s="76">
        <f t="shared" si="1004"/>
        <v>161.3374968</v>
      </c>
      <c r="AI510" s="70">
        <f> ( IF(ISNUMBER(G510), VLOOKUP(G510/$AH510,F!$A1:$B101,2,1)*G510*$H510*$I510,0)+IF(ISNUMBER(K510), VLOOKUP(K510/$AH510,F!$A1:$B101,2,1)*K510*$L510*$M510,0)+IF(ISNUMBER(O510), VLOOKUP(O510/$AH510,F!$A1:$B101,2,1)*O510*$P510*$Q510,0)+IF(ISNUMBER(S510), VLOOKUP(S510/$AH510,F!$A1:$B101,2,1)*S510*$T510*$U510,0)+IF(ISNUMBER(W510), VLOOKUP(W510/$AH510,F!$A1:$B101,2,1)*W510*$X510*$Y510,0)+IF(ISNUMBER(AA510), VLOOKUP(AA510/$AH510,F!$A1:$B101,2,1)*AA510*$AB510*$AC510,0))*IF(ISNUMBER(F510),F510,1)*IF(ISNUMBER(E510),E510,1)</f>
        <v>0</v>
      </c>
      <c r="AJ510" s="71">
        <f t="shared" si="1005"/>
        <v>0</v>
      </c>
      <c r="AK510" s="72">
        <f t="array" ref="AK510">IFERROR(I510*INDEX(F!$P$21:$AB$33, MATCH(G510/$AH510, F!$O$21:$O$33,1), MATCH(E510, F!$P$20:$AB$20,1)), 0 ) +IFERROR( M510*INDEX(F!$P$21:$AB$33, MATCH(K510/$AH510, F!$O$21:$O$33,1), MATCH(E510, F!$P$20:$AB$20,1)),0) +  IFERROR( Q510*INDEX(F!$P$21:$AB$33, MATCH(O510/$AH510, F!$O$21:$O$33,1), MATCH(E510, F!$P$20:$AB$20,1)), 0) + IFERROR( U510*INDEX(F!$P$21:$AB$33, MATCH(S510/$AH510, F!$O$21:$O$33,1), MATCH(E510, F!$P$20:$AB$20,1)),0)  + IFERROR(Y510*INDEX(F!$P$21:$AB$33, MATCH(W510/$AH510, F!$O$21:$O$33,1), MATCH(E510, F!$P$20:$AB$20,1)),0)  + IFERROR( AC510*INDEX(F!$P$21:$AB$33, MATCH(AA510/$AH510, F!$O$21:$O$33,1), MATCH(E510, F!$P$20:$AB$20,1)),)</f>
        <v>0</v>
      </c>
      <c r="AL510" s="59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ht="15.75" hidden="1" customHeight="1">
      <c r="A511" s="59"/>
      <c r="B511" s="215" t="str">
        <f t="shared" ref="B511:F511" si="1007">IF(B455="","",B455)</f>
        <v>Средняя</v>
      </c>
      <c r="C511" s="73" t="str">
        <f t="shared" si="1007"/>
        <v>ЖМ</v>
      </c>
      <c r="D511" s="47" t="str">
        <f t="shared" si="1007"/>
        <v>Жим гантелей</v>
      </c>
      <c r="E511" s="48">
        <f t="shared" si="1007"/>
        <v>1</v>
      </c>
      <c r="F511" s="74">
        <f t="shared" si="1007"/>
        <v>2</v>
      </c>
      <c r="G511" s="50" t="str">
        <f t="shared" si="995"/>
        <v/>
      </c>
      <c r="H511" s="51"/>
      <c r="I511" s="51"/>
      <c r="J511" s="52"/>
      <c r="K511" s="50" t="str">
        <f t="shared" si="996"/>
        <v/>
      </c>
      <c r="L511" s="51"/>
      <c r="M511" s="51"/>
      <c r="N511" s="52"/>
      <c r="O511" s="50" t="str">
        <f t="shared" si="997"/>
        <v/>
      </c>
      <c r="P511" s="51"/>
      <c r="Q511" s="51"/>
      <c r="R511" s="52"/>
      <c r="S511" s="50" t="str">
        <f t="shared" si="998"/>
        <v/>
      </c>
      <c r="T511" s="51"/>
      <c r="U511" s="51"/>
      <c r="V511" s="52"/>
      <c r="W511" s="50" t="str">
        <f t="shared" si="999"/>
        <v/>
      </c>
      <c r="X511" s="51"/>
      <c r="Y511" s="51"/>
      <c r="Z511" s="52"/>
      <c r="AA511" s="50" t="str">
        <f t="shared" si="1000"/>
        <v/>
      </c>
      <c r="AB511" s="51"/>
      <c r="AC511" s="51"/>
      <c r="AD511" s="52"/>
      <c r="AE511" s="53">
        <f t="shared" si="1001"/>
        <v>0</v>
      </c>
      <c r="AF511" s="54">
        <f t="shared" si="1002"/>
        <v>0</v>
      </c>
      <c r="AG511" s="75">
        <f t="shared" si="1003"/>
        <v>0</v>
      </c>
      <c r="AH511" s="76">
        <f t="shared" si="1004"/>
        <v>36.33081409</v>
      </c>
      <c r="AI511" s="77">
        <f> ( IF(ISNUMBER(G511), VLOOKUP(G511/$AH511,F!$A1:$B101,2,1)*G511*$H511*$I511,0)+IF(ISNUMBER(K511), VLOOKUP(K511/$AH511,F!$A1:$B101,2,1)*K511*$L511*$M511,0)+IF(ISNUMBER(O511), VLOOKUP(O511/$AH511,F!$A1:$B101,2,1)*O511*$P511*$Q511,0)+IF(ISNUMBER(S511), VLOOKUP(S511/$AH511,F!$A1:$B101,2,1)*S511*$T511*$U511,0)+IF(ISNUMBER(W511), VLOOKUP(W511/$AH511,F!$A1:$B101,2,1)*W511*$X511*$Y511,0)+IF(ISNUMBER(AA511), VLOOKUP(AA511/$AH511,F!$A1:$B101,2,1)*AA511*$AB511*$AC511,0))*IF(ISNUMBER(F511),F511,1)*IF(ISNUMBER(E511),E511,1)</f>
        <v>0</v>
      </c>
      <c r="AJ511" s="57">
        <f t="shared" si="1005"/>
        <v>0</v>
      </c>
      <c r="AK511" s="58">
        <f t="array" ref="AK511">IFERROR(I511*INDEX(F!$P$21:$AB$33, MATCH(G511/$AH511, F!$O$21:$O$33,1), MATCH(E511, F!$P$20:$AB$20,1)), 0 ) +IFERROR( M511*INDEX(F!$P$21:$AB$33, MATCH(K511/$AH511, F!$O$21:$O$33,1), MATCH(E511, F!$P$20:$AB$20,1)),0) +  IFERROR( Q511*INDEX(F!$P$21:$AB$33, MATCH(O511/$AH511, F!$O$21:$O$33,1), MATCH(E511, F!$P$20:$AB$20,1)), 0) + IFERROR( U511*INDEX(F!$P$21:$AB$33, MATCH(S511/$AH511, F!$O$21:$O$33,1), MATCH(E511, F!$P$20:$AB$20,1)),0)  + IFERROR(Y511*INDEX(F!$P$21:$AB$33, MATCH(W511/$AH511, F!$O$21:$O$33,1), MATCH(E511, F!$P$20:$AB$20,1)),0)  + IFERROR( AC511*INDEX(F!$P$21:$AB$33, MATCH(AA511/$AH511, F!$O$21:$O$33,1), MATCH(E511, F!$P$20:$AB$20,1)),)</f>
        <v>0</v>
      </c>
      <c r="AL511" s="59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ht="15.75" hidden="1" customHeight="1">
      <c r="A512" s="59"/>
      <c r="B512" s="216" t="str">
        <f t="shared" ref="B512:F512" si="1008">IF(B456="","",B456)</f>
        <v>Средняя</v>
      </c>
      <c r="C512" s="78" t="str">
        <f t="shared" si="1008"/>
        <v>ОФП</v>
      </c>
      <c r="D512" s="62" t="str">
        <f t="shared" si="1008"/>
        <v>Французский жим</v>
      </c>
      <c r="E512" s="48">
        <f t="shared" si="1008"/>
        <v>0.4</v>
      </c>
      <c r="F512" s="79" t="str">
        <f t="shared" si="1008"/>
        <v/>
      </c>
      <c r="G512" s="64" t="str">
        <f t="shared" si="995"/>
        <v/>
      </c>
      <c r="H512" s="34"/>
      <c r="I512" s="34"/>
      <c r="J512" s="65"/>
      <c r="K512" s="64" t="str">
        <f t="shared" si="996"/>
        <v/>
      </c>
      <c r="L512" s="34"/>
      <c r="M512" s="34"/>
      <c r="N512" s="65"/>
      <c r="O512" s="64" t="str">
        <f t="shared" si="997"/>
        <v/>
      </c>
      <c r="P512" s="34"/>
      <c r="Q512" s="34"/>
      <c r="R512" s="65"/>
      <c r="S512" s="64" t="str">
        <f t="shared" si="998"/>
        <v/>
      </c>
      <c r="T512" s="34"/>
      <c r="U512" s="34"/>
      <c r="V512" s="65"/>
      <c r="W512" s="64" t="str">
        <f t="shared" si="999"/>
        <v/>
      </c>
      <c r="X512" s="34"/>
      <c r="Y512" s="34"/>
      <c r="Z512" s="65"/>
      <c r="AA512" s="64" t="str">
        <f t="shared" si="1000"/>
        <v/>
      </c>
      <c r="AB512" s="34"/>
      <c r="AC512" s="34"/>
      <c r="AD512" s="65"/>
      <c r="AE512" s="66">
        <f t="shared" si="1001"/>
        <v>0</v>
      </c>
      <c r="AF512" s="67">
        <f t="shared" si="1002"/>
        <v>0</v>
      </c>
      <c r="AG512" s="68">
        <f t="shared" si="1003"/>
        <v>0</v>
      </c>
      <c r="AH512" s="76">
        <f t="shared" si="1004"/>
        <v>52.22554525</v>
      </c>
      <c r="AI512" s="70">
        <f> ( IF(ISNUMBER(G512), VLOOKUP(G512/$AH512,F!$A1:$B101,2,1)*G512*$H512*$I512,0)+IF(ISNUMBER(K512), VLOOKUP(K512/$AH512,F!$A1:$B101,2,1)*K512*$L512*$M512,0)+IF(ISNUMBER(O512), VLOOKUP(O512/$AH512,F!$A1:$B101,2,1)*O512*$P512*$Q512,0)+IF(ISNUMBER(S512), VLOOKUP(S512/$AH512,F!$A1:$B101,2,1)*S512*$T512*$U512,0)+IF(ISNUMBER(W512), VLOOKUP(W512/$AH512,F!$A1:$B101,2,1)*W512*$X512*$Y512,0)+IF(ISNUMBER(AA512), VLOOKUP(AA512/$AH512,F!$A1:$B101,2,1)*AA512*$AB512*$AC512,0))*IF(ISNUMBER(F512),F512,1)*IF(ISNUMBER(E512),E512,1)</f>
        <v>0</v>
      </c>
      <c r="AJ512" s="71">
        <f t="shared" si="1005"/>
        <v>0</v>
      </c>
      <c r="AK512" s="72">
        <f t="array" ref="AK512">IFERROR(I512*INDEX(F!$P$21:$AB$33, MATCH(G512/$AH512, F!$O$21:$O$33,1), MATCH(E512, F!$P$20:$AB$20,1)), 0 ) +IFERROR( M512*INDEX(F!$P$21:$AB$33, MATCH(K512/$AH512, F!$O$21:$O$33,1), MATCH(E512, F!$P$20:$AB$20,1)),0) +  IFERROR( Q512*INDEX(F!$P$21:$AB$33, MATCH(O512/$AH512, F!$O$21:$O$33,1), MATCH(E512, F!$P$20:$AB$20,1)), 0) + IFERROR( U512*INDEX(F!$P$21:$AB$33, MATCH(S512/$AH512, F!$O$21:$O$33,1), MATCH(E512, F!$P$20:$AB$20,1)),0)  + IFERROR(Y512*INDEX(F!$P$21:$AB$33, MATCH(W512/$AH512, F!$O$21:$O$33,1), MATCH(E512, F!$P$20:$AB$20,1)),0)  + IFERROR( AC512*INDEX(F!$P$21:$AB$33, MATCH(AA512/$AH512, F!$O$21:$O$33,1), MATCH(E512, F!$P$20:$AB$20,1)),)</f>
        <v>0</v>
      </c>
      <c r="AL512" s="59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ht="15.75" hidden="1" customHeight="1">
      <c r="A513" s="59"/>
      <c r="B513" s="45" t="str">
        <f t="shared" ref="B513:F513" si="1009">IF(B457="","",B457)</f>
        <v/>
      </c>
      <c r="C513" s="46" t="str">
        <f t="shared" si="1009"/>
        <v/>
      </c>
      <c r="D513" s="197" t="str">
        <f t="shared" si="1009"/>
        <v/>
      </c>
      <c r="E513" s="48" t="str">
        <f t="shared" si="1009"/>
        <v/>
      </c>
      <c r="F513" s="83" t="str">
        <f t="shared" si="1009"/>
        <v/>
      </c>
      <c r="G513" s="50" t="str">
        <f t="shared" si="995"/>
        <v/>
      </c>
      <c r="H513" s="51"/>
      <c r="I513" s="51"/>
      <c r="J513" s="52"/>
      <c r="K513" s="50" t="str">
        <f t="shared" si="996"/>
        <v/>
      </c>
      <c r="L513" s="51"/>
      <c r="M513" s="51"/>
      <c r="N513" s="52"/>
      <c r="O513" s="50" t="str">
        <f t="shared" si="997"/>
        <v/>
      </c>
      <c r="P513" s="51"/>
      <c r="Q513" s="51"/>
      <c r="R513" s="52"/>
      <c r="S513" s="50" t="str">
        <f t="shared" si="998"/>
        <v/>
      </c>
      <c r="T513" s="51"/>
      <c r="U513" s="51"/>
      <c r="V513" s="52"/>
      <c r="W513" s="50" t="str">
        <f t="shared" si="999"/>
        <v/>
      </c>
      <c r="X513" s="51"/>
      <c r="Y513" s="51"/>
      <c r="Z513" s="52"/>
      <c r="AA513" s="50" t="str">
        <f t="shared" si="1000"/>
        <v/>
      </c>
      <c r="AB513" s="51"/>
      <c r="AC513" s="51"/>
      <c r="AD513" s="52"/>
      <c r="AE513" s="53">
        <f t="shared" si="1001"/>
        <v>0</v>
      </c>
      <c r="AF513" s="54">
        <f t="shared" si="1002"/>
        <v>0</v>
      </c>
      <c r="AG513" s="75">
        <f t="shared" si="1003"/>
        <v>0</v>
      </c>
      <c r="AH513" s="76" t="str">
        <f t="shared" si="1004"/>
        <v/>
      </c>
      <c r="AI513" s="77">
        <f> ( IF(ISNUMBER(G513), VLOOKUP(G513/$AH513,F!$A1:$B101,2,1)*G513*$H513*$I513,0)+IF(ISNUMBER(K513), VLOOKUP(K513/$AH513,F!$A1:$B101,2,1)*K513*$L513*$M513,0)+IF(ISNUMBER(O513), VLOOKUP(O513/$AH513,F!$A1:$B101,2,1)*O513*$P513*$Q513,0)+IF(ISNUMBER(S513), VLOOKUP(S513/$AH513,F!$A1:$B101,2,1)*S513*$T513*$U513,0)+IF(ISNUMBER(W513), VLOOKUP(W513/$AH513,F!$A1:$B101,2,1)*W513*$X513*$Y513,0)+IF(ISNUMBER(AA513), VLOOKUP(AA513/$AH513,F!$A1:$B101,2,1)*AA513*$AB513*$AC513,0))*IF(ISNUMBER(F513),F513,1)*IF(ISNUMBER(E513),E513,1)</f>
        <v>0</v>
      </c>
      <c r="AJ513" s="86">
        <f t="shared" si="1005"/>
        <v>0</v>
      </c>
      <c r="AK513" s="58">
        <f t="array" ref="AK513">IFERROR(I513*INDEX(F!$P$21:$AB$33, MATCH(G513/$AH513, F!$O$21:$O$33,1), MATCH(E513, F!$P$20:$AB$20,1)), 0 ) +IFERROR( M513*INDEX(F!$P$21:$AB$33, MATCH(K513/$AH513, F!$O$21:$O$33,1), MATCH(E513, F!$P$20:$AB$20,1)),0) +  IFERROR( Q513*INDEX(F!$P$21:$AB$33, MATCH(O513/$AH513, F!$O$21:$O$33,1), MATCH(E513, F!$P$20:$AB$20,1)), 0) + IFERROR( U513*INDEX(F!$P$21:$AB$33, MATCH(S513/$AH513, F!$O$21:$O$33,1), MATCH(E513, F!$P$20:$AB$20,1)),0)  + IFERROR(Y513*INDEX(F!$P$21:$AB$33, MATCH(W513/$AH513, F!$O$21:$O$33,1), MATCH(E513, F!$P$20:$AB$20,1)),0)  + IFERROR( AC513*INDEX(F!$P$21:$AB$33, MATCH(AA513/$AH513, F!$O$21:$O$33,1), MATCH(E513, F!$P$20:$AB$20,1)),)</f>
        <v>0</v>
      </c>
      <c r="AL513" s="59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ht="15.0" hidden="1" customHeight="1">
      <c r="A514" s="59"/>
      <c r="B514" s="60" t="str">
        <f t="shared" ref="B514:F514" si="1010">IF(B458="","",B458)</f>
        <v/>
      </c>
      <c r="C514" s="61" t="str">
        <f t="shared" si="1010"/>
        <v/>
      </c>
      <c r="D514" s="198" t="str">
        <f t="shared" si="1010"/>
        <v/>
      </c>
      <c r="E514" s="48" t="str">
        <f t="shared" si="1010"/>
        <v/>
      </c>
      <c r="F514" s="79" t="str">
        <f t="shared" si="1010"/>
        <v/>
      </c>
      <c r="G514" s="64" t="str">
        <f t="shared" si="995"/>
        <v/>
      </c>
      <c r="H514" s="34"/>
      <c r="I514" s="34"/>
      <c r="J514" s="65"/>
      <c r="K514" s="64" t="str">
        <f t="shared" si="996"/>
        <v/>
      </c>
      <c r="L514" s="34"/>
      <c r="M514" s="34"/>
      <c r="N514" s="65"/>
      <c r="O514" s="64" t="str">
        <f t="shared" si="997"/>
        <v/>
      </c>
      <c r="P514" s="34"/>
      <c r="Q514" s="34"/>
      <c r="R514" s="65"/>
      <c r="S514" s="64" t="str">
        <f t="shared" si="998"/>
        <v/>
      </c>
      <c r="T514" s="34"/>
      <c r="U514" s="34"/>
      <c r="V514" s="65"/>
      <c r="W514" s="64" t="str">
        <f t="shared" si="999"/>
        <v/>
      </c>
      <c r="X514" s="34"/>
      <c r="Y514" s="34"/>
      <c r="Z514" s="65"/>
      <c r="AA514" s="64" t="str">
        <f t="shared" si="1000"/>
        <v/>
      </c>
      <c r="AB514" s="34"/>
      <c r="AC514" s="34"/>
      <c r="AD514" s="65"/>
      <c r="AE514" s="66">
        <f t="shared" si="1001"/>
        <v>0</v>
      </c>
      <c r="AF514" s="67">
        <f t="shared" si="1002"/>
        <v>0</v>
      </c>
      <c r="AG514" s="68">
        <f t="shared" si="1003"/>
        <v>0</v>
      </c>
      <c r="AH514" s="76" t="str">
        <f t="shared" si="1004"/>
        <v/>
      </c>
      <c r="AI514" s="90">
        <f> ( IF(ISNUMBER(G514), VLOOKUP(G514/$AH514,F!$A1:$B101,2,1)*G514*$H514*$I514,0)+IF(ISNUMBER(K514), VLOOKUP(K514/$AH514,F!$A1:$B101,2,1)*K514*$L514*$M514,0)+IF(ISNUMBER(O514), VLOOKUP(O514/$AH514,F!$A1:$B101,2,1)*O514*$P514*$Q514,0)+IF(ISNUMBER(S514), VLOOKUP(S514/$AH514,F!$A1:$B101,2,1)*S514*$T514*$U514,0)+IF(ISNUMBER(W514), VLOOKUP(W514/$AH514,F!$A1:$B101,2,1)*W514*$X514*$Y514,0)+IF(ISNUMBER(AA514), VLOOKUP(AA514/$AH514,F!$A1:$B101,2,1)*AA514*$AB514*$AC514,0))*IF(ISNUMBER(F514),F514,1)*IF(ISNUMBER(E514),E514,1)</f>
        <v>0</v>
      </c>
      <c r="AJ514" s="34">
        <f t="shared" si="1005"/>
        <v>0</v>
      </c>
      <c r="AK514" s="91">
        <f t="array" ref="AK514">IFERROR(I514*INDEX(F!$P$21:$AB$33, MATCH(G514/$AH514, F!$O$21:$O$33,1), MATCH(E514, F!$P$20:$AB$20,1)), 0 ) +IFERROR( M514*INDEX(F!$P$21:$AB$33, MATCH(K514/$AH514, F!$O$21:$O$33,1), MATCH(E514, F!$P$20:$AB$20,1)),0) +  IFERROR( Q514*INDEX(F!$P$21:$AB$33, MATCH(O514/$AH514, F!$O$21:$O$33,1), MATCH(E514, F!$P$20:$AB$20,1)), 0) + IFERROR( U514*INDEX(F!$P$21:$AB$33, MATCH(S514/$AH514, F!$O$21:$O$33,1), MATCH(E514, F!$P$20:$AB$20,1)),0)  + IFERROR(Y514*INDEX(F!$P$21:$AB$33, MATCH(W514/$AH514, F!$O$21:$O$33,1), MATCH(E514, F!$P$20:$AB$20,1)),0)  + IFERROR( AC514*INDEX(F!$P$21:$AB$33, MATCH(AA514/$AH514, F!$O$21:$O$33,1), MATCH(E514, F!$P$20:$AB$20,1)),)</f>
        <v>0</v>
      </c>
      <c r="AL514" s="59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ht="15.0" hidden="1" customHeight="1">
      <c r="A515" s="59"/>
      <c r="B515" s="45" t="str">
        <f t="shared" ref="B515:F515" si="1011">IF(B459="","",B459)</f>
        <v/>
      </c>
      <c r="C515" s="46" t="str">
        <f t="shared" si="1011"/>
        <v/>
      </c>
      <c r="D515" s="92" t="str">
        <f t="shared" si="1011"/>
        <v/>
      </c>
      <c r="E515" s="48" t="str">
        <f t="shared" si="1011"/>
        <v/>
      </c>
      <c r="F515" s="74" t="str">
        <f t="shared" si="1011"/>
        <v/>
      </c>
      <c r="G515" s="50" t="str">
        <f t="shared" si="995"/>
        <v/>
      </c>
      <c r="H515" s="51"/>
      <c r="I515" s="51"/>
      <c r="J515" s="52"/>
      <c r="K515" s="50" t="str">
        <f t="shared" si="996"/>
        <v/>
      </c>
      <c r="L515" s="51"/>
      <c r="M515" s="51"/>
      <c r="N515" s="52"/>
      <c r="O515" s="50" t="str">
        <f t="shared" si="997"/>
        <v/>
      </c>
      <c r="P515" s="51"/>
      <c r="Q515" s="51"/>
      <c r="R515" s="52"/>
      <c r="S515" s="50" t="str">
        <f t="shared" si="998"/>
        <v/>
      </c>
      <c r="T515" s="51"/>
      <c r="U515" s="51"/>
      <c r="V515" s="52"/>
      <c r="W515" s="50" t="str">
        <f t="shared" si="999"/>
        <v/>
      </c>
      <c r="X515" s="51"/>
      <c r="Y515" s="51"/>
      <c r="Z515" s="52"/>
      <c r="AA515" s="50" t="str">
        <f t="shared" si="1000"/>
        <v/>
      </c>
      <c r="AB515" s="51"/>
      <c r="AC515" s="51"/>
      <c r="AD515" s="52"/>
      <c r="AE515" s="53">
        <f t="shared" si="1001"/>
        <v>0</v>
      </c>
      <c r="AF515" s="93">
        <f t="shared" si="1002"/>
        <v>0</v>
      </c>
      <c r="AG515" s="94">
        <f t="shared" si="1003"/>
        <v>0</v>
      </c>
      <c r="AH515" s="76" t="str">
        <f t="shared" si="1004"/>
        <v/>
      </c>
      <c r="AI515" s="95">
        <f> ( IF(ISNUMBER(G515), VLOOKUP(G515/$AH515,F!$A1:$B101,2,1)*G515*$H515*$I515,0)+IF(ISNUMBER(K515), VLOOKUP(K515/$AH515,F!$A1:$B101,2,1)*K515*$L515*$M515,0)+IF(ISNUMBER(O515), VLOOKUP(O515/$AH515,F!$A1:$B101,2,1)*O515*$P515*$Q515,0)+IF(ISNUMBER(S515), VLOOKUP(S515/$AH515,F!$A1:$B101,2,1)*S515*$T515*$U515,0)+IF(ISNUMBER(W515), VLOOKUP(W515/$AH515,F!$A1:$B101,2,1)*W515*$X515*$Y515,0)+IF(ISNUMBER(AA515), VLOOKUP(AA515/$AH515,F!$A1:$B101,2,1)*AA515*$AB515*$AC515,0))*IF(ISNUMBER(F515),F515,1)*IF(ISNUMBER(E515),E515,1)</f>
        <v>0</v>
      </c>
      <c r="AJ515" s="96">
        <f t="shared" si="1005"/>
        <v>0</v>
      </c>
      <c r="AK515" s="97">
        <f t="array" ref="AK515">IFERROR(I515*INDEX(F!$P$21:$AB$33, MATCH(G515/$AH515, F!$O$21:$O$33,1), MATCH(E515, F!$P$20:$AB$20,1)), 0 ) +IFERROR( M515*INDEX(F!$P$21:$AB$33, MATCH(K515/$AH515, F!$O$21:$O$33,1), MATCH(E515, F!$P$20:$AB$20,1)),0) +  IFERROR( Q515*INDEX(F!$P$21:$AB$33, MATCH(O515/$AH515, F!$O$21:$O$33,1), MATCH(E515, F!$P$20:$AB$20,1)), 0) + IFERROR( U515*INDEX(F!$P$21:$AB$33, MATCH(S515/$AH515, F!$O$21:$O$33,1), MATCH(E515, F!$P$20:$AB$20,1)),0)  + IFERROR(Y515*INDEX(F!$P$21:$AB$33, MATCH(W515/$AH515, F!$O$21:$O$33,1), MATCH(E515, F!$P$20:$AB$20,1)),0)  + IFERROR( AC515*INDEX(F!$P$21:$AB$33, MATCH(AA515/$AH515, F!$O$21:$O$33,1), MATCH(E515, F!$P$20:$AB$20,1)),)</f>
        <v>0</v>
      </c>
      <c r="AL515" s="59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ht="15.75" hidden="1" customHeight="1">
      <c r="A516" s="98"/>
      <c r="B516" s="99"/>
      <c r="C516" s="100"/>
      <c r="D516" s="101"/>
      <c r="E516" s="102">
        <f>ROUND(IFERROR(SUMPRODUCT(AJ508:AJ515,E508:E515)/AJ516,0),3)</f>
        <v>0</v>
      </c>
      <c r="F516" s="199"/>
      <c r="G516" s="104"/>
      <c r="H516" s="105"/>
      <c r="I516" s="105"/>
      <c r="J516" s="106"/>
      <c r="K516" s="104"/>
      <c r="L516" s="105"/>
      <c r="M516" s="105"/>
      <c r="N516" s="106"/>
      <c r="O516" s="104"/>
      <c r="P516" s="105"/>
      <c r="Q516" s="105"/>
      <c r="R516" s="106"/>
      <c r="S516" s="104"/>
      <c r="T516" s="105"/>
      <c r="U516" s="105"/>
      <c r="V516" s="106"/>
      <c r="W516" s="104"/>
      <c r="X516" s="105"/>
      <c r="Y516" s="105"/>
      <c r="Z516" s="106"/>
      <c r="AA516" s="104"/>
      <c r="AB516" s="105"/>
      <c r="AC516" s="105"/>
      <c r="AD516" s="106"/>
      <c r="AE516" s="107">
        <f>SUM(AE508:AE515)</f>
        <v>0</v>
      </c>
      <c r="AF516" s="108">
        <f t="shared" si="1002"/>
        <v>0</v>
      </c>
      <c r="AG516" s="109">
        <f>IFERROR(  SUMPRODUCT(AG508:AG515,AJ508:AJ515)/AJ516,0)</f>
        <v>0</v>
      </c>
      <c r="AH516" s="157"/>
      <c r="AI516" s="111">
        <f t="shared" ref="AI516:AJ516" si="1012">SUM(AI508:AI515)</f>
        <v>0</v>
      </c>
      <c r="AJ516" s="111">
        <f t="shared" si="1012"/>
        <v>0</v>
      </c>
      <c r="AK516" s="112">
        <f>IF(SUM(AK508:AK515)=0,TIME(,0,),TIME(,SUM(AK508:AK515)+F!$V$37,))</f>
        <v>0</v>
      </c>
      <c r="AL516" s="98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ht="15.75" hidden="1" customHeight="1">
      <c r="A517" s="113">
        <f>A518</f>
        <v>43845</v>
      </c>
      <c r="B517" s="114" t="str">
        <f t="shared" ref="B517:F517" si="1013">IF(B461="","",B461)</f>
        <v>Тяжелая</v>
      </c>
      <c r="C517" s="115" t="str">
        <f t="shared" si="1013"/>
        <v>ТГ</v>
      </c>
      <c r="D517" s="116" t="str">
        <f t="shared" si="1013"/>
        <v>Становая тяга</v>
      </c>
      <c r="E517" s="29">
        <f t="shared" si="1013"/>
        <v>1.4</v>
      </c>
      <c r="F517" s="117" t="str">
        <f t="shared" si="1013"/>
        <v/>
      </c>
      <c r="G517" s="118" t="str">
        <f t="shared" ref="G517:G524" si="1015">IF(J517&lt;&gt;0, IFERROR(IF( $F517=2,  MROUND($AH517*J517,1),    IF( OR($F517="",$F517=1),   MROUND($AH517*J517,2.5),  MROUND($AH517*J517, 0.1))), "" ), "")</f>
        <v/>
      </c>
      <c r="H517" s="119"/>
      <c r="I517" s="119"/>
      <c r="J517" s="120"/>
      <c r="K517" s="118" t="str">
        <f t="shared" ref="K517:K524" si="1016">IF(N517&lt;&gt;0, IFERROR(IF( $F517=2,  MROUND($AH517*N517,1),    IF( OR($F517="",$F517=1),   MROUND($AH517*N517,2.5),  MROUND($AH517*N517, 0.1))), "" ), "")</f>
        <v/>
      </c>
      <c r="L517" s="119"/>
      <c r="M517" s="119"/>
      <c r="N517" s="120"/>
      <c r="O517" s="118" t="str">
        <f t="shared" ref="O517:O524" si="1017">IF(R517&lt;&gt;0, IFERROR(IF( $F517=2,  MROUND($AH517*R517,1),    IF( OR($F517="",$F517=1),   MROUND($AH517*R517,2.5),  MROUND($AH517*R517, 0.1))), "" ), "")</f>
        <v/>
      </c>
      <c r="P517" s="119"/>
      <c r="Q517" s="119"/>
      <c r="R517" s="120"/>
      <c r="S517" s="118" t="str">
        <f t="shared" ref="S517:S524" si="1018">IF(V517&lt;&gt;0, IFERROR(IF( $F517=2,  MROUND($AH517*V517,1),    IF( OR($F517="",$F517=1),   MROUND($AH517*V517,2.5),  MROUND($AH517*V517, 0.1))), "" ), "")</f>
        <v/>
      </c>
      <c r="T517" s="119"/>
      <c r="U517" s="119"/>
      <c r="V517" s="120"/>
      <c r="W517" s="118" t="str">
        <f t="shared" ref="W517:W524" si="1019">IF(Z517&lt;&gt;0, IFERROR(IF( $F517=2,  MROUND($AH517*Z517,1),    IF( OR($F517="",$F517=1),   MROUND($AH517*Z517,2.5),  MROUND($AH517*Z517, 0.1))), "" ), "")</f>
        <v/>
      </c>
      <c r="X517" s="119"/>
      <c r="Y517" s="119"/>
      <c r="Z517" s="120"/>
      <c r="AA517" s="118" t="str">
        <f t="shared" ref="AA517:AA524" si="1020">IF(AD517&lt;&gt;0, IFERROR(IF( $F517=2,  MROUND($AH517*AD517,1),    IF( OR($F517="",$F517=1),   MROUND($AH517*AD517,2.5),  MROUND($AH517*AD517, 0.1))), "" ), "")</f>
        <v/>
      </c>
      <c r="AB517" s="119"/>
      <c r="AC517" s="119"/>
      <c r="AD517" s="120"/>
      <c r="AE517" s="121">
        <f t="shared" ref="AE517:AE524" si="1021">(IF(ISNUMBER(G517),G517,0)*H517*I517+IF(ISNUMBER(K517),K517,1)*L517*M517+IF(ISNUMBER(O517),O517,1)*P517*Q517+IF(ISNUMBER(S517),S517,1)*T517*U517+IF(ISNUMBER(W517),W517,1)*X517*Y517+IF(ISNUMBER(AA517),AA517,1)*AB517*AC517)*IF(ISNUMBER(F517),F517,1)</f>
        <v>0</v>
      </c>
      <c r="AF517" s="122">
        <f t="shared" si="1002"/>
        <v>0</v>
      </c>
      <c r="AG517" s="200">
        <f t="shared" ref="AG517:AG524" si="1022">IFERROR((AF517/(AH517*IF(ISNUMBER(F517),F517,1))),0)</f>
        <v>0</v>
      </c>
      <c r="AH517" s="169">
        <f t="shared" ref="AH517:AH524" si="1023">IF(ISNUMBER(AH461), AH461+(AH461*$AH$506),"")</f>
        <v>221.0921252</v>
      </c>
      <c r="AI517" s="122">
        <f> ( IF(ISNUMBER(G517), VLOOKUP(G517/$AH517,F!$A1:$B101,2,1)*G517*$H517*$I517,0)+IF(ISNUMBER(K517), VLOOKUP(K517/$AH517,F!$A1:$B101,2,1)*K517*$L517*$M517,0)+IF(ISNUMBER(O517), VLOOKUP(O517/$AH517,F!$A1:$B101,2,1)*O517*$P517*$Q517,0)+IF(ISNUMBER(S517), VLOOKUP(S517/$AH517,F!$A1:$B101,2,1)*S517*$T517*$U517,0)+IF(ISNUMBER(W517), VLOOKUP(W517/$AH517,F!$A1:$B101,2,1)*W517*$X517*$Y517,0)+IF(ISNUMBER(AA517), VLOOKUP(AA517/$AH517,F!$A1:$B101,2,1)*AA517*$AB517*$AC517,0))*IF(ISNUMBER(F517),F517,1)*IF(ISNUMBER(E517),E517,1)</f>
        <v>0</v>
      </c>
      <c r="AJ517" s="119">
        <f t="shared" ref="AJ517:AJ524" si="1024">H517*I517+L517*M517+P517*Q517+T517*U517+X517*Y517+AB517*AC517</f>
        <v>0</v>
      </c>
      <c r="AK517" s="125">
        <f t="array" ref="AK517">IFERROR(I517*INDEX(F!$P$21:$AB$33, MATCH(G517/$AH517, F!$O$21:$O$33,1), MATCH(E517, F!$P$20:$AB$20,1)), 0 ) +IFERROR( M517*INDEX(F!$P$21:$AB$33, MATCH(K517/$AH517, F!$O$21:$O$33,1), MATCH(E517, F!$P$20:$AB$20,1)),0) +  IFERROR( Q517*INDEX(F!$P$21:$AB$33, MATCH(O517/$AH517, F!$O$21:$O$33,1), MATCH(E517, F!$P$20:$AB$20,1)), 0) + IFERROR( U517*INDEX(F!$P$21:$AB$33, MATCH(S517/$AH517, F!$O$21:$O$33,1), MATCH(E517, F!$P$20:$AB$20,1)),0)  + IFERROR(Y517*INDEX(F!$P$21:$AB$33, MATCH(W517/$AH517, F!$O$21:$O$33,1), MATCH(E517, F!$P$20:$AB$20,1)),0)  + IFERROR( AC517*INDEX(F!$P$21:$AB$33, MATCH(AA517/$AH517, F!$O$21:$O$33,1), MATCH(E517, F!$P$20:$AB$20,1)),)</f>
        <v>0</v>
      </c>
      <c r="AL517" s="42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ht="15.75" hidden="1" customHeight="1">
      <c r="A518" s="44">
        <f>A462+A450</f>
        <v>43845</v>
      </c>
      <c r="B518" s="126" t="str">
        <f t="shared" ref="B518:F518" si="1014">IF(B462="","",B462)</f>
        <v>Средняя</v>
      </c>
      <c r="C518" s="127" t="str">
        <f t="shared" si="1014"/>
        <v>ЖМ</v>
      </c>
      <c r="D518" s="128" t="str">
        <f t="shared" si="1014"/>
        <v>Жим лежа</v>
      </c>
      <c r="E518" s="48">
        <f t="shared" si="1014"/>
        <v>1</v>
      </c>
      <c r="F518" s="129" t="str">
        <f t="shared" si="1014"/>
        <v/>
      </c>
      <c r="G518" s="130" t="str">
        <f t="shared" si="1015"/>
        <v/>
      </c>
      <c r="H518" s="34"/>
      <c r="I518" s="34"/>
      <c r="J518" s="65"/>
      <c r="K518" s="130" t="str">
        <f t="shared" si="1016"/>
        <v/>
      </c>
      <c r="L518" s="34"/>
      <c r="M518" s="34"/>
      <c r="N518" s="65"/>
      <c r="O518" s="130" t="str">
        <f t="shared" si="1017"/>
        <v/>
      </c>
      <c r="P518" s="34"/>
      <c r="Q518" s="34"/>
      <c r="R518" s="65"/>
      <c r="S518" s="130" t="str">
        <f t="shared" si="1018"/>
        <v/>
      </c>
      <c r="T518" s="34"/>
      <c r="U518" s="34"/>
      <c r="V518" s="65"/>
      <c r="W518" s="130" t="str">
        <f t="shared" si="1019"/>
        <v/>
      </c>
      <c r="X518" s="34"/>
      <c r="Y518" s="34"/>
      <c r="Z518" s="65"/>
      <c r="AA518" s="130" t="str">
        <f t="shared" si="1020"/>
        <v/>
      </c>
      <c r="AB518" s="34"/>
      <c r="AC518" s="34"/>
      <c r="AD518" s="65"/>
      <c r="AE518" s="131">
        <f t="shared" si="1021"/>
        <v>0</v>
      </c>
      <c r="AF518" s="132">
        <f t="shared" si="1002"/>
        <v>0</v>
      </c>
      <c r="AG518" s="133">
        <f t="shared" si="1022"/>
        <v>0</v>
      </c>
      <c r="AH518" s="76">
        <f t="shared" si="1023"/>
        <v>113.533794</v>
      </c>
      <c r="AI518" s="132">
        <f> ( IF(ISNUMBER(G518), VLOOKUP(G518/$AH518,F!$A1:$B101,2,1)*G518*$H518*$I518,0)+IF(ISNUMBER(K518), VLOOKUP(K518/$AH518,F!$A1:$B101,2,1)*K518*$L518*$M518,0)+IF(ISNUMBER(O518), VLOOKUP(O518/$AH518,F!$A1:$B101,2,1)*O518*$P518*$Q518,0)+IF(ISNUMBER(S518), VLOOKUP(S518/$AH518,F!$A1:$B101,2,1)*S518*$T518*$U518,0)+IF(ISNUMBER(W518), VLOOKUP(W518/$AH518,F!$A1:$B101,2,1)*W518*$X518*$Y518,0)+IF(ISNUMBER(AA518), VLOOKUP(AA518/$AH518,F!$A1:$B101,2,1)*AA518*$AB518*$AC518,0))*IF(ISNUMBER(F518),F518,1)*IF(ISNUMBER(E518),E518,1)</f>
        <v>0</v>
      </c>
      <c r="AJ518" s="34">
        <f t="shared" si="1024"/>
        <v>0</v>
      </c>
      <c r="AK518" s="134">
        <f t="array" ref="AK518">IFERROR(I518*INDEX(F!$P$21:$AB$33, MATCH(G518/$AH518, F!$O$21:$O$33,1), MATCH(E518, F!$P$20:$AB$20,1)), 0 ) +IFERROR( M518*INDEX(F!$P$21:$AB$33, MATCH(K518/$AH518, F!$O$21:$O$33,1), MATCH(E518, F!$P$20:$AB$20,1)),0) +  IFERROR( Q518*INDEX(F!$P$21:$AB$33, MATCH(O518/$AH518, F!$O$21:$O$33,1), MATCH(E518, F!$P$20:$AB$20,1)), 0) + IFERROR( U518*INDEX(F!$P$21:$AB$33, MATCH(S518/$AH518, F!$O$21:$O$33,1), MATCH(E518, F!$P$20:$AB$20,1)),0)  + IFERROR(Y518*INDEX(F!$P$21:$AB$33, MATCH(W518/$AH518, F!$O$21:$O$33,1), MATCH(E518, F!$P$20:$AB$20,1)),0)  + IFERROR( AC518*INDEX(F!$P$21:$AB$33, MATCH(AA518/$AH518, F!$O$21:$O$33,1), MATCH(E518, F!$P$20:$AB$20,1)),)</f>
        <v>0</v>
      </c>
      <c r="AL518" s="59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ht="15.75" hidden="1" customHeight="1">
      <c r="A519" s="59"/>
      <c r="B519" s="135" t="str">
        <f t="shared" ref="B519:F519" si="1025">IF(B463="","",B463)</f>
        <v>Легкая</v>
      </c>
      <c r="C519" s="136" t="str">
        <f t="shared" si="1025"/>
        <v>ОФП</v>
      </c>
      <c r="D519" s="137" t="str">
        <f t="shared" si="1025"/>
        <v>Наклоны со штангой</v>
      </c>
      <c r="E519" s="48">
        <f t="shared" si="1025"/>
        <v>0.8</v>
      </c>
      <c r="F519" s="138" t="str">
        <f t="shared" si="1025"/>
        <v/>
      </c>
      <c r="G519" s="139" t="str">
        <f t="shared" si="1015"/>
        <v/>
      </c>
      <c r="H519" s="140"/>
      <c r="I519" s="140"/>
      <c r="J519" s="141"/>
      <c r="K519" s="139" t="str">
        <f t="shared" si="1016"/>
        <v/>
      </c>
      <c r="L519" s="140"/>
      <c r="M519" s="140"/>
      <c r="N519" s="141"/>
      <c r="O519" s="139" t="str">
        <f t="shared" si="1017"/>
        <v/>
      </c>
      <c r="P519" s="140"/>
      <c r="Q519" s="140"/>
      <c r="R519" s="141"/>
      <c r="S519" s="139" t="str">
        <f t="shared" si="1018"/>
        <v/>
      </c>
      <c r="T519" s="140"/>
      <c r="U519" s="140"/>
      <c r="V519" s="141"/>
      <c r="W519" s="139" t="str">
        <f t="shared" si="1019"/>
        <v/>
      </c>
      <c r="X519" s="140"/>
      <c r="Y519" s="140"/>
      <c r="Z519" s="141"/>
      <c r="AA519" s="139" t="str">
        <f t="shared" si="1020"/>
        <v/>
      </c>
      <c r="AB519" s="140"/>
      <c r="AC519" s="140"/>
      <c r="AD519" s="141"/>
      <c r="AE519" s="142">
        <f t="shared" si="1021"/>
        <v>0</v>
      </c>
      <c r="AF519" s="143">
        <f t="shared" si="1002"/>
        <v>0</v>
      </c>
      <c r="AG519" s="144">
        <f t="shared" si="1022"/>
        <v>0</v>
      </c>
      <c r="AH519" s="76">
        <f t="shared" si="1023"/>
        <v>121.6006689</v>
      </c>
      <c r="AI519" s="143">
        <f> ( IF(ISNUMBER(G519), VLOOKUP(G519/$AH519,F!$A1:$B101,2,1)*G519*$H519*$I519,0)+IF(ISNUMBER(K519), VLOOKUP(K519/$AH519,F!$A1:$B101,2,1)*K519*$L519*$M519,0)+IF(ISNUMBER(O519), VLOOKUP(O519/$AH519,F!$A1:$B101,2,1)*O519*$P519*$Q519,0)+IF(ISNUMBER(S519), VLOOKUP(S519/$AH519,F!$A1:$B101,2,1)*S519*$T519*$U519,0)+IF(ISNUMBER(W519), VLOOKUP(W519/$AH519,F!$A1:$B101,2,1)*W519*$X519*$Y519,0)+IF(ISNUMBER(AA519), VLOOKUP(AA519/$AH519,F!$A1:$B101,2,1)*AA519*$AB519*$AC519,0))*IF(ISNUMBER(F519),F519,1)*IF(ISNUMBER(E519),E519,1)</f>
        <v>0</v>
      </c>
      <c r="AJ519" s="140">
        <f t="shared" si="1024"/>
        <v>0</v>
      </c>
      <c r="AK519" s="145">
        <f t="array" ref="AK519">IFERROR(I519*INDEX(F!$P$21:$AB$33, MATCH(G519/$AH519, F!$O$21:$O$33,1), MATCH(E519, F!$P$20:$AB$20,1)), 0 ) +IFERROR( M519*INDEX(F!$P$21:$AB$33, MATCH(K519/$AH519, F!$O$21:$O$33,1), MATCH(E519, F!$P$20:$AB$20,1)),0) +  IFERROR( Q519*INDEX(F!$P$21:$AB$33, MATCH(O519/$AH519, F!$O$21:$O$33,1), MATCH(E519, F!$P$20:$AB$20,1)), 0) + IFERROR( U519*INDEX(F!$P$21:$AB$33, MATCH(S519/$AH519, F!$O$21:$O$33,1), MATCH(E519, F!$P$20:$AB$20,1)),0)  + IFERROR(Y519*INDEX(F!$P$21:$AB$33, MATCH(W519/$AH519, F!$O$21:$O$33,1), MATCH(E519, F!$P$20:$AB$20,1)),0)  + IFERROR( AC519*INDEX(F!$P$21:$AB$33, MATCH(AA519/$AH519, F!$O$21:$O$33,1), MATCH(E519, F!$P$20:$AB$20,1)),)</f>
        <v>0</v>
      </c>
      <c r="AL519" s="59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ht="15.75" hidden="1" customHeight="1">
      <c r="A520" s="59"/>
      <c r="B520" s="126" t="str">
        <f t="shared" ref="B520:F520" si="1026">IF(B464="","",B464)</f>
        <v>Средняя</v>
      </c>
      <c r="C520" s="127" t="str">
        <f t="shared" si="1026"/>
        <v>ОФП</v>
      </c>
      <c r="D520" s="128" t="str">
        <f t="shared" si="1026"/>
        <v>Жим стоя</v>
      </c>
      <c r="E520" s="48">
        <f t="shared" si="1026"/>
        <v>1</v>
      </c>
      <c r="F520" s="129" t="str">
        <f t="shared" si="1026"/>
        <v/>
      </c>
      <c r="G520" s="130" t="str">
        <f t="shared" si="1015"/>
        <v/>
      </c>
      <c r="H520" s="34"/>
      <c r="I520" s="34"/>
      <c r="J520" s="65"/>
      <c r="K520" s="130" t="str">
        <f t="shared" si="1016"/>
        <v/>
      </c>
      <c r="L520" s="34"/>
      <c r="M520" s="34"/>
      <c r="N520" s="65"/>
      <c r="O520" s="130" t="str">
        <f t="shared" si="1017"/>
        <v/>
      </c>
      <c r="P520" s="34"/>
      <c r="Q520" s="34"/>
      <c r="R520" s="65"/>
      <c r="S520" s="130" t="str">
        <f t="shared" si="1018"/>
        <v/>
      </c>
      <c r="T520" s="34"/>
      <c r="U520" s="34"/>
      <c r="V520" s="65"/>
      <c r="W520" s="130" t="str">
        <f t="shared" si="1019"/>
        <v/>
      </c>
      <c r="X520" s="34"/>
      <c r="Y520" s="34"/>
      <c r="Z520" s="65"/>
      <c r="AA520" s="130" t="str">
        <f t="shared" si="1020"/>
        <v/>
      </c>
      <c r="AB520" s="34"/>
      <c r="AC520" s="34"/>
      <c r="AD520" s="65"/>
      <c r="AE520" s="131">
        <f t="shared" si="1021"/>
        <v>0</v>
      </c>
      <c r="AF520" s="132">
        <f t="shared" si="1002"/>
        <v>0</v>
      </c>
      <c r="AG520" s="133">
        <f t="shared" si="1022"/>
        <v>0</v>
      </c>
      <c r="AH520" s="76">
        <f t="shared" si="1023"/>
        <v>68.12027641</v>
      </c>
      <c r="AI520" s="132">
        <f> ( IF(ISNUMBER(G520), VLOOKUP(G520/$AH520,F!$A1:$B101,2,1)*G520*$H520*$I520,0)+IF(ISNUMBER(K520), VLOOKUP(K520/$AH520,F!$A1:$B101,2,1)*K520*$L520*$M520,0)+IF(ISNUMBER(O520), VLOOKUP(O520/$AH520,F!$A1:$B101,2,1)*O520*$P520*$Q520,0)+IF(ISNUMBER(S520), VLOOKUP(S520/$AH520,F!$A1:$B101,2,1)*S520*$T520*$U520,0)+IF(ISNUMBER(W520), VLOOKUP(W520/$AH520,F!$A1:$B101,2,1)*W520*$X520*$Y520,0)+IF(ISNUMBER(AA520), VLOOKUP(AA520/$AH520,F!$A1:$B101,2,1)*AA520*$AB520*$AC520,0))*IF(ISNUMBER(F520),F520,1)*IF(ISNUMBER(E520),E520,1)</f>
        <v>0</v>
      </c>
      <c r="AJ520" s="34">
        <f t="shared" si="1024"/>
        <v>0</v>
      </c>
      <c r="AK520" s="134">
        <f t="array" ref="AK520">IFERROR(I520*INDEX(F!$P$21:$AB$33, MATCH(G520/$AH520, F!$O$21:$O$33,1), MATCH(E520, F!$P$20:$AB$20,1)), 0 ) +IFERROR( M520*INDEX(F!$P$21:$AB$33, MATCH(K520/$AH520, F!$O$21:$O$33,1), MATCH(E520, F!$P$20:$AB$20,1)),0) +  IFERROR( Q520*INDEX(F!$P$21:$AB$33, MATCH(O520/$AH520, F!$O$21:$O$33,1), MATCH(E520, F!$P$20:$AB$20,1)), 0) + IFERROR( U520*INDEX(F!$P$21:$AB$33, MATCH(S520/$AH520, F!$O$21:$O$33,1), MATCH(E520, F!$P$20:$AB$20,1)),0)  + IFERROR(Y520*INDEX(F!$P$21:$AB$33, MATCH(W520/$AH520, F!$O$21:$O$33,1), MATCH(E520, F!$P$20:$AB$20,1)),0)  + IFERROR( AC520*INDEX(F!$P$21:$AB$33, MATCH(AA520/$AH520, F!$O$21:$O$33,1), MATCH(E520, F!$P$20:$AB$20,1)),)</f>
        <v>0</v>
      </c>
      <c r="AL520" s="59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ht="15.75" hidden="1" customHeight="1">
      <c r="A521" s="59"/>
      <c r="B521" s="135" t="str">
        <f t="shared" ref="B521:F521" si="1027">IF(B465="","",B465)</f>
        <v>Средняя</v>
      </c>
      <c r="C521" s="136" t="str">
        <f t="shared" si="1027"/>
        <v>ЖМ</v>
      </c>
      <c r="D521" s="137" t="str">
        <f t="shared" si="1027"/>
        <v>Жим средним хватом</v>
      </c>
      <c r="E521" s="48">
        <f t="shared" si="1027"/>
        <v>1</v>
      </c>
      <c r="F521" s="138" t="str">
        <f t="shared" si="1027"/>
        <v/>
      </c>
      <c r="G521" s="139" t="str">
        <f t="shared" si="1015"/>
        <v/>
      </c>
      <c r="H521" s="140"/>
      <c r="I521" s="140"/>
      <c r="J521" s="141"/>
      <c r="K521" s="139" t="str">
        <f t="shared" si="1016"/>
        <v/>
      </c>
      <c r="L521" s="140"/>
      <c r="M521" s="140"/>
      <c r="N521" s="141"/>
      <c r="O521" s="139" t="str">
        <f t="shared" si="1017"/>
        <v/>
      </c>
      <c r="P521" s="140"/>
      <c r="Q521" s="140"/>
      <c r="R521" s="141"/>
      <c r="S521" s="139" t="str">
        <f t="shared" si="1018"/>
        <v/>
      </c>
      <c r="T521" s="140"/>
      <c r="U521" s="140"/>
      <c r="V521" s="141"/>
      <c r="W521" s="139" t="str">
        <f t="shared" si="1019"/>
        <v/>
      </c>
      <c r="X521" s="140"/>
      <c r="Y521" s="140"/>
      <c r="Z521" s="141"/>
      <c r="AA521" s="139" t="str">
        <f t="shared" si="1020"/>
        <v/>
      </c>
      <c r="AB521" s="140"/>
      <c r="AC521" s="140"/>
      <c r="AD521" s="141"/>
      <c r="AE521" s="142">
        <f t="shared" si="1021"/>
        <v>0</v>
      </c>
      <c r="AF521" s="143">
        <f t="shared" si="1002"/>
        <v>0</v>
      </c>
      <c r="AG521" s="144">
        <f t="shared" si="1022"/>
        <v>0</v>
      </c>
      <c r="AH521" s="76">
        <f t="shared" si="1023"/>
        <v>96.50372492</v>
      </c>
      <c r="AI521" s="143">
        <f> ( IF(ISNUMBER(G521), VLOOKUP(G521/$AH521,F!$A1:$B101,2,1)*G521*$H521*$I521,0)+IF(ISNUMBER(K521), VLOOKUP(K521/$AH521,F!$A1:$B101,2,1)*K521*$L521*$M521,0)+IF(ISNUMBER(O521), VLOOKUP(O521/$AH521,F!$A1:$B101,2,1)*O521*$P521*$Q521,0)+IF(ISNUMBER(S521), VLOOKUP(S521/$AH521,F!$A1:$B101,2,1)*S521*$T521*$U521,0)+IF(ISNUMBER(W521), VLOOKUP(W521/$AH521,F!$A1:$B101,2,1)*W521*$X521*$Y521,0)+IF(ISNUMBER(AA521), VLOOKUP(AA521/$AH521,F!$A1:$B101,2,1)*AA521*$AB521*$AC521,0))*IF(ISNUMBER(F521),F521,1)*IF(ISNUMBER(E521),E521,1)</f>
        <v>0</v>
      </c>
      <c r="AJ521" s="140">
        <f t="shared" si="1024"/>
        <v>0</v>
      </c>
      <c r="AK521" s="145">
        <f t="array" ref="AK521">IFERROR(I521*INDEX(F!$P$21:$AB$33, MATCH(G521/$AH521, F!$O$21:$O$33,1), MATCH(E521, F!$P$20:$AB$20,1)), 0 ) +IFERROR( M521*INDEX(F!$P$21:$AB$33, MATCH(K521/$AH521, F!$O$21:$O$33,1), MATCH(E521, F!$P$20:$AB$20,1)),0) +  IFERROR( Q521*INDEX(F!$P$21:$AB$33, MATCH(O521/$AH521, F!$O$21:$O$33,1), MATCH(E521, F!$P$20:$AB$20,1)), 0) + IFERROR( U521*INDEX(F!$P$21:$AB$33, MATCH(S521/$AH521, F!$O$21:$O$33,1), MATCH(E521, F!$P$20:$AB$20,1)),0)  + IFERROR(Y521*INDEX(F!$P$21:$AB$33, MATCH(W521/$AH521, F!$O$21:$O$33,1), MATCH(E521, F!$P$20:$AB$20,1)),0)  + IFERROR( AC521*INDEX(F!$P$21:$AB$33, MATCH(AA521/$AH521, F!$O$21:$O$33,1), MATCH(E521, F!$P$20:$AB$20,1)),)</f>
        <v>0</v>
      </c>
      <c r="AL521" s="59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ht="15.75" hidden="1" customHeight="1">
      <c r="A522" s="59"/>
      <c r="B522" s="126" t="str">
        <f t="shared" ref="B522:F522" si="1028">IF(B466="","",B466)</f>
        <v/>
      </c>
      <c r="C522" s="127" t="str">
        <f t="shared" si="1028"/>
        <v/>
      </c>
      <c r="D522" s="128" t="str">
        <f t="shared" si="1028"/>
        <v/>
      </c>
      <c r="E522" s="48" t="str">
        <f t="shared" si="1028"/>
        <v/>
      </c>
      <c r="F522" s="129" t="str">
        <f t="shared" si="1028"/>
        <v/>
      </c>
      <c r="G522" s="130" t="str">
        <f t="shared" si="1015"/>
        <v/>
      </c>
      <c r="H522" s="34"/>
      <c r="I522" s="34"/>
      <c r="J522" s="65"/>
      <c r="K522" s="130" t="str">
        <f t="shared" si="1016"/>
        <v/>
      </c>
      <c r="L522" s="34"/>
      <c r="M522" s="34"/>
      <c r="N522" s="65"/>
      <c r="O522" s="130" t="str">
        <f t="shared" si="1017"/>
        <v/>
      </c>
      <c r="P522" s="34"/>
      <c r="Q522" s="34"/>
      <c r="R522" s="65"/>
      <c r="S522" s="130" t="str">
        <f t="shared" si="1018"/>
        <v/>
      </c>
      <c r="T522" s="34"/>
      <c r="U522" s="34"/>
      <c r="V522" s="65"/>
      <c r="W522" s="130" t="str">
        <f t="shared" si="1019"/>
        <v/>
      </c>
      <c r="X522" s="34"/>
      <c r="Y522" s="34"/>
      <c r="Z522" s="65"/>
      <c r="AA522" s="130" t="str">
        <f t="shared" si="1020"/>
        <v/>
      </c>
      <c r="AB522" s="34"/>
      <c r="AC522" s="34"/>
      <c r="AD522" s="65"/>
      <c r="AE522" s="131">
        <f t="shared" si="1021"/>
        <v>0</v>
      </c>
      <c r="AF522" s="132">
        <f t="shared" si="1002"/>
        <v>0</v>
      </c>
      <c r="AG522" s="133">
        <f t="shared" si="1022"/>
        <v>0</v>
      </c>
      <c r="AH522" s="76" t="str">
        <f t="shared" si="1023"/>
        <v/>
      </c>
      <c r="AI522" s="132">
        <f> ( IF(ISNUMBER(G522), VLOOKUP(G522/$AH522,F!$A1:$B101,2,1)*G522*$H522*$I522,0)+IF(ISNUMBER(K522), VLOOKUP(K522/$AH522,F!$A1:$B101,2,1)*K522*$L522*$M522,0)+IF(ISNUMBER(O522), VLOOKUP(O522/$AH522,F!$A1:$B101,2,1)*O522*$P522*$Q522,0)+IF(ISNUMBER(S522), VLOOKUP(S522/$AH522,F!$A1:$B101,2,1)*S522*$T522*$U522,0)+IF(ISNUMBER(W522), VLOOKUP(W522/$AH522,F!$A1:$B101,2,1)*W522*$X522*$Y522,0)+IF(ISNUMBER(AA522), VLOOKUP(AA522/$AH522,F!$A1:$B101,2,1)*AA522*$AB522*$AC522,0))*IF(ISNUMBER(F522),F522,1)*IF(ISNUMBER(E522),E522,1)</f>
        <v>0</v>
      </c>
      <c r="AJ522" s="34">
        <f t="shared" si="1024"/>
        <v>0</v>
      </c>
      <c r="AK522" s="134">
        <f t="array" ref="AK522">IFERROR(I522*INDEX(F!$P$21:$AB$33, MATCH(G522/$AH522, F!$O$21:$O$33,1), MATCH(E522, F!$P$20:$AB$20,1)), 0 ) +IFERROR( M522*INDEX(F!$P$21:$AB$33, MATCH(K522/$AH522, F!$O$21:$O$33,1), MATCH(E522, F!$P$20:$AB$20,1)),0) +  IFERROR( Q522*INDEX(F!$P$21:$AB$33, MATCH(O522/$AH522, F!$O$21:$O$33,1), MATCH(E522, F!$P$20:$AB$20,1)), 0) + IFERROR( U522*INDEX(F!$P$21:$AB$33, MATCH(S522/$AH522, F!$O$21:$O$33,1), MATCH(E522, F!$P$20:$AB$20,1)),0)  + IFERROR(Y522*INDEX(F!$P$21:$AB$33, MATCH(W522/$AH522, F!$O$21:$O$33,1), MATCH(E522, F!$P$20:$AB$20,1)),0)  + IFERROR( AC522*INDEX(F!$P$21:$AB$33, MATCH(AA522/$AH522, F!$O$21:$O$33,1), MATCH(E522, F!$P$20:$AB$20,1)),)</f>
        <v>0</v>
      </c>
      <c r="AL522" s="59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ht="15.75" hidden="1" customHeight="1">
      <c r="A523" s="59"/>
      <c r="B523" s="135" t="str">
        <f t="shared" ref="B523:F523" si="1029">IF(B467="","",B467)</f>
        <v/>
      </c>
      <c r="C523" s="136" t="str">
        <f t="shared" si="1029"/>
        <v/>
      </c>
      <c r="D523" s="137" t="str">
        <f t="shared" si="1029"/>
        <v/>
      </c>
      <c r="E523" s="48" t="str">
        <f t="shared" si="1029"/>
        <v/>
      </c>
      <c r="F523" s="138" t="str">
        <f t="shared" si="1029"/>
        <v/>
      </c>
      <c r="G523" s="139" t="str">
        <f t="shared" si="1015"/>
        <v/>
      </c>
      <c r="H523" s="140"/>
      <c r="I523" s="140"/>
      <c r="J523" s="141"/>
      <c r="K523" s="139" t="str">
        <f t="shared" si="1016"/>
        <v/>
      </c>
      <c r="L523" s="140"/>
      <c r="M523" s="140"/>
      <c r="N523" s="141"/>
      <c r="O523" s="139" t="str">
        <f t="shared" si="1017"/>
        <v/>
      </c>
      <c r="P523" s="140"/>
      <c r="Q523" s="140"/>
      <c r="R523" s="141"/>
      <c r="S523" s="139" t="str">
        <f t="shared" si="1018"/>
        <v/>
      </c>
      <c r="T523" s="140"/>
      <c r="U523" s="140"/>
      <c r="V523" s="141"/>
      <c r="W523" s="139" t="str">
        <f t="shared" si="1019"/>
        <v/>
      </c>
      <c r="X523" s="140"/>
      <c r="Y523" s="140"/>
      <c r="Z523" s="141"/>
      <c r="AA523" s="139" t="str">
        <f t="shared" si="1020"/>
        <v/>
      </c>
      <c r="AB523" s="140"/>
      <c r="AC523" s="140"/>
      <c r="AD523" s="141"/>
      <c r="AE523" s="142">
        <f t="shared" si="1021"/>
        <v>0</v>
      </c>
      <c r="AF523" s="143">
        <f t="shared" si="1002"/>
        <v>0</v>
      </c>
      <c r="AG523" s="144">
        <f t="shared" si="1022"/>
        <v>0</v>
      </c>
      <c r="AH523" s="76" t="str">
        <f t="shared" si="1023"/>
        <v/>
      </c>
      <c r="AI523" s="143">
        <f> ( IF(ISNUMBER(G523), VLOOKUP(G523/$AH523,F!$A1:$B101,2,1)*G523*$H523*$I523,0)+IF(ISNUMBER(K523), VLOOKUP(K523/$AH523,F!$A1:$B101,2,1)*K523*$L523*$M523,0)+IF(ISNUMBER(O523), VLOOKUP(O523/$AH523,F!$A1:$B101,2,1)*O523*$P523*$Q523,0)+IF(ISNUMBER(S523), VLOOKUP(S523/$AH523,F!$A1:$B101,2,1)*S523*$T523*$U523,0)+IF(ISNUMBER(W523), VLOOKUP(W523/$AH523,F!$A1:$B101,2,1)*W523*$X523*$Y523,0)+IF(ISNUMBER(AA523), VLOOKUP(AA523/$AH523,F!$A1:$B101,2,1)*AA523*$AB523*$AC523,0))*IF(ISNUMBER(F523),F523,1)*IF(ISNUMBER(E523),E523,1)</f>
        <v>0</v>
      </c>
      <c r="AJ523" s="140">
        <f t="shared" si="1024"/>
        <v>0</v>
      </c>
      <c r="AK523" s="145">
        <f t="array" ref="AK523">IFERROR(I523*INDEX(F!$P$21:$AB$33, MATCH(G523/$AH523, F!$O$21:$O$33,1), MATCH(E523, F!$P$20:$AB$20,1)), 0 ) +IFERROR( M523*INDEX(F!$P$21:$AB$33, MATCH(K523/$AH523, F!$O$21:$O$33,1), MATCH(E523, F!$P$20:$AB$20,1)),0) +  IFERROR( Q523*INDEX(F!$P$21:$AB$33, MATCH(O523/$AH523, F!$O$21:$O$33,1), MATCH(E523, F!$P$20:$AB$20,1)), 0) + IFERROR( U523*INDEX(F!$P$21:$AB$33, MATCH(S523/$AH523, F!$O$21:$O$33,1), MATCH(E523, F!$P$20:$AB$20,1)),0)  + IFERROR(Y523*INDEX(F!$P$21:$AB$33, MATCH(W523/$AH523, F!$O$21:$O$33,1), MATCH(E523, F!$P$20:$AB$20,1)),0)  + IFERROR( AC523*INDEX(F!$P$21:$AB$33, MATCH(AA523/$AH523, F!$O$21:$O$33,1), MATCH(E523, F!$P$20:$AB$20,1)),)</f>
        <v>0</v>
      </c>
      <c r="AL523" s="59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ht="15.75" hidden="1" customHeight="1">
      <c r="A524" s="59"/>
      <c r="B524" s="126" t="str">
        <f t="shared" ref="B524:F524" si="1030">IF(B468="","",B468)</f>
        <v/>
      </c>
      <c r="C524" s="127" t="str">
        <f t="shared" si="1030"/>
        <v/>
      </c>
      <c r="D524" s="128" t="str">
        <f t="shared" si="1030"/>
        <v/>
      </c>
      <c r="E524" s="48" t="str">
        <f t="shared" si="1030"/>
        <v/>
      </c>
      <c r="F524" s="129" t="str">
        <f t="shared" si="1030"/>
        <v/>
      </c>
      <c r="G524" s="130" t="str">
        <f t="shared" si="1015"/>
        <v/>
      </c>
      <c r="H524" s="34"/>
      <c r="I524" s="34"/>
      <c r="J524" s="65"/>
      <c r="K524" s="130" t="str">
        <f t="shared" si="1016"/>
        <v/>
      </c>
      <c r="L524" s="34"/>
      <c r="M524" s="34"/>
      <c r="N524" s="65"/>
      <c r="O524" s="130" t="str">
        <f t="shared" si="1017"/>
        <v/>
      </c>
      <c r="P524" s="34"/>
      <c r="Q524" s="34"/>
      <c r="R524" s="65"/>
      <c r="S524" s="130" t="str">
        <f t="shared" si="1018"/>
        <v/>
      </c>
      <c r="T524" s="34"/>
      <c r="U524" s="34"/>
      <c r="V524" s="65"/>
      <c r="W524" s="130" t="str">
        <f t="shared" si="1019"/>
        <v/>
      </c>
      <c r="X524" s="34"/>
      <c r="Y524" s="34"/>
      <c r="Z524" s="65"/>
      <c r="AA524" s="130" t="str">
        <f t="shared" si="1020"/>
        <v/>
      </c>
      <c r="AB524" s="34"/>
      <c r="AC524" s="34"/>
      <c r="AD524" s="65"/>
      <c r="AE524" s="131">
        <f t="shared" si="1021"/>
        <v>0</v>
      </c>
      <c r="AF524" s="132">
        <f t="shared" si="1002"/>
        <v>0</v>
      </c>
      <c r="AG524" s="133">
        <f t="shared" si="1022"/>
        <v>0</v>
      </c>
      <c r="AH524" s="76" t="str">
        <f t="shared" si="1023"/>
        <v/>
      </c>
      <c r="AI524" s="132">
        <f> ( IF(ISNUMBER(G524), VLOOKUP(G524/$AH524,F!$A1:$B101,2,1)*G524*$H524*$I524,0)+IF(ISNUMBER(K524), VLOOKUP(K524/$AH524,F!$A1:$B101,2,1)*K524*$L524*$M524,0)+IF(ISNUMBER(O524), VLOOKUP(O524/$AH524,F!$A1:$B101,2,1)*O524*$P524*$Q524,0)+IF(ISNUMBER(S524), VLOOKUP(S524/$AH524,F!$A1:$B101,2,1)*S524*$T524*$U524,0)+IF(ISNUMBER(W524), VLOOKUP(W524/$AH524,F!$A1:$B101,2,1)*W524*$X524*$Y524,0)+IF(ISNUMBER(AA524), VLOOKUP(AA524/$AH524,F!$A1:$B101,2,1)*AA524*$AB524*$AC524,0))*IF(ISNUMBER(F524),F524,1)*IF(ISNUMBER(E524),E524,1)</f>
        <v>0</v>
      </c>
      <c r="AJ524" s="34">
        <f t="shared" si="1024"/>
        <v>0</v>
      </c>
      <c r="AK524" s="134">
        <f t="array" ref="AK524">IFERROR(I524*INDEX(F!$P$21:$AB$33, MATCH(G524/$AH524, F!$O$21:$O$33,1), MATCH(E524, F!$P$20:$AB$20,1)), 0 ) +IFERROR( M524*INDEX(F!$P$21:$AB$33, MATCH(K524/$AH524, F!$O$21:$O$33,1), MATCH(E524, F!$P$20:$AB$20,1)),0) +  IFERROR( Q524*INDEX(F!$P$21:$AB$33, MATCH(O524/$AH524, F!$O$21:$O$33,1), MATCH(E524, F!$P$20:$AB$20,1)), 0) + IFERROR( U524*INDEX(F!$P$21:$AB$33, MATCH(S524/$AH524, F!$O$21:$O$33,1), MATCH(E524, F!$P$20:$AB$20,1)),0)  + IFERROR(Y524*INDEX(F!$P$21:$AB$33, MATCH(W524/$AH524, F!$O$21:$O$33,1), MATCH(E524, F!$P$20:$AB$20,1)),0)  + IFERROR( AC524*INDEX(F!$P$21:$AB$33, MATCH(AA524/$AH524, F!$O$21:$O$33,1), MATCH(E524, F!$P$20:$AB$20,1)),)</f>
        <v>0</v>
      </c>
      <c r="AL524" s="59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ht="15.75" hidden="1" customHeight="1">
      <c r="A525" s="98"/>
      <c r="B525" s="150"/>
      <c r="C525" s="151"/>
      <c r="D525" s="152"/>
      <c r="E525" s="102">
        <f>ROUND(IFERROR(SUMPRODUCT(AJ517:AJ524,E517:E524)/AJ525,0),3)</f>
        <v>0</v>
      </c>
      <c r="F525" s="153"/>
      <c r="G525" s="154"/>
      <c r="H525" s="155"/>
      <c r="I525" s="155"/>
      <c r="J525" s="156"/>
      <c r="K525" s="154"/>
      <c r="L525" s="155"/>
      <c r="M525" s="155"/>
      <c r="N525" s="156"/>
      <c r="O525" s="154"/>
      <c r="P525" s="155"/>
      <c r="Q525" s="155"/>
      <c r="R525" s="156"/>
      <c r="S525" s="154"/>
      <c r="T525" s="155"/>
      <c r="U525" s="155"/>
      <c r="V525" s="156"/>
      <c r="W525" s="154"/>
      <c r="X525" s="155"/>
      <c r="Y525" s="155"/>
      <c r="Z525" s="156"/>
      <c r="AA525" s="154"/>
      <c r="AB525" s="155"/>
      <c r="AC525" s="155"/>
      <c r="AD525" s="156"/>
      <c r="AE525" s="107">
        <f>SUM(AE517:AE524)</f>
        <v>0</v>
      </c>
      <c r="AF525" s="108">
        <f t="shared" si="1002"/>
        <v>0</v>
      </c>
      <c r="AG525" s="109">
        <f>IFERROR(  SUMPRODUCT(AG517:AG524,AJ517:AJ524)/AJ525,0)</f>
        <v>0</v>
      </c>
      <c r="AH525" s="157"/>
      <c r="AI525" s="111">
        <f t="shared" ref="AI525:AJ525" si="1031">SUM(AI517:AI524)</f>
        <v>0</v>
      </c>
      <c r="AJ525" s="111">
        <f t="shared" si="1031"/>
        <v>0</v>
      </c>
      <c r="AK525" s="112">
        <f>IF(SUM(AK517:AK524)=0,TIME(,0,),TIME(,SUM(AK517:AK524)+F!$V$37,))</f>
        <v>0</v>
      </c>
      <c r="AL525" s="98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ht="15.75" hidden="1" customHeight="1">
      <c r="A526" s="158">
        <f>A527</f>
        <v>43847</v>
      </c>
      <c r="B526" s="159" t="str">
        <f t="shared" ref="B526:F526" si="1032">IF(B470="","",B470)</f>
        <v>Тяжелая</v>
      </c>
      <c r="C526" s="160" t="str">
        <f t="shared" si="1032"/>
        <v>ПР</v>
      </c>
      <c r="D526" s="161" t="str">
        <f t="shared" si="1032"/>
        <v>Присед</v>
      </c>
      <c r="E526" s="29">
        <f t="shared" si="1032"/>
        <v>1.2</v>
      </c>
      <c r="F526" s="162" t="str">
        <f t="shared" si="1032"/>
        <v/>
      </c>
      <c r="G526" s="163" t="str">
        <f t="shared" ref="G526:G533" si="1034">IF(J526&lt;&gt;0, IFERROR(IF( $F526=2,  MROUND($AH526*J526,1),    IF( OR($F526="",$F526=1),   MROUND($AH526*J526,2.5),  MROUND($AH526*J526, 0.1))), "" ), "")</f>
        <v/>
      </c>
      <c r="H526" s="164"/>
      <c r="I526" s="164"/>
      <c r="J526" s="165"/>
      <c r="K526" s="163" t="str">
        <f t="shared" ref="K526:K533" si="1035">IF(N526&lt;&gt;0, IFERROR(IF( $F526=2,  MROUND($AH526*N526,1),    IF( OR($F526="",$F526=1),   MROUND($AH526*N526,2.5),  MROUND($AH526*N526, 0.1))), "" ), "")</f>
        <v/>
      </c>
      <c r="L526" s="164"/>
      <c r="M526" s="164"/>
      <c r="N526" s="165"/>
      <c r="O526" s="163" t="str">
        <f t="shared" ref="O526:O533" si="1036">IF(R526&lt;&gt;0, IFERROR(IF( $F526=2,  MROUND($AH526*R526,1),    IF( OR($F526="",$F526=1),   MROUND($AH526*R526,2.5),  MROUND($AH526*R526, 0.1))), "" ), "")</f>
        <v/>
      </c>
      <c r="P526" s="164"/>
      <c r="Q526" s="164"/>
      <c r="R526" s="165"/>
      <c r="S526" s="163" t="str">
        <f t="shared" ref="S526:S533" si="1037">IF(V526&lt;&gt;0, IFERROR(IF( $F526=2,  MROUND($AH526*V526,1),    IF( OR($F526="",$F526=1),   MROUND($AH526*V526,2.5),  MROUND($AH526*V526, 0.1))), "" ), "")</f>
        <v/>
      </c>
      <c r="T526" s="164"/>
      <c r="U526" s="164"/>
      <c r="V526" s="165"/>
      <c r="W526" s="163" t="str">
        <f t="shared" ref="W526:W533" si="1038">IF(Z526&lt;&gt;0, IFERROR(IF( $F526=2,  MROUND($AH526*Z526,1),    IF( OR($F526="",$F526=1),   MROUND($AH526*Z526,2.5),  MROUND($AH526*Z526, 0.1))), "" ), "")</f>
        <v/>
      </c>
      <c r="X526" s="164"/>
      <c r="Y526" s="164"/>
      <c r="Z526" s="165"/>
      <c r="AA526" s="163" t="str">
        <f t="shared" ref="AA526:AA533" si="1039">IF(AD526&lt;&gt;0, IFERROR(IF( $F526=2,  MROUND($AH526*AD526,1),    IF( OR($F526="",$F526=1),   MROUND($AH526*AD526,2.5),  MROUND($AH526*AD526, 0.1))), "" ), "")</f>
        <v/>
      </c>
      <c r="AB526" s="164"/>
      <c r="AC526" s="164"/>
      <c r="AD526" s="165"/>
      <c r="AE526" s="166">
        <f t="shared" ref="AE526:AE533" si="1040">(IF(ISNUMBER(G526),G526,0)*H526*I526+IF(ISNUMBER(K526),K526,1)*L526*M526+IF(ISNUMBER(O526),O526,1)*P526*Q526+IF(ISNUMBER(S526),S526,1)*T526*U526+IF(ISNUMBER(W526),W526,1)*X526*Y526+IF(ISNUMBER(AA526),AA526,1)*AB526*AC526)*IF(ISNUMBER(F526),F526,1)</f>
        <v>0</v>
      </c>
      <c r="AF526" s="167">
        <f t="shared" si="1002"/>
        <v>0</v>
      </c>
      <c r="AG526" s="168">
        <f t="shared" ref="AG526:AG533" si="1041">IFERROR((AF526/(AH526*IF(ISNUMBER(F526),F526,1))),0)</f>
        <v>0</v>
      </c>
      <c r="AH526" s="169">
        <f t="shared" ref="AH526:AH533" si="1042">IF(ISNUMBER(AH470), AH470+(AH470*$AH$506),"")</f>
        <v>161.3374968</v>
      </c>
      <c r="AI526" s="167">
        <f> ( IF(ISNUMBER(G526), VLOOKUP(G526/$AH526,F!$A1:$B101,2,1)*G526*$H526*$I526,0)+IF(ISNUMBER(K526), VLOOKUP(K526/$AH526,F!$A1:$B101,2,1)*K526*$L526*$M526,0)+IF(ISNUMBER(O526), VLOOKUP(O526/$AH526,F!$A1:$B101,2,1)*O526*$P526*$Q526,0)+IF(ISNUMBER(S526), VLOOKUP(S526/$AH526,F!$A1:$B101,2,1)*S526*$T526*$U526,0)+IF(ISNUMBER(W526), VLOOKUP(W526/$AH526,F!$A1:$B101,2,1)*W526*$X526*$Y526,0)+IF(ISNUMBER(AA526), VLOOKUP(AA526/$AH526,F!$A1:$B101,2,1)*AA526*$AB526*$AC526,0))*IF(ISNUMBER(F526),F526,1)*IF(ISNUMBER(E526),E526,1)</f>
        <v>0</v>
      </c>
      <c r="AJ526" s="164">
        <f t="shared" ref="AJ526:AJ533" si="1043">H526*I526+L526*M526+P526*Q526+T526*U526+X526*Y526+AB526*AC526</f>
        <v>0</v>
      </c>
      <c r="AK526" s="170">
        <f t="array" ref="AK526">IFERROR(I526*INDEX(F!$P$21:$AB$33, MATCH(G526/$AH526, F!$O$21:$O$33,1), MATCH(E526, F!$P$20:$AB$20,1)), 0 ) +IFERROR( M526*INDEX(F!$P$21:$AB$33, MATCH(K526/$AH526, F!$O$21:$O$33,1), MATCH(E526, F!$P$20:$AB$20,1)),0) +  IFERROR( Q526*INDEX(F!$P$21:$AB$33, MATCH(O526/$AH526, F!$O$21:$O$33,1), MATCH(E526, F!$P$20:$AB$20,1)), 0) + IFERROR( U526*INDEX(F!$P$21:$AB$33, MATCH(S526/$AH526, F!$O$21:$O$33,1), MATCH(E526, F!$P$20:$AB$20,1)),0)  + IFERROR(Y526*INDEX(F!$P$21:$AB$33, MATCH(W526/$AH526, F!$O$21:$O$33,1), MATCH(E526, F!$P$20:$AB$20,1)),0)  + IFERROR( AC526*INDEX(F!$P$21:$AB$33, MATCH(AA526/$AH526, F!$O$21:$O$33,1), MATCH(E526, F!$P$20:$AB$20,1)),)</f>
        <v>0</v>
      </c>
      <c r="AL526" s="42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ht="15.75" hidden="1" customHeight="1">
      <c r="A527" s="44">
        <f>A471+A450</f>
        <v>43847</v>
      </c>
      <c r="B527" s="135" t="str">
        <f t="shared" ref="B527:F527" si="1033">IF(B471="","",B471)</f>
        <v>Тяжелая</v>
      </c>
      <c r="C527" s="136" t="str">
        <f t="shared" si="1033"/>
        <v>ЖМ</v>
      </c>
      <c r="D527" s="137" t="str">
        <f t="shared" si="1033"/>
        <v>Жим лежа</v>
      </c>
      <c r="E527" s="48">
        <f t="shared" si="1033"/>
        <v>1</v>
      </c>
      <c r="F527" s="138" t="str">
        <f t="shared" si="1033"/>
        <v/>
      </c>
      <c r="G527" s="139" t="str">
        <f t="shared" si="1034"/>
        <v/>
      </c>
      <c r="H527" s="140"/>
      <c r="I527" s="140"/>
      <c r="J527" s="141"/>
      <c r="K527" s="139" t="str">
        <f t="shared" si="1035"/>
        <v/>
      </c>
      <c r="L527" s="140"/>
      <c r="M527" s="140"/>
      <c r="N527" s="141"/>
      <c r="O527" s="139" t="str">
        <f t="shared" si="1036"/>
        <v/>
      </c>
      <c r="P527" s="140"/>
      <c r="Q527" s="140"/>
      <c r="R527" s="141"/>
      <c r="S527" s="139" t="str">
        <f t="shared" si="1037"/>
        <v/>
      </c>
      <c r="T527" s="140"/>
      <c r="U527" s="140"/>
      <c r="V527" s="141"/>
      <c r="W527" s="139" t="str">
        <f t="shared" si="1038"/>
        <v/>
      </c>
      <c r="X527" s="140"/>
      <c r="Y527" s="140"/>
      <c r="Z527" s="141"/>
      <c r="AA527" s="139" t="str">
        <f t="shared" si="1039"/>
        <v/>
      </c>
      <c r="AB527" s="140"/>
      <c r="AC527" s="140"/>
      <c r="AD527" s="141"/>
      <c r="AE527" s="142">
        <f t="shared" si="1040"/>
        <v>0</v>
      </c>
      <c r="AF527" s="143">
        <f t="shared" si="1002"/>
        <v>0</v>
      </c>
      <c r="AG527" s="144">
        <f t="shared" si="1041"/>
        <v>0</v>
      </c>
      <c r="AH527" s="76">
        <f t="shared" si="1042"/>
        <v>113.533794</v>
      </c>
      <c r="AI527" s="143">
        <f> ( IF(ISNUMBER(G527), VLOOKUP(G527/$AH527,F!$A1:$B101,2,1)*G527*$H527*$I527,0)+IF(ISNUMBER(K527), VLOOKUP(K527/$AH527,F!$A1:$B101,2,1)*K527*$L527*$M527,0)+IF(ISNUMBER(O527), VLOOKUP(O527/$AH527,F!$A1:$B101,2,1)*O527*$P527*$Q527,0)+IF(ISNUMBER(S527), VLOOKUP(S527/$AH527,F!$A1:$B101,2,1)*S527*$T527*$U527,0)+IF(ISNUMBER(W527), VLOOKUP(W527/$AH527,F!$A1:$B101,2,1)*W527*$X527*$Y527,0)+IF(ISNUMBER(AA527), VLOOKUP(AA527/$AH527,F!$A1:$B101,2,1)*AA527*$AB527*$AC527,0))*IF(ISNUMBER(F527),F527,1)*IF(ISNUMBER(E527),E527,1)</f>
        <v>0</v>
      </c>
      <c r="AJ527" s="140">
        <f t="shared" si="1043"/>
        <v>0</v>
      </c>
      <c r="AK527" s="145">
        <f t="array" ref="AK527">IFERROR(I527*INDEX(F!$P$21:$AB$33, MATCH(G527/$AH527, F!$O$21:$O$33,1), MATCH(E527, F!$P$20:$AB$20,1)), 0 ) +IFERROR( M527*INDEX(F!$P$21:$AB$33, MATCH(K527/$AH527, F!$O$21:$O$33,1), MATCH(E527, F!$P$20:$AB$20,1)),0) +  IFERROR( Q527*INDEX(F!$P$21:$AB$33, MATCH(O527/$AH527, F!$O$21:$O$33,1), MATCH(E527, F!$P$20:$AB$20,1)), 0) + IFERROR( U527*INDEX(F!$P$21:$AB$33, MATCH(S527/$AH527, F!$O$21:$O$33,1), MATCH(E527, F!$P$20:$AB$20,1)),0)  + IFERROR(Y527*INDEX(F!$P$21:$AB$33, MATCH(W527/$AH527, F!$O$21:$O$33,1), MATCH(E527, F!$P$20:$AB$20,1)),0)  + IFERROR( AC527*INDEX(F!$P$21:$AB$33, MATCH(AA527/$AH527, F!$O$21:$O$33,1), MATCH(E527, F!$P$20:$AB$20,1)),)</f>
        <v>0</v>
      </c>
      <c r="AL527" s="59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ht="15.75" hidden="1" customHeight="1">
      <c r="A528" s="59"/>
      <c r="B528" s="173" t="str">
        <f t="shared" ref="B528:F528" si="1044">IF(B472="","",B472)</f>
        <v>Средняя</v>
      </c>
      <c r="C528" s="174" t="str">
        <f t="shared" si="1044"/>
        <v>ПР</v>
      </c>
      <c r="D528" s="175" t="str">
        <f t="shared" si="1044"/>
        <v>Присед</v>
      </c>
      <c r="E528" s="48">
        <f t="shared" si="1044"/>
        <v>1.2</v>
      </c>
      <c r="F528" s="176" t="str">
        <f t="shared" si="1044"/>
        <v/>
      </c>
      <c r="G528" s="177" t="str">
        <f t="shared" si="1034"/>
        <v/>
      </c>
      <c r="H528" s="178"/>
      <c r="I528" s="178"/>
      <c r="J528" s="179"/>
      <c r="K528" s="177" t="str">
        <f t="shared" si="1035"/>
        <v/>
      </c>
      <c r="L528" s="178"/>
      <c r="M528" s="178"/>
      <c r="N528" s="179"/>
      <c r="O528" s="177" t="str">
        <f t="shared" si="1036"/>
        <v/>
      </c>
      <c r="P528" s="178"/>
      <c r="Q528" s="178"/>
      <c r="R528" s="179"/>
      <c r="S528" s="177" t="str">
        <f t="shared" si="1037"/>
        <v/>
      </c>
      <c r="T528" s="178"/>
      <c r="U528" s="178"/>
      <c r="V528" s="179"/>
      <c r="W528" s="177" t="str">
        <f t="shared" si="1038"/>
        <v/>
      </c>
      <c r="X528" s="178"/>
      <c r="Y528" s="178"/>
      <c r="Z528" s="179"/>
      <c r="AA528" s="177" t="str">
        <f t="shared" si="1039"/>
        <v/>
      </c>
      <c r="AB528" s="178"/>
      <c r="AC528" s="178"/>
      <c r="AD528" s="179"/>
      <c r="AE528" s="180">
        <f t="shared" si="1040"/>
        <v>0</v>
      </c>
      <c r="AF528" s="181">
        <f t="shared" si="1002"/>
        <v>0</v>
      </c>
      <c r="AG528" s="182">
        <f t="shared" si="1041"/>
        <v>0</v>
      </c>
      <c r="AH528" s="76">
        <f t="shared" si="1042"/>
        <v>161.3374968</v>
      </c>
      <c r="AI528" s="181">
        <f> ( IF(ISNUMBER(G528), VLOOKUP(G528/$AH528,F!$A1:$B101,2,1)*G528*$H528*$I528,0)+IF(ISNUMBER(K528), VLOOKUP(K528/$AH528,F!$A1:$B101,2,1)*K528*$L528*$M528,0)+IF(ISNUMBER(O528), VLOOKUP(O528/$AH528,F!$A1:$B101,2,1)*O528*$P528*$Q528,0)+IF(ISNUMBER(S528), VLOOKUP(S528/$AH528,F!$A1:$B101,2,1)*S528*$T528*$U528,0)+IF(ISNUMBER(W528), VLOOKUP(W528/$AH528,F!$A1:$B101,2,1)*W528*$X528*$Y528,0)+IF(ISNUMBER(AA528), VLOOKUP(AA528/$AH528,F!$A1:$B101,2,1)*AA528*$AB528*$AC528,0))*IF(ISNUMBER(F528),F528,1)*IF(ISNUMBER(E528),E528,1)</f>
        <v>0</v>
      </c>
      <c r="AJ528" s="178">
        <f t="shared" si="1043"/>
        <v>0</v>
      </c>
      <c r="AK528" s="183">
        <f t="array" ref="AK528">IFERROR(I528*INDEX(F!$P$21:$AB$33, MATCH(G528/$AH528, F!$O$21:$O$33,1), MATCH(E528, F!$P$20:$AB$20,1)), 0 ) +IFERROR( M528*INDEX(F!$P$21:$AB$33, MATCH(K528/$AH528, F!$O$21:$O$33,1), MATCH(E528, F!$P$20:$AB$20,1)),0) +  IFERROR( Q528*INDEX(F!$P$21:$AB$33, MATCH(O528/$AH528, F!$O$21:$O$33,1), MATCH(E528, F!$P$20:$AB$20,1)), 0) + IFERROR( U528*INDEX(F!$P$21:$AB$33, MATCH(S528/$AH528, F!$O$21:$O$33,1), MATCH(E528, F!$P$20:$AB$20,1)),0)  + IFERROR(Y528*INDEX(F!$P$21:$AB$33, MATCH(W528/$AH528, F!$O$21:$O$33,1), MATCH(E528, F!$P$20:$AB$20,1)),0)  + IFERROR( AC528*INDEX(F!$P$21:$AB$33, MATCH(AA528/$AH528, F!$O$21:$O$33,1), MATCH(E528, F!$P$20:$AB$20,1)),)</f>
        <v>0</v>
      </c>
      <c r="AL528" s="59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ht="15.75" hidden="1" customHeight="1">
      <c r="A529" s="59"/>
      <c r="B529" s="135" t="str">
        <f t="shared" ref="B529:F529" si="1045">IF(B473="","",B473)</f>
        <v>Средняя</v>
      </c>
      <c r="C529" s="136" t="str">
        <f t="shared" si="1045"/>
        <v>ЖМ</v>
      </c>
      <c r="D529" s="137" t="str">
        <f t="shared" si="1045"/>
        <v>Жим на наклонной скамье</v>
      </c>
      <c r="E529" s="48">
        <f t="shared" si="1045"/>
        <v>1</v>
      </c>
      <c r="F529" s="138" t="str">
        <f t="shared" si="1045"/>
        <v/>
      </c>
      <c r="G529" s="139" t="str">
        <f t="shared" si="1034"/>
        <v/>
      </c>
      <c r="H529" s="140"/>
      <c r="I529" s="140"/>
      <c r="J529" s="141"/>
      <c r="K529" s="139" t="str">
        <f t="shared" si="1035"/>
        <v/>
      </c>
      <c r="L529" s="140"/>
      <c r="M529" s="140"/>
      <c r="N529" s="141"/>
      <c r="O529" s="139" t="str">
        <f t="shared" si="1036"/>
        <v/>
      </c>
      <c r="P529" s="140"/>
      <c r="Q529" s="140"/>
      <c r="R529" s="141"/>
      <c r="S529" s="139" t="str">
        <f t="shared" si="1037"/>
        <v/>
      </c>
      <c r="T529" s="140"/>
      <c r="U529" s="140"/>
      <c r="V529" s="141"/>
      <c r="W529" s="139" t="str">
        <f t="shared" si="1038"/>
        <v/>
      </c>
      <c r="X529" s="140"/>
      <c r="Y529" s="140"/>
      <c r="Z529" s="141"/>
      <c r="AA529" s="139" t="str">
        <f t="shared" si="1039"/>
        <v/>
      </c>
      <c r="AB529" s="140"/>
      <c r="AC529" s="140"/>
      <c r="AD529" s="141"/>
      <c r="AE529" s="142">
        <f t="shared" si="1040"/>
        <v>0</v>
      </c>
      <c r="AF529" s="143">
        <f t="shared" si="1002"/>
        <v>0</v>
      </c>
      <c r="AG529" s="144">
        <f t="shared" si="1041"/>
        <v>0</v>
      </c>
      <c r="AH529" s="76">
        <f t="shared" si="1042"/>
        <v>90.82703522</v>
      </c>
      <c r="AI529" s="143">
        <f> ( IF(ISNUMBER(G529), VLOOKUP(G529/$AH529,F!$A1:$B101,2,1)*G529*$H529*$I529,0)+IF(ISNUMBER(K529), VLOOKUP(K529/$AH529,F!$A1:$B101,2,1)*K529*$L529*$M529,0)+IF(ISNUMBER(O529), VLOOKUP(O529/$AH529,F!$A1:$B101,2,1)*O529*$P529*$Q529,0)+IF(ISNUMBER(S529), VLOOKUP(S529/$AH529,F!$A1:$B101,2,1)*S529*$T529*$U529,0)+IF(ISNUMBER(W529), VLOOKUP(W529/$AH529,F!$A1:$B101,2,1)*W529*$X529*$Y529,0)+IF(ISNUMBER(AA529), VLOOKUP(AA529/$AH529,F!$A1:$B101,2,1)*AA529*$AB529*$AC529,0))*IF(ISNUMBER(F529),F529,1)*IF(ISNUMBER(E529),E529,1)</f>
        <v>0</v>
      </c>
      <c r="AJ529" s="140">
        <f t="shared" si="1043"/>
        <v>0</v>
      </c>
      <c r="AK529" s="145">
        <f t="array" ref="AK529">IFERROR(I529*INDEX(F!$P$21:$AB$33, MATCH(G529/$AH529, F!$O$21:$O$33,1), MATCH(E529, F!$P$20:$AB$20,1)), 0 ) +IFERROR( M529*INDEX(F!$P$21:$AB$33, MATCH(K529/$AH529, F!$O$21:$O$33,1), MATCH(E529, F!$P$20:$AB$20,1)),0) +  IFERROR( Q529*INDEX(F!$P$21:$AB$33, MATCH(O529/$AH529, F!$O$21:$O$33,1), MATCH(E529, F!$P$20:$AB$20,1)), 0) + IFERROR( U529*INDEX(F!$P$21:$AB$33, MATCH(S529/$AH529, F!$O$21:$O$33,1), MATCH(E529, F!$P$20:$AB$20,1)),0)  + IFERROR(Y529*INDEX(F!$P$21:$AB$33, MATCH(W529/$AH529, F!$O$21:$O$33,1), MATCH(E529, F!$P$20:$AB$20,1)),0)  + IFERROR( AC529*INDEX(F!$P$21:$AB$33, MATCH(AA529/$AH529, F!$O$21:$O$33,1), MATCH(E529, F!$P$20:$AB$20,1)),)</f>
        <v>0</v>
      </c>
      <c r="AL529" s="59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ht="15.75" hidden="1" customHeight="1">
      <c r="A530" s="59"/>
      <c r="B530" s="173" t="str">
        <f t="shared" ref="B530:F530" si="1046">IF(B474="","",B474)</f>
        <v>Средняя</v>
      </c>
      <c r="C530" s="174" t="str">
        <f t="shared" si="1046"/>
        <v>ОФП</v>
      </c>
      <c r="D530" s="175" t="str">
        <f t="shared" si="1046"/>
        <v>Бицепс стоя</v>
      </c>
      <c r="E530" s="48">
        <f t="shared" si="1046"/>
        <v>0.5</v>
      </c>
      <c r="F530" s="176" t="str">
        <f t="shared" si="1046"/>
        <v/>
      </c>
      <c r="G530" s="177" t="str">
        <f t="shared" si="1034"/>
        <v/>
      </c>
      <c r="H530" s="178"/>
      <c r="I530" s="178"/>
      <c r="J530" s="179"/>
      <c r="K530" s="177" t="str">
        <f t="shared" si="1035"/>
        <v/>
      </c>
      <c r="L530" s="178"/>
      <c r="M530" s="178"/>
      <c r="N530" s="179"/>
      <c r="O530" s="177" t="str">
        <f t="shared" si="1036"/>
        <v/>
      </c>
      <c r="P530" s="178"/>
      <c r="Q530" s="178"/>
      <c r="R530" s="179"/>
      <c r="S530" s="177" t="str">
        <f t="shared" si="1037"/>
        <v/>
      </c>
      <c r="T530" s="178"/>
      <c r="U530" s="178"/>
      <c r="V530" s="179"/>
      <c r="W530" s="177" t="str">
        <f t="shared" si="1038"/>
        <v/>
      </c>
      <c r="X530" s="178"/>
      <c r="Y530" s="178"/>
      <c r="Z530" s="179"/>
      <c r="AA530" s="177" t="str">
        <f t="shared" si="1039"/>
        <v/>
      </c>
      <c r="AB530" s="178"/>
      <c r="AC530" s="178"/>
      <c r="AD530" s="179"/>
      <c r="AE530" s="180">
        <f t="shared" si="1040"/>
        <v>0</v>
      </c>
      <c r="AF530" s="181">
        <f t="shared" si="1002"/>
        <v>0</v>
      </c>
      <c r="AG530" s="182">
        <f t="shared" si="1041"/>
        <v>0</v>
      </c>
      <c r="AH530" s="76" t="str">
        <f t="shared" si="1042"/>
        <v/>
      </c>
      <c r="AI530" s="181">
        <f> ( IF(ISNUMBER(G530), VLOOKUP(G530/$AH530,F!$A1:$B101,2,1)*G530*$H530*$I530,0)+IF(ISNUMBER(K530), VLOOKUP(K530/$AH530,F!$A1:$B101,2,1)*K530*$L530*$M530,0)+IF(ISNUMBER(O530), VLOOKUP(O530/$AH530,F!$A1:$B101,2,1)*O530*$P530*$Q530,0)+IF(ISNUMBER(S530), VLOOKUP(S530/$AH530,F!$A1:$B101,2,1)*S530*$T530*$U530,0)+IF(ISNUMBER(W530), VLOOKUP(W530/$AH530,F!$A1:$B101,2,1)*W530*$X530*$Y530,0)+IF(ISNUMBER(AA530), VLOOKUP(AA530/$AH530,F!$A1:$B101,2,1)*AA530*$AB530*$AC530,0))*IF(ISNUMBER(F530),F530,1)*IF(ISNUMBER(E530),E530,1)</f>
        <v>0</v>
      </c>
      <c r="AJ530" s="178">
        <f t="shared" si="1043"/>
        <v>0</v>
      </c>
      <c r="AK530" s="183">
        <f t="array" ref="AK530">IFERROR(I530*INDEX(F!$P$21:$AB$33, MATCH(G530/$AH530, F!$O$21:$O$33,1), MATCH(E530, F!$P$20:$AB$20,1)), 0 ) +IFERROR( M530*INDEX(F!$P$21:$AB$33, MATCH(K530/$AH530, F!$O$21:$O$33,1), MATCH(E530, F!$P$20:$AB$20,1)),0) +  IFERROR( Q530*INDEX(F!$P$21:$AB$33, MATCH(O530/$AH530, F!$O$21:$O$33,1), MATCH(E530, F!$P$20:$AB$20,1)), 0) + IFERROR( U530*INDEX(F!$P$21:$AB$33, MATCH(S530/$AH530, F!$O$21:$O$33,1), MATCH(E530, F!$P$20:$AB$20,1)),0)  + IFERROR(Y530*INDEX(F!$P$21:$AB$33, MATCH(W530/$AH530, F!$O$21:$O$33,1), MATCH(E530, F!$P$20:$AB$20,1)),0)  + IFERROR( AC530*INDEX(F!$P$21:$AB$33, MATCH(AA530/$AH530, F!$O$21:$O$33,1), MATCH(E530, F!$P$20:$AB$20,1)),)</f>
        <v>0</v>
      </c>
      <c r="AL530" s="59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ht="15.75" hidden="1" customHeight="1">
      <c r="A531" s="59"/>
      <c r="B531" s="135" t="str">
        <f t="shared" ref="B531:F531" si="1047">IF(B475="","",B475)</f>
        <v/>
      </c>
      <c r="C531" s="136" t="str">
        <f t="shared" si="1047"/>
        <v/>
      </c>
      <c r="D531" s="137" t="str">
        <f t="shared" si="1047"/>
        <v/>
      </c>
      <c r="E531" s="48" t="str">
        <f t="shared" si="1047"/>
        <v/>
      </c>
      <c r="F531" s="138" t="str">
        <f t="shared" si="1047"/>
        <v/>
      </c>
      <c r="G531" s="139" t="str">
        <f t="shared" si="1034"/>
        <v/>
      </c>
      <c r="H531" s="140"/>
      <c r="I531" s="140"/>
      <c r="J531" s="141"/>
      <c r="K531" s="139" t="str">
        <f t="shared" si="1035"/>
        <v/>
      </c>
      <c r="L531" s="140"/>
      <c r="M531" s="140"/>
      <c r="N531" s="141"/>
      <c r="O531" s="139" t="str">
        <f t="shared" si="1036"/>
        <v/>
      </c>
      <c r="P531" s="140"/>
      <c r="Q531" s="140"/>
      <c r="R531" s="141"/>
      <c r="S531" s="139" t="str">
        <f t="shared" si="1037"/>
        <v/>
      </c>
      <c r="T531" s="140"/>
      <c r="U531" s="140"/>
      <c r="V531" s="141"/>
      <c r="W531" s="139" t="str">
        <f t="shared" si="1038"/>
        <v/>
      </c>
      <c r="X531" s="140"/>
      <c r="Y531" s="140"/>
      <c r="Z531" s="141"/>
      <c r="AA531" s="139" t="str">
        <f t="shared" si="1039"/>
        <v/>
      </c>
      <c r="AB531" s="140"/>
      <c r="AC531" s="140"/>
      <c r="AD531" s="141"/>
      <c r="AE531" s="142">
        <f t="shared" si="1040"/>
        <v>0</v>
      </c>
      <c r="AF531" s="143">
        <f t="shared" si="1002"/>
        <v>0</v>
      </c>
      <c r="AG531" s="144">
        <f t="shared" si="1041"/>
        <v>0</v>
      </c>
      <c r="AH531" s="76" t="str">
        <f t="shared" si="1042"/>
        <v/>
      </c>
      <c r="AI531" s="143">
        <f> ( IF(ISNUMBER(G531), VLOOKUP(G531/$AH531,F!$A1:$B101,2,1)*G531*$H531*$I531,0)+IF(ISNUMBER(K531), VLOOKUP(K531/$AH531,F!$A1:$B101,2,1)*K531*$L531*$M531,0)+IF(ISNUMBER(O531), VLOOKUP(O531/$AH531,F!$A1:$B101,2,1)*O531*$P531*$Q531,0)+IF(ISNUMBER(S531), VLOOKUP(S531/$AH531,F!$A1:$B101,2,1)*S531*$T531*$U531,0)+IF(ISNUMBER(W531), VLOOKUP(W531/$AH531,F!$A1:$B101,2,1)*W531*$X531*$Y531,0)+IF(ISNUMBER(AA531), VLOOKUP(AA531/$AH531,F!$A1:$B101,2,1)*AA531*$AB531*$AC531,0))*IF(ISNUMBER(F531),F531,1)*IF(ISNUMBER(E531),E531,1)</f>
        <v>0</v>
      </c>
      <c r="AJ531" s="140">
        <f t="shared" si="1043"/>
        <v>0</v>
      </c>
      <c r="AK531" s="145">
        <f t="array" ref="AK531">IFERROR(I531*INDEX(F!$P$21:$AB$33, MATCH(G531/$AH531, F!$O$21:$O$33,1), MATCH(E531, F!$P$20:$AB$20,1)), 0 ) +IFERROR( M531*INDEX(F!$P$21:$AB$33, MATCH(K531/$AH531, F!$O$21:$O$33,1), MATCH(E531, F!$P$20:$AB$20,1)),0) +  IFERROR( Q531*INDEX(F!$P$21:$AB$33, MATCH(O531/$AH531, F!$O$21:$O$33,1), MATCH(E531, F!$P$20:$AB$20,1)), 0) + IFERROR( U531*INDEX(F!$P$21:$AB$33, MATCH(S531/$AH531, F!$O$21:$O$33,1), MATCH(E531, F!$P$20:$AB$20,1)),0)  + IFERROR(Y531*INDEX(F!$P$21:$AB$33, MATCH(W531/$AH531, F!$O$21:$O$33,1), MATCH(E531, F!$P$20:$AB$20,1)),0)  + IFERROR( AC531*INDEX(F!$P$21:$AB$33, MATCH(AA531/$AH531, F!$O$21:$O$33,1), MATCH(E531, F!$P$20:$AB$20,1)),)</f>
        <v>0</v>
      </c>
      <c r="AL531" s="59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ht="15.75" hidden="1" customHeight="1">
      <c r="A532" s="59"/>
      <c r="B532" s="173" t="str">
        <f t="shared" ref="B532:F532" si="1048">IF(B476="","",B476)</f>
        <v/>
      </c>
      <c r="C532" s="174" t="str">
        <f t="shared" si="1048"/>
        <v/>
      </c>
      <c r="D532" s="175" t="str">
        <f t="shared" si="1048"/>
        <v/>
      </c>
      <c r="E532" s="48" t="str">
        <f t="shared" si="1048"/>
        <v/>
      </c>
      <c r="F532" s="176" t="str">
        <f t="shared" si="1048"/>
        <v/>
      </c>
      <c r="G532" s="177" t="str">
        <f t="shared" si="1034"/>
        <v/>
      </c>
      <c r="H532" s="178"/>
      <c r="I532" s="178"/>
      <c r="J532" s="179"/>
      <c r="K532" s="177" t="str">
        <f t="shared" si="1035"/>
        <v/>
      </c>
      <c r="L532" s="178"/>
      <c r="M532" s="178"/>
      <c r="N532" s="179"/>
      <c r="O532" s="177" t="str">
        <f t="shared" si="1036"/>
        <v/>
      </c>
      <c r="P532" s="178"/>
      <c r="Q532" s="178"/>
      <c r="R532" s="179"/>
      <c r="S532" s="177" t="str">
        <f t="shared" si="1037"/>
        <v/>
      </c>
      <c r="T532" s="178"/>
      <c r="U532" s="178"/>
      <c r="V532" s="179"/>
      <c r="W532" s="177" t="str">
        <f t="shared" si="1038"/>
        <v/>
      </c>
      <c r="X532" s="178"/>
      <c r="Y532" s="178"/>
      <c r="Z532" s="179"/>
      <c r="AA532" s="177" t="str">
        <f t="shared" si="1039"/>
        <v/>
      </c>
      <c r="AB532" s="178"/>
      <c r="AC532" s="178"/>
      <c r="AD532" s="179"/>
      <c r="AE532" s="180">
        <f t="shared" si="1040"/>
        <v>0</v>
      </c>
      <c r="AF532" s="181">
        <f t="shared" si="1002"/>
        <v>0</v>
      </c>
      <c r="AG532" s="182">
        <f t="shared" si="1041"/>
        <v>0</v>
      </c>
      <c r="AH532" s="76" t="str">
        <f t="shared" si="1042"/>
        <v/>
      </c>
      <c r="AI532" s="181">
        <f> ( IF(ISNUMBER(G532), VLOOKUP(G532/$AH532,F!$A1:$B101,2,1)*G532*$H532*$I532,0)+IF(ISNUMBER(K532), VLOOKUP(K532/$AH532,F!$A1:$B101,2,1)*K532*$L532*$M532,0)+IF(ISNUMBER(O532), VLOOKUP(O532/$AH532,F!$A1:$B101,2,1)*O532*$P532*$Q532,0)+IF(ISNUMBER(S532), VLOOKUP(S532/$AH532,F!$A1:$B101,2,1)*S532*$T532*$U532,0)+IF(ISNUMBER(W532), VLOOKUP(W532/$AH532,F!$A1:$B101,2,1)*W532*$X532*$Y532,0)+IF(ISNUMBER(AA532), VLOOKUP(AA532/$AH532,F!$A1:$B101,2,1)*AA532*$AB532*$AC532,0))*IF(ISNUMBER(F532),F532,1)*IF(ISNUMBER(E532),E532,1)</f>
        <v>0</v>
      </c>
      <c r="AJ532" s="178">
        <f t="shared" si="1043"/>
        <v>0</v>
      </c>
      <c r="AK532" s="183">
        <f t="array" ref="AK532">IFERROR(I532*INDEX(F!$P$21:$AB$33, MATCH(G532/$AH532, F!$O$21:$O$33,1), MATCH(E532, F!$P$20:$AB$20,1)), 0 ) +IFERROR( M532*INDEX(F!$P$21:$AB$33, MATCH(K532/$AH532, F!$O$21:$O$33,1), MATCH(E532, F!$P$20:$AB$20,1)),0) +  IFERROR( Q532*INDEX(F!$P$21:$AB$33, MATCH(O532/$AH532, F!$O$21:$O$33,1), MATCH(E532, F!$P$20:$AB$20,1)), 0) + IFERROR( U532*INDEX(F!$P$21:$AB$33, MATCH(S532/$AH532, F!$O$21:$O$33,1), MATCH(E532, F!$P$20:$AB$20,1)),0)  + IFERROR(Y532*INDEX(F!$P$21:$AB$33, MATCH(W532/$AH532, F!$O$21:$O$33,1), MATCH(E532, F!$P$20:$AB$20,1)),0)  + IFERROR( AC532*INDEX(F!$P$21:$AB$33, MATCH(AA532/$AH532, F!$O$21:$O$33,1), MATCH(E532, F!$P$20:$AB$20,1)),)</f>
        <v>0</v>
      </c>
      <c r="AL532" s="59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ht="15.75" hidden="1" customHeight="1">
      <c r="A533" s="59"/>
      <c r="B533" s="135" t="str">
        <f t="shared" ref="B533:F533" si="1049">IF(B477="","",B477)</f>
        <v/>
      </c>
      <c r="C533" s="136" t="str">
        <f t="shared" si="1049"/>
        <v/>
      </c>
      <c r="D533" s="137" t="str">
        <f t="shared" si="1049"/>
        <v/>
      </c>
      <c r="E533" s="48" t="str">
        <f t="shared" si="1049"/>
        <v/>
      </c>
      <c r="F533" s="138" t="str">
        <f t="shared" si="1049"/>
        <v/>
      </c>
      <c r="G533" s="139" t="str">
        <f t="shared" si="1034"/>
        <v/>
      </c>
      <c r="H533" s="140"/>
      <c r="I533" s="140"/>
      <c r="J533" s="141"/>
      <c r="K533" s="139" t="str">
        <f t="shared" si="1035"/>
        <v/>
      </c>
      <c r="L533" s="140"/>
      <c r="M533" s="140"/>
      <c r="N533" s="141"/>
      <c r="O533" s="139" t="str">
        <f t="shared" si="1036"/>
        <v/>
      </c>
      <c r="P533" s="140"/>
      <c r="Q533" s="140"/>
      <c r="R533" s="141"/>
      <c r="S533" s="139" t="str">
        <f t="shared" si="1037"/>
        <v/>
      </c>
      <c r="T533" s="140"/>
      <c r="U533" s="140"/>
      <c r="V533" s="141"/>
      <c r="W533" s="139" t="str">
        <f t="shared" si="1038"/>
        <v/>
      </c>
      <c r="X533" s="140"/>
      <c r="Y533" s="140"/>
      <c r="Z533" s="141"/>
      <c r="AA533" s="139" t="str">
        <f t="shared" si="1039"/>
        <v/>
      </c>
      <c r="AB533" s="140"/>
      <c r="AC533" s="140"/>
      <c r="AD533" s="141"/>
      <c r="AE533" s="142">
        <f t="shared" si="1040"/>
        <v>0</v>
      </c>
      <c r="AF533" s="143">
        <f t="shared" si="1002"/>
        <v>0</v>
      </c>
      <c r="AG533" s="144">
        <f t="shared" si="1041"/>
        <v>0</v>
      </c>
      <c r="AH533" s="76" t="str">
        <f t="shared" si="1042"/>
        <v/>
      </c>
      <c r="AI533" s="143">
        <f> ( IF(ISNUMBER(G533), VLOOKUP(G533/$AH533,F!$A1:$B101,2,1)*G533*$H533*$I533,0)+IF(ISNUMBER(K533), VLOOKUP(K533/$AH533,F!$A1:$B101,2,1)*K533*$L533*$M533,0)+IF(ISNUMBER(O533), VLOOKUP(O533/$AH533,F!$A1:$B101,2,1)*O533*$P533*$Q533,0)+IF(ISNUMBER(S533), VLOOKUP(S533/$AH533,F!$A1:$B101,2,1)*S533*$T533*$U533,0)+IF(ISNUMBER(W533), VLOOKUP(W533/$AH533,F!$A1:$B101,2,1)*W533*$X533*$Y533,0)+IF(ISNUMBER(AA533), VLOOKUP(AA533/$AH533,F!$A1:$B101,2,1)*AA533*$AB533*$AC533,0))*IF(ISNUMBER(F533),F533,1)*IF(ISNUMBER(E533),E533,1)</f>
        <v>0</v>
      </c>
      <c r="AJ533" s="140">
        <f t="shared" si="1043"/>
        <v>0</v>
      </c>
      <c r="AK533" s="145">
        <f t="array" ref="AK533">IFERROR(I533*INDEX(F!$P$21:$AB$33, MATCH(G533/$AH533, F!$O$21:$O$33,1), MATCH(E533, F!$P$20:$AB$20,1)), 0 ) +IFERROR( M533*INDEX(F!$P$21:$AB$33, MATCH(K533/$AH533, F!$O$21:$O$33,1), MATCH(E533, F!$P$20:$AB$20,1)),0) +  IFERROR( Q533*INDEX(F!$P$21:$AB$33, MATCH(O533/$AH533, F!$O$21:$O$33,1), MATCH(E533, F!$P$20:$AB$20,1)), 0) + IFERROR( U533*INDEX(F!$P$21:$AB$33, MATCH(S533/$AH533, F!$O$21:$O$33,1), MATCH(E533, F!$P$20:$AB$20,1)),0)  + IFERROR(Y533*INDEX(F!$P$21:$AB$33, MATCH(W533/$AH533, F!$O$21:$O$33,1), MATCH(E533, F!$P$20:$AB$20,1)),0)  + IFERROR( AC533*INDEX(F!$P$21:$AB$33, MATCH(AA533/$AH533, F!$O$21:$O$33,1), MATCH(E533, F!$P$20:$AB$20,1)),)</f>
        <v>0</v>
      </c>
      <c r="AL533" s="59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ht="15.75" hidden="1" customHeight="1">
      <c r="A534" s="98"/>
      <c r="B534" s="188"/>
      <c r="C534" s="189"/>
      <c r="D534" s="190"/>
      <c r="E534" s="102">
        <f>ROUND(IFERROR(SUMPRODUCT(AJ526:AJ533,E526:E533)/AJ534,0),3)</f>
        <v>0</v>
      </c>
      <c r="F534" s="191"/>
      <c r="G534" s="192"/>
      <c r="H534" s="193"/>
      <c r="I534" s="193"/>
      <c r="J534" s="194"/>
      <c r="K534" s="192"/>
      <c r="L534" s="193"/>
      <c r="M534" s="193"/>
      <c r="N534" s="194"/>
      <c r="O534" s="192"/>
      <c r="P534" s="193"/>
      <c r="Q534" s="193"/>
      <c r="R534" s="194"/>
      <c r="S534" s="192"/>
      <c r="T534" s="193"/>
      <c r="U534" s="193"/>
      <c r="V534" s="194"/>
      <c r="W534" s="192"/>
      <c r="X534" s="193"/>
      <c r="Y534" s="193"/>
      <c r="Z534" s="194"/>
      <c r="AA534" s="192"/>
      <c r="AB534" s="193"/>
      <c r="AC534" s="193"/>
      <c r="AD534" s="194"/>
      <c r="AE534" s="107">
        <f>SUM(AE526:AE533)</f>
        <v>0</v>
      </c>
      <c r="AF534" s="108">
        <f t="shared" si="1002"/>
        <v>0</v>
      </c>
      <c r="AG534" s="109">
        <f>IFERROR(  SUMPRODUCT(AG526:AG533,AJ526:AJ533)/AJ534,0)</f>
        <v>0</v>
      </c>
      <c r="AH534" s="157"/>
      <c r="AI534" s="111">
        <f t="shared" ref="AI534:AJ534" si="1050">SUM(AI526:AI533)</f>
        <v>0</v>
      </c>
      <c r="AJ534" s="111">
        <f t="shared" si="1050"/>
        <v>0</v>
      </c>
      <c r="AK534" s="112">
        <f>IF(SUM(AK526:AK533)=0,TIME(,0,),TIME(,SUM(AK526:AK533)+F!$V$37,))</f>
        <v>0</v>
      </c>
      <c r="AL534" s="98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ht="15.75" hidden="1" customHeight="1">
      <c r="A535" s="25">
        <f>A536</f>
        <v>43848</v>
      </c>
      <c r="B535" s="26" t="str">
        <f t="shared" ref="B535:F535" si="1051">IF(B479="","",B479)</f>
        <v/>
      </c>
      <c r="C535" s="27" t="str">
        <f t="shared" si="1051"/>
        <v/>
      </c>
      <c r="D535" s="28" t="str">
        <f t="shared" si="1051"/>
        <v/>
      </c>
      <c r="E535" s="29" t="str">
        <f t="shared" si="1051"/>
        <v/>
      </c>
      <c r="F535" s="30" t="str">
        <f t="shared" si="1051"/>
        <v/>
      </c>
      <c r="G535" s="31" t="str">
        <f t="shared" ref="G535:G542" si="1053">IF(J535&lt;&gt;0, IFERROR(IF( $F535=2,  MROUND($AH535*J535,1),    IF( OR($F535="",$F535=1),   MROUND($AH535*J535,2.5),  MROUND($AH535*J535, 0.1))), "" ), "")</f>
        <v/>
      </c>
      <c r="H535" s="32"/>
      <c r="I535" s="32"/>
      <c r="J535" s="33"/>
      <c r="K535" s="31" t="str">
        <f t="shared" ref="K535:K542" si="1054">IF(N535&lt;&gt;0, IFERROR(IF( $F535=2,  MROUND($AH535*N535,1),    IF( OR($F535="",$F535=1),   MROUND($AH535*N535,2.5),  MROUND($AH535*N535, 0.1))), "" ), "")</f>
        <v/>
      </c>
      <c r="L535" s="32"/>
      <c r="M535" s="32"/>
      <c r="N535" s="33"/>
      <c r="O535" s="31" t="str">
        <f t="shared" ref="O535:O542" si="1055">IF(R535&lt;&gt;0, IFERROR(IF( $F535=2,  MROUND($AH535*R535,1),    IF( OR($F535="",$F535=1),   MROUND($AH535*R535,2.5),  MROUND($AH535*R535, 0.1))), "" ), "")</f>
        <v/>
      </c>
      <c r="P535" s="32"/>
      <c r="Q535" s="32"/>
      <c r="R535" s="33"/>
      <c r="S535" s="31" t="str">
        <f t="shared" ref="S535:S542" si="1056">IF(V535&lt;&gt;0, IFERROR(IF( $F535=2,  MROUND($AH535*V535,1),    IF( OR($F535="",$F535=1),   MROUND($AH535*V535,2.5),  MROUND($AH535*V535, 0.1))), "" ), "")</f>
        <v/>
      </c>
      <c r="T535" s="32"/>
      <c r="U535" s="32"/>
      <c r="V535" s="33"/>
      <c r="W535" s="31" t="str">
        <f t="shared" ref="W535:W542" si="1057">IF(Z535&lt;&gt;0, IFERROR(IF( $F535=2,  MROUND($AH535*Z535,1),    IF( OR($F535="",$F535=1),   MROUND($AH535*Z535,2.5),  MROUND($AH535*Z535, 0.1))), "" ), "")</f>
        <v/>
      </c>
      <c r="X535" s="32"/>
      <c r="Y535" s="32"/>
      <c r="Z535" s="33"/>
      <c r="AA535" s="31" t="str">
        <f t="shared" ref="AA535:AA542" si="1058">IF(AD535&lt;&gt;0, IFERROR(IF( $F535=2,  MROUND($AH535*AD535,1),    IF( OR($F535="",$F535=1),   MROUND($AH535*AD535,2.5),  MROUND($AH535*AD535, 0.1))), "" ), "")</f>
        <v/>
      </c>
      <c r="AB535" s="32"/>
      <c r="AC535" s="32"/>
      <c r="AD535" s="33"/>
      <c r="AE535" s="35">
        <f t="shared" ref="AE535:AE542" si="1059">(IF(ISNUMBER(G535),G535,0)*H535*I535+IF(ISNUMBER(K535),K535,1)*L535*M535+IF(ISNUMBER(O535),O535,1)*P535*Q535+IF(ISNUMBER(S535),S535,1)*T535*U535+IF(ISNUMBER(W535),W535,1)*X535*Y535+IF(ISNUMBER(AA535),AA535,1)*AB535*AC535)*IF(ISNUMBER(F535),F535,1)</f>
        <v>0</v>
      </c>
      <c r="AF535" s="36">
        <f t="shared" si="1002"/>
        <v>0</v>
      </c>
      <c r="AG535" s="195">
        <f t="shared" ref="AG535:AG542" si="1060">IFERROR((AF535/(AH535*IF(ISNUMBER(F535),F535,1))),0)</f>
        <v>0</v>
      </c>
      <c r="AH535" s="169" t="str">
        <f t="shared" ref="AH535:AH542" si="1061">IF(ISNUMBER(AH479), AH479+(AH479*$AH$506),"")</f>
        <v/>
      </c>
      <c r="AI535" s="196">
        <f> ( IF(ISNUMBER(G535), VLOOKUP(G535/$AH535,F!$A1:$B101,2,1)*G535*$H535*$I535,0)+IF(ISNUMBER(K535), VLOOKUP(K535/$AH535,F!$A1:$B101,2,1)*K535*$L535*$M535,0)+IF(ISNUMBER(O535), VLOOKUP(O535/$AH535,F!$A1:$B101,2,1)*O535*$P535*$Q535,0)+IF(ISNUMBER(S535), VLOOKUP(S535/$AH535,F!$A1:$B101,2,1)*S535*$T535*$U535,0)+IF(ISNUMBER(W535), VLOOKUP(W535/$AH535,F!$A1:$B101,2,1)*W535*$X535*$Y535,0)+IF(ISNUMBER(AA535), VLOOKUP(AA535/$AH535,F!$A1:$B101,2,1)*AA535*$AB535*$AC535,0))*IF(ISNUMBER(F535),F535,1)*IF(ISNUMBER(E535),E535,1)</f>
        <v>0</v>
      </c>
      <c r="AJ535" s="40">
        <f t="shared" ref="AJ535:AJ542" si="1062">H535*I535+L535*M535+P535*Q535+T535*U535+X535*Y535+AB535*AC535</f>
        <v>0</v>
      </c>
      <c r="AK535" s="41">
        <f t="array" ref="AK535">IFERROR(I535*INDEX(F!$P$21:$AB$33, MATCH(G535/$AH535, F!$O$21:$O$33,1), MATCH(E535, F!$P$20:$AB$20,1)), 0 ) +IFERROR( M535*INDEX(F!$P$21:$AB$33, MATCH(K535/$AH535, F!$O$21:$O$33,1), MATCH(E535, F!$P$20:$AB$20,1)),0) +  IFERROR( Q535*INDEX(F!$P$21:$AB$33, MATCH(O535/$AH535, F!$O$21:$O$33,1), MATCH(E535, F!$P$20:$AB$20,1)), 0) + IFERROR( U535*INDEX(F!$P$21:$AB$33, MATCH(S535/$AH535, F!$O$21:$O$33,1), MATCH(E535, F!$P$20:$AB$20,1)),0)  + IFERROR(Y535*INDEX(F!$P$21:$AB$33, MATCH(W535/$AH535, F!$O$21:$O$33,1), MATCH(E535, F!$P$20:$AB$20,1)),0)  + IFERROR( AC535*INDEX(F!$P$21:$AB$33, MATCH(AA535/$AH535, F!$O$21:$O$33,1), MATCH(E535, F!$P$20:$AB$20,1)),)</f>
        <v>0</v>
      </c>
      <c r="AL535" s="42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ht="15.75" hidden="1" customHeight="1">
      <c r="A536" s="44">
        <f>A480+A450</f>
        <v>43848</v>
      </c>
      <c r="B536" s="45" t="str">
        <f t="shared" ref="B536:F536" si="1052">IF(B480="","",B480)</f>
        <v/>
      </c>
      <c r="C536" s="46" t="str">
        <f t="shared" si="1052"/>
        <v/>
      </c>
      <c r="D536" s="47" t="str">
        <f t="shared" si="1052"/>
        <v/>
      </c>
      <c r="E536" s="48" t="str">
        <f t="shared" si="1052"/>
        <v/>
      </c>
      <c r="F536" s="49" t="str">
        <f t="shared" si="1052"/>
        <v/>
      </c>
      <c r="G536" s="50" t="str">
        <f t="shared" si="1053"/>
        <v/>
      </c>
      <c r="H536" s="51"/>
      <c r="I536" s="51"/>
      <c r="J536" s="52"/>
      <c r="K536" s="50" t="str">
        <f t="shared" si="1054"/>
        <v/>
      </c>
      <c r="L536" s="51"/>
      <c r="M536" s="51"/>
      <c r="N536" s="52"/>
      <c r="O536" s="50" t="str">
        <f t="shared" si="1055"/>
        <v/>
      </c>
      <c r="P536" s="51"/>
      <c r="Q536" s="51"/>
      <c r="R536" s="52"/>
      <c r="S536" s="50" t="str">
        <f t="shared" si="1056"/>
        <v/>
      </c>
      <c r="T536" s="51"/>
      <c r="U536" s="51"/>
      <c r="V536" s="52"/>
      <c r="W536" s="50" t="str">
        <f t="shared" si="1057"/>
        <v/>
      </c>
      <c r="X536" s="51"/>
      <c r="Y536" s="51"/>
      <c r="Z536" s="52"/>
      <c r="AA536" s="50" t="str">
        <f t="shared" si="1058"/>
        <v/>
      </c>
      <c r="AB536" s="51"/>
      <c r="AC536" s="51"/>
      <c r="AD536" s="52"/>
      <c r="AE536" s="53">
        <f t="shared" si="1059"/>
        <v>0</v>
      </c>
      <c r="AF536" s="54">
        <f t="shared" si="1002"/>
        <v>0</v>
      </c>
      <c r="AG536" s="75">
        <f t="shared" si="1060"/>
        <v>0</v>
      </c>
      <c r="AH536" s="76" t="str">
        <f t="shared" si="1061"/>
        <v/>
      </c>
      <c r="AI536" s="77">
        <f> ( IF(ISNUMBER(G536), VLOOKUP(G536/$AH536,F!$A1:$B101,2,1)*G536*$H536*$I536,0)+IF(ISNUMBER(K536), VLOOKUP(K536/$AH536,F!$A1:$B101,2,1)*K536*$L536*$M536,0)+IF(ISNUMBER(O536), VLOOKUP(O536/$AH536,F!$A1:$B101,2,1)*O536*$P536*$Q536,0)+IF(ISNUMBER(S536), VLOOKUP(S536/$AH536,F!$A1:$B101,2,1)*S536*$T536*$U536,0)+IF(ISNUMBER(W536), VLOOKUP(W536/$AH536,F!$A1:$B101,2,1)*W536*$X536*$Y536,0)+IF(ISNUMBER(AA536), VLOOKUP(AA536/$AH536,F!$A1:$B101,2,1)*AA536*$AB536*$AC536,0))*IF(ISNUMBER(F536),F536,1)*IF(ISNUMBER(E536),E536,1)</f>
        <v>0</v>
      </c>
      <c r="AJ536" s="57">
        <f t="shared" si="1062"/>
        <v>0</v>
      </c>
      <c r="AK536" s="58">
        <f t="array" ref="AK536">IFERROR(I536*INDEX(F!$P$21:$AB$33, MATCH(G536/$AH536, F!$O$21:$O$33,1), MATCH(E536, F!$P$20:$AB$20,1)), 0 ) +IFERROR( M536*INDEX(F!$P$21:$AB$33, MATCH(K536/$AH536, F!$O$21:$O$33,1), MATCH(E536, F!$P$20:$AB$20,1)),0) +  IFERROR( Q536*INDEX(F!$P$21:$AB$33, MATCH(O536/$AH536, F!$O$21:$O$33,1), MATCH(E536, F!$P$20:$AB$20,1)), 0) + IFERROR( U536*INDEX(F!$P$21:$AB$33, MATCH(S536/$AH536, F!$O$21:$O$33,1), MATCH(E536, F!$P$20:$AB$20,1)),0)  + IFERROR(Y536*INDEX(F!$P$21:$AB$33, MATCH(W536/$AH536, F!$O$21:$O$33,1), MATCH(E536, F!$P$20:$AB$20,1)),0)  + IFERROR( AC536*INDEX(F!$P$21:$AB$33, MATCH(AA536/$AH536, F!$O$21:$O$33,1), MATCH(E536, F!$P$20:$AB$20,1)),)</f>
        <v>0</v>
      </c>
      <c r="AL536" s="59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ht="15.75" hidden="1" customHeight="1">
      <c r="A537" s="59"/>
      <c r="B537" s="60" t="str">
        <f t="shared" ref="B537:F537" si="1063">IF(B481="","",B481)</f>
        <v/>
      </c>
      <c r="C537" s="61" t="str">
        <f t="shared" si="1063"/>
        <v/>
      </c>
      <c r="D537" s="62" t="str">
        <f t="shared" si="1063"/>
        <v/>
      </c>
      <c r="E537" s="48" t="str">
        <f t="shared" si="1063"/>
        <v/>
      </c>
      <c r="F537" s="63" t="str">
        <f t="shared" si="1063"/>
        <v/>
      </c>
      <c r="G537" s="64" t="str">
        <f t="shared" si="1053"/>
        <v/>
      </c>
      <c r="H537" s="34"/>
      <c r="I537" s="34"/>
      <c r="J537" s="65"/>
      <c r="K537" s="64" t="str">
        <f t="shared" si="1054"/>
        <v/>
      </c>
      <c r="L537" s="34"/>
      <c r="M537" s="34"/>
      <c r="N537" s="65"/>
      <c r="O537" s="64" t="str">
        <f t="shared" si="1055"/>
        <v/>
      </c>
      <c r="P537" s="34"/>
      <c r="Q537" s="34"/>
      <c r="R537" s="65"/>
      <c r="S537" s="64" t="str">
        <f t="shared" si="1056"/>
        <v/>
      </c>
      <c r="T537" s="34"/>
      <c r="U537" s="34"/>
      <c r="V537" s="65"/>
      <c r="W537" s="64" t="str">
        <f t="shared" si="1057"/>
        <v/>
      </c>
      <c r="X537" s="34"/>
      <c r="Y537" s="34"/>
      <c r="Z537" s="65"/>
      <c r="AA537" s="64" t="str">
        <f t="shared" si="1058"/>
        <v/>
      </c>
      <c r="AB537" s="34"/>
      <c r="AC537" s="34"/>
      <c r="AD537" s="65"/>
      <c r="AE537" s="66">
        <f t="shared" si="1059"/>
        <v>0</v>
      </c>
      <c r="AF537" s="67">
        <f t="shared" si="1002"/>
        <v>0</v>
      </c>
      <c r="AG537" s="68">
        <f t="shared" si="1060"/>
        <v>0</v>
      </c>
      <c r="AH537" s="76" t="str">
        <f t="shared" si="1061"/>
        <v/>
      </c>
      <c r="AI537" s="70">
        <f> ( IF(ISNUMBER(G537), VLOOKUP(G537/$AH537,F!$A1:$B101,2,1)*G537*$H537*$I537,0)+IF(ISNUMBER(K537), VLOOKUP(K537/$AH537,F!$A1:$B101,2,1)*K537*$L537*$M537,0)+IF(ISNUMBER(O537), VLOOKUP(O537/$AH537,F!$A1:$B101,2,1)*O537*$P537*$Q537,0)+IF(ISNUMBER(S537), VLOOKUP(S537/$AH537,F!$A1:$B101,2,1)*S537*$T537*$U537,0)+IF(ISNUMBER(W537), VLOOKUP(W537/$AH537,F!$A1:$B101,2,1)*W537*$X537*$Y537,0)+IF(ISNUMBER(AA537), VLOOKUP(AA537/$AH537,F!$A1:$B101,2,1)*AA537*$AB537*$AC537,0))*IF(ISNUMBER(F537),F537,1)*IF(ISNUMBER(E537),E537,1)</f>
        <v>0</v>
      </c>
      <c r="AJ537" s="71">
        <f t="shared" si="1062"/>
        <v>0</v>
      </c>
      <c r="AK537" s="72">
        <f t="array" ref="AK537">IFERROR(I537*INDEX(F!$P$21:$AB$33, MATCH(G537/$AH537, F!$O$21:$O$33,1), MATCH(E537, F!$P$20:$AB$20,1)), 0 ) +IFERROR( M537*INDEX(F!$P$21:$AB$33, MATCH(K537/$AH537, F!$O$21:$O$33,1), MATCH(E537, F!$P$20:$AB$20,1)),0) +  IFERROR( Q537*INDEX(F!$P$21:$AB$33, MATCH(O537/$AH537, F!$O$21:$O$33,1), MATCH(E537, F!$P$20:$AB$20,1)), 0) + IFERROR( U537*INDEX(F!$P$21:$AB$33, MATCH(S537/$AH537, F!$O$21:$O$33,1), MATCH(E537, F!$P$20:$AB$20,1)),0)  + IFERROR(Y537*INDEX(F!$P$21:$AB$33, MATCH(W537/$AH537, F!$O$21:$O$33,1), MATCH(E537, F!$P$20:$AB$20,1)),0)  + IFERROR( AC537*INDEX(F!$P$21:$AB$33, MATCH(AA537/$AH537, F!$O$21:$O$33,1), MATCH(E537, F!$P$20:$AB$20,1)),)</f>
        <v>0</v>
      </c>
      <c r="AL537" s="59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ht="15.75" hidden="1" customHeight="1">
      <c r="A538" s="59"/>
      <c r="B538" s="215" t="str">
        <f t="shared" ref="B538:F538" si="1064">IF(B482="","",B482)</f>
        <v/>
      </c>
      <c r="C538" s="73" t="str">
        <f t="shared" si="1064"/>
        <v/>
      </c>
      <c r="D538" s="47" t="str">
        <f t="shared" si="1064"/>
        <v/>
      </c>
      <c r="E538" s="48" t="str">
        <f t="shared" si="1064"/>
        <v/>
      </c>
      <c r="F538" s="74" t="str">
        <f t="shared" si="1064"/>
        <v/>
      </c>
      <c r="G538" s="50" t="str">
        <f t="shared" si="1053"/>
        <v/>
      </c>
      <c r="H538" s="51"/>
      <c r="I538" s="51"/>
      <c r="J538" s="52"/>
      <c r="K538" s="50" t="str">
        <f t="shared" si="1054"/>
        <v/>
      </c>
      <c r="L538" s="51"/>
      <c r="M538" s="51"/>
      <c r="N538" s="52"/>
      <c r="O538" s="50" t="str">
        <f t="shared" si="1055"/>
        <v/>
      </c>
      <c r="P538" s="51"/>
      <c r="Q538" s="51"/>
      <c r="R538" s="52"/>
      <c r="S538" s="50" t="str">
        <f t="shared" si="1056"/>
        <v/>
      </c>
      <c r="T538" s="51"/>
      <c r="U538" s="51"/>
      <c r="V538" s="52"/>
      <c r="W538" s="50" t="str">
        <f t="shared" si="1057"/>
        <v/>
      </c>
      <c r="X538" s="51"/>
      <c r="Y538" s="51"/>
      <c r="Z538" s="52"/>
      <c r="AA538" s="50" t="str">
        <f t="shared" si="1058"/>
        <v/>
      </c>
      <c r="AB538" s="51"/>
      <c r="AC538" s="51"/>
      <c r="AD538" s="52"/>
      <c r="AE538" s="53">
        <f t="shared" si="1059"/>
        <v>0</v>
      </c>
      <c r="AF538" s="54">
        <f t="shared" si="1002"/>
        <v>0</v>
      </c>
      <c r="AG538" s="75">
        <f t="shared" si="1060"/>
        <v>0</v>
      </c>
      <c r="AH538" s="76" t="str">
        <f t="shared" si="1061"/>
        <v/>
      </c>
      <c r="AI538" s="77">
        <f> ( IF(ISNUMBER(G538), VLOOKUP(G538/$AH538,F!$A1:$B101,2,1)*G538*$H538*$I538,0)+IF(ISNUMBER(K538), VLOOKUP(K538/$AH538,F!$A1:$B101,2,1)*K538*$L538*$M538,0)+IF(ISNUMBER(O538), VLOOKUP(O538/$AH538,F!$A1:$B101,2,1)*O538*$P538*$Q538,0)+IF(ISNUMBER(S538), VLOOKUP(S538/$AH538,F!$A1:$B101,2,1)*S538*$T538*$U538,0)+IF(ISNUMBER(W538), VLOOKUP(W538/$AH538,F!$A1:$B101,2,1)*W538*$X538*$Y538,0)+IF(ISNUMBER(AA538), VLOOKUP(AA538/$AH538,F!$A1:$B101,2,1)*AA538*$AB538*$AC538,0))*IF(ISNUMBER(F538),F538,1)*IF(ISNUMBER(E538),E538,1)</f>
        <v>0</v>
      </c>
      <c r="AJ538" s="57">
        <f t="shared" si="1062"/>
        <v>0</v>
      </c>
      <c r="AK538" s="58">
        <f t="array" ref="AK538">IFERROR(I538*INDEX(F!$P$21:$AB$33, MATCH(G538/$AH538, F!$O$21:$O$33,1), MATCH(E538, F!$P$20:$AB$20,1)), 0 ) +IFERROR( M538*INDEX(F!$P$21:$AB$33, MATCH(K538/$AH538, F!$O$21:$O$33,1), MATCH(E538, F!$P$20:$AB$20,1)),0) +  IFERROR( Q538*INDEX(F!$P$21:$AB$33, MATCH(O538/$AH538, F!$O$21:$O$33,1), MATCH(E538, F!$P$20:$AB$20,1)), 0) + IFERROR( U538*INDEX(F!$P$21:$AB$33, MATCH(S538/$AH538, F!$O$21:$O$33,1), MATCH(E538, F!$P$20:$AB$20,1)),0)  + IFERROR(Y538*INDEX(F!$P$21:$AB$33, MATCH(W538/$AH538, F!$O$21:$O$33,1), MATCH(E538, F!$P$20:$AB$20,1)),0)  + IFERROR( AC538*INDEX(F!$P$21:$AB$33, MATCH(AA538/$AH538, F!$O$21:$O$33,1), MATCH(E538, F!$P$20:$AB$20,1)),)</f>
        <v>0</v>
      </c>
      <c r="AL538" s="59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ht="15.75" hidden="1" customHeight="1">
      <c r="A539" s="59"/>
      <c r="B539" s="216" t="str">
        <f t="shared" ref="B539:F539" si="1065">IF(B483="","",B483)</f>
        <v/>
      </c>
      <c r="C539" s="78" t="str">
        <f t="shared" si="1065"/>
        <v/>
      </c>
      <c r="D539" s="62" t="str">
        <f t="shared" si="1065"/>
        <v/>
      </c>
      <c r="E539" s="48" t="str">
        <f t="shared" si="1065"/>
        <v/>
      </c>
      <c r="F539" s="79" t="str">
        <f t="shared" si="1065"/>
        <v/>
      </c>
      <c r="G539" s="64" t="str">
        <f t="shared" si="1053"/>
        <v/>
      </c>
      <c r="H539" s="34"/>
      <c r="I539" s="34"/>
      <c r="J539" s="65"/>
      <c r="K539" s="64" t="str">
        <f t="shared" si="1054"/>
        <v/>
      </c>
      <c r="L539" s="34"/>
      <c r="M539" s="34"/>
      <c r="N539" s="65"/>
      <c r="O539" s="64" t="str">
        <f t="shared" si="1055"/>
        <v/>
      </c>
      <c r="P539" s="34"/>
      <c r="Q539" s="34"/>
      <c r="R539" s="65"/>
      <c r="S539" s="64" t="str">
        <f t="shared" si="1056"/>
        <v/>
      </c>
      <c r="T539" s="34"/>
      <c r="U539" s="34"/>
      <c r="V539" s="65"/>
      <c r="W539" s="64" t="str">
        <f t="shared" si="1057"/>
        <v/>
      </c>
      <c r="X539" s="34"/>
      <c r="Y539" s="34"/>
      <c r="Z539" s="65"/>
      <c r="AA539" s="64" t="str">
        <f t="shared" si="1058"/>
        <v/>
      </c>
      <c r="AB539" s="34"/>
      <c r="AC539" s="34"/>
      <c r="AD539" s="65"/>
      <c r="AE539" s="66">
        <f t="shared" si="1059"/>
        <v>0</v>
      </c>
      <c r="AF539" s="67">
        <f t="shared" si="1002"/>
        <v>0</v>
      </c>
      <c r="AG539" s="68">
        <f t="shared" si="1060"/>
        <v>0</v>
      </c>
      <c r="AH539" s="76" t="str">
        <f t="shared" si="1061"/>
        <v/>
      </c>
      <c r="AI539" s="70">
        <f> ( IF(ISNUMBER(G539), VLOOKUP(G539/$AH539,F!$A1:$B101,2,1)*G539*$H539*$I539,0)+IF(ISNUMBER(K539), VLOOKUP(K539/$AH539,F!$A1:$B101,2,1)*K539*$L539*$M539,0)+IF(ISNUMBER(O539), VLOOKUP(O539/$AH539,F!$A1:$B101,2,1)*O539*$P539*$Q539,0)+IF(ISNUMBER(S539), VLOOKUP(S539/$AH539,F!$A1:$B101,2,1)*S539*$T539*$U539,0)+IF(ISNUMBER(W539), VLOOKUP(W539/$AH539,F!$A1:$B101,2,1)*W539*$X539*$Y539,0)+IF(ISNUMBER(AA539), VLOOKUP(AA539/$AH539,F!$A1:$B101,2,1)*AA539*$AB539*$AC539,0))*IF(ISNUMBER(F539),F539,1)*IF(ISNUMBER(E539),E539,1)</f>
        <v>0</v>
      </c>
      <c r="AJ539" s="71">
        <f t="shared" si="1062"/>
        <v>0</v>
      </c>
      <c r="AK539" s="72">
        <f t="array" ref="AK539">IFERROR(I539*INDEX(F!$P$21:$AB$33, MATCH(G539/$AH539, F!$O$21:$O$33,1), MATCH(E539, F!$P$20:$AB$20,1)), 0 ) +IFERROR( M539*INDEX(F!$P$21:$AB$33, MATCH(K539/$AH539, F!$O$21:$O$33,1), MATCH(E539, F!$P$20:$AB$20,1)),0) +  IFERROR( Q539*INDEX(F!$P$21:$AB$33, MATCH(O539/$AH539, F!$O$21:$O$33,1), MATCH(E539, F!$P$20:$AB$20,1)), 0) + IFERROR( U539*INDEX(F!$P$21:$AB$33, MATCH(S539/$AH539, F!$O$21:$O$33,1), MATCH(E539, F!$P$20:$AB$20,1)),0)  + IFERROR(Y539*INDEX(F!$P$21:$AB$33, MATCH(W539/$AH539, F!$O$21:$O$33,1), MATCH(E539, F!$P$20:$AB$20,1)),0)  + IFERROR( AC539*INDEX(F!$P$21:$AB$33, MATCH(AA539/$AH539, F!$O$21:$O$33,1), MATCH(E539, F!$P$20:$AB$20,1)),)</f>
        <v>0</v>
      </c>
      <c r="AL539" s="59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ht="15.75" hidden="1" customHeight="1">
      <c r="A540" s="59"/>
      <c r="B540" s="45" t="str">
        <f t="shared" ref="B540:F540" si="1066">IF(B484="","",B484)</f>
        <v/>
      </c>
      <c r="C540" s="46" t="str">
        <f t="shared" si="1066"/>
        <v/>
      </c>
      <c r="D540" s="197" t="str">
        <f t="shared" si="1066"/>
        <v/>
      </c>
      <c r="E540" s="48" t="str">
        <f t="shared" si="1066"/>
        <v/>
      </c>
      <c r="F540" s="83" t="str">
        <f t="shared" si="1066"/>
        <v/>
      </c>
      <c r="G540" s="50" t="str">
        <f t="shared" si="1053"/>
        <v/>
      </c>
      <c r="H540" s="51"/>
      <c r="I540" s="51"/>
      <c r="J540" s="52"/>
      <c r="K540" s="50" t="str">
        <f t="shared" si="1054"/>
        <v/>
      </c>
      <c r="L540" s="51"/>
      <c r="M540" s="51"/>
      <c r="N540" s="52"/>
      <c r="O540" s="50" t="str">
        <f t="shared" si="1055"/>
        <v/>
      </c>
      <c r="P540" s="51"/>
      <c r="Q540" s="51"/>
      <c r="R540" s="52"/>
      <c r="S540" s="50" t="str">
        <f t="shared" si="1056"/>
        <v/>
      </c>
      <c r="T540" s="51"/>
      <c r="U540" s="51"/>
      <c r="V540" s="52"/>
      <c r="W540" s="50" t="str">
        <f t="shared" si="1057"/>
        <v/>
      </c>
      <c r="X540" s="51"/>
      <c r="Y540" s="51"/>
      <c r="Z540" s="52"/>
      <c r="AA540" s="50" t="str">
        <f t="shared" si="1058"/>
        <v/>
      </c>
      <c r="AB540" s="51"/>
      <c r="AC540" s="51"/>
      <c r="AD540" s="52"/>
      <c r="AE540" s="53">
        <f t="shared" si="1059"/>
        <v>0</v>
      </c>
      <c r="AF540" s="54">
        <f t="shared" si="1002"/>
        <v>0</v>
      </c>
      <c r="AG540" s="75">
        <f t="shared" si="1060"/>
        <v>0</v>
      </c>
      <c r="AH540" s="76" t="str">
        <f t="shared" si="1061"/>
        <v/>
      </c>
      <c r="AI540" s="77">
        <f> ( IF(ISNUMBER(G540), VLOOKUP(G540/$AH540,F!$A1:$B101,2,1)*G540*$H540*$I540,0)+IF(ISNUMBER(K540), VLOOKUP(K540/$AH540,F!$A1:$B101,2,1)*K540*$L540*$M540,0)+IF(ISNUMBER(O540), VLOOKUP(O540/$AH540,F!$A1:$B101,2,1)*O540*$P540*$Q540,0)+IF(ISNUMBER(S540), VLOOKUP(S540/$AH540,F!$A1:$B101,2,1)*S540*$T540*$U540,0)+IF(ISNUMBER(W540), VLOOKUP(W540/$AH540,F!$A1:$B101,2,1)*W540*$X540*$Y540,0)+IF(ISNUMBER(AA540), VLOOKUP(AA540/$AH540,F!$A1:$B101,2,1)*AA540*$AB540*$AC540,0))*IF(ISNUMBER(F540),F540,1)*IF(ISNUMBER(E540),E540,1)</f>
        <v>0</v>
      </c>
      <c r="AJ540" s="86">
        <f t="shared" si="1062"/>
        <v>0</v>
      </c>
      <c r="AK540" s="58">
        <f t="array" ref="AK540">IFERROR(I540*INDEX(F!$P$21:$AB$33, MATCH(G540/$AH540, F!$O$21:$O$33,1), MATCH(E540, F!$P$20:$AB$20,1)), 0 ) +IFERROR( M540*INDEX(F!$P$21:$AB$33, MATCH(K540/$AH540, F!$O$21:$O$33,1), MATCH(E540, F!$P$20:$AB$20,1)),0) +  IFERROR( Q540*INDEX(F!$P$21:$AB$33, MATCH(O540/$AH540, F!$O$21:$O$33,1), MATCH(E540, F!$P$20:$AB$20,1)), 0) + IFERROR( U540*INDEX(F!$P$21:$AB$33, MATCH(S540/$AH540, F!$O$21:$O$33,1), MATCH(E540, F!$P$20:$AB$20,1)),0)  + IFERROR(Y540*INDEX(F!$P$21:$AB$33, MATCH(W540/$AH540, F!$O$21:$O$33,1), MATCH(E540, F!$P$20:$AB$20,1)),0)  + IFERROR( AC540*INDEX(F!$P$21:$AB$33, MATCH(AA540/$AH540, F!$O$21:$O$33,1), MATCH(E540, F!$P$20:$AB$20,1)),)</f>
        <v>0</v>
      </c>
      <c r="AL540" s="59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ht="15.75" hidden="1" customHeight="1">
      <c r="A541" s="59"/>
      <c r="B541" s="60" t="str">
        <f t="shared" ref="B541:F541" si="1067">IF(B485="","",B485)</f>
        <v/>
      </c>
      <c r="C541" s="61" t="str">
        <f t="shared" si="1067"/>
        <v/>
      </c>
      <c r="D541" s="198" t="str">
        <f t="shared" si="1067"/>
        <v/>
      </c>
      <c r="E541" s="48" t="str">
        <f t="shared" si="1067"/>
        <v/>
      </c>
      <c r="F541" s="79" t="str">
        <f t="shared" si="1067"/>
        <v/>
      </c>
      <c r="G541" s="64" t="str">
        <f t="shared" si="1053"/>
        <v/>
      </c>
      <c r="H541" s="34"/>
      <c r="I541" s="34"/>
      <c r="J541" s="65"/>
      <c r="K541" s="64" t="str">
        <f t="shared" si="1054"/>
        <v/>
      </c>
      <c r="L541" s="34"/>
      <c r="M541" s="34"/>
      <c r="N541" s="65"/>
      <c r="O541" s="64" t="str">
        <f t="shared" si="1055"/>
        <v/>
      </c>
      <c r="P541" s="34"/>
      <c r="Q541" s="34"/>
      <c r="R541" s="65"/>
      <c r="S541" s="64" t="str">
        <f t="shared" si="1056"/>
        <v/>
      </c>
      <c r="T541" s="34"/>
      <c r="U541" s="34"/>
      <c r="V541" s="65"/>
      <c r="W541" s="64" t="str">
        <f t="shared" si="1057"/>
        <v/>
      </c>
      <c r="X541" s="34"/>
      <c r="Y541" s="34"/>
      <c r="Z541" s="65"/>
      <c r="AA541" s="64" t="str">
        <f t="shared" si="1058"/>
        <v/>
      </c>
      <c r="AB541" s="34"/>
      <c r="AC541" s="34"/>
      <c r="AD541" s="65"/>
      <c r="AE541" s="66">
        <f t="shared" si="1059"/>
        <v>0</v>
      </c>
      <c r="AF541" s="67">
        <f t="shared" si="1002"/>
        <v>0</v>
      </c>
      <c r="AG541" s="68">
        <f t="shared" si="1060"/>
        <v>0</v>
      </c>
      <c r="AH541" s="76" t="str">
        <f t="shared" si="1061"/>
        <v/>
      </c>
      <c r="AI541" s="90">
        <f> ( IF(ISNUMBER(G541), VLOOKUP(G541/$AH541,F!$A1:$B101,2,1)*G541*$H541*$I541,0)+IF(ISNUMBER(K541), VLOOKUP(K541/$AH541,F!$A1:$B101,2,1)*K541*$L541*$M541,0)+IF(ISNUMBER(O541), VLOOKUP(O541/$AH541,F!$A1:$B101,2,1)*O541*$P541*$Q541,0)+IF(ISNUMBER(S541), VLOOKUP(S541/$AH541,F!$A1:$B101,2,1)*S541*$T541*$U541,0)+IF(ISNUMBER(W541), VLOOKUP(W541/$AH541,F!$A1:$B101,2,1)*W541*$X541*$Y541,0)+IF(ISNUMBER(AA541), VLOOKUP(AA541/$AH541,F!$A1:$B101,2,1)*AA541*$AB541*$AC541,0))*IF(ISNUMBER(F541),F541,1)*IF(ISNUMBER(E541),E541,1)</f>
        <v>0</v>
      </c>
      <c r="AJ541" s="34">
        <f t="shared" si="1062"/>
        <v>0</v>
      </c>
      <c r="AK541" s="91">
        <f t="array" ref="AK541">IFERROR(I541*INDEX(F!$P$21:$AB$33, MATCH(G541/$AH541, F!$O$21:$O$33,1), MATCH(E541, F!$P$20:$AB$20,1)), 0 ) +IFERROR( M541*INDEX(F!$P$21:$AB$33, MATCH(K541/$AH541, F!$O$21:$O$33,1), MATCH(E541, F!$P$20:$AB$20,1)),0) +  IFERROR( Q541*INDEX(F!$P$21:$AB$33, MATCH(O541/$AH541, F!$O$21:$O$33,1), MATCH(E541, F!$P$20:$AB$20,1)), 0) + IFERROR( U541*INDEX(F!$P$21:$AB$33, MATCH(S541/$AH541, F!$O$21:$O$33,1), MATCH(E541, F!$P$20:$AB$20,1)),0)  + IFERROR(Y541*INDEX(F!$P$21:$AB$33, MATCH(W541/$AH541, F!$O$21:$O$33,1), MATCH(E541, F!$P$20:$AB$20,1)),0)  + IFERROR( AC541*INDEX(F!$P$21:$AB$33, MATCH(AA541/$AH541, F!$O$21:$O$33,1), MATCH(E541, F!$P$20:$AB$20,1)),)</f>
        <v>0</v>
      </c>
      <c r="AL541" s="59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ht="15.75" hidden="1" customHeight="1">
      <c r="A542" s="59"/>
      <c r="B542" s="45" t="str">
        <f t="shared" ref="B542:F542" si="1068">IF(B486="","",B486)</f>
        <v/>
      </c>
      <c r="C542" s="46" t="str">
        <f t="shared" si="1068"/>
        <v/>
      </c>
      <c r="D542" s="92" t="str">
        <f t="shared" si="1068"/>
        <v/>
      </c>
      <c r="E542" s="48" t="str">
        <f t="shared" si="1068"/>
        <v/>
      </c>
      <c r="F542" s="74" t="str">
        <f t="shared" si="1068"/>
        <v/>
      </c>
      <c r="G542" s="50" t="str">
        <f t="shared" si="1053"/>
        <v/>
      </c>
      <c r="H542" s="51"/>
      <c r="I542" s="51"/>
      <c r="J542" s="52"/>
      <c r="K542" s="50" t="str">
        <f t="shared" si="1054"/>
        <v/>
      </c>
      <c r="L542" s="51"/>
      <c r="M542" s="51"/>
      <c r="N542" s="52"/>
      <c r="O542" s="50" t="str">
        <f t="shared" si="1055"/>
        <v/>
      </c>
      <c r="P542" s="51"/>
      <c r="Q542" s="51"/>
      <c r="R542" s="52"/>
      <c r="S542" s="50" t="str">
        <f t="shared" si="1056"/>
        <v/>
      </c>
      <c r="T542" s="51"/>
      <c r="U542" s="51"/>
      <c r="V542" s="52"/>
      <c r="W542" s="50" t="str">
        <f t="shared" si="1057"/>
        <v/>
      </c>
      <c r="X542" s="51"/>
      <c r="Y542" s="51"/>
      <c r="Z542" s="52"/>
      <c r="AA542" s="50" t="str">
        <f t="shared" si="1058"/>
        <v/>
      </c>
      <c r="AB542" s="51"/>
      <c r="AC542" s="51"/>
      <c r="AD542" s="52"/>
      <c r="AE542" s="53">
        <f t="shared" si="1059"/>
        <v>0</v>
      </c>
      <c r="AF542" s="93">
        <f t="shared" si="1002"/>
        <v>0</v>
      </c>
      <c r="AG542" s="94">
        <f t="shared" si="1060"/>
        <v>0</v>
      </c>
      <c r="AH542" s="76" t="str">
        <f t="shared" si="1061"/>
        <v/>
      </c>
      <c r="AI542" s="95">
        <f> ( IF(ISNUMBER(G542), VLOOKUP(G542/$AH542,F!$A1:$B101,2,1)*G542*$H542*$I542,0)+IF(ISNUMBER(K542), VLOOKUP(K542/$AH542,F!$A1:$B101,2,1)*K542*$L542*$M542,0)+IF(ISNUMBER(O542), VLOOKUP(O542/$AH542,F!$A1:$B101,2,1)*O542*$P542*$Q542,0)+IF(ISNUMBER(S542), VLOOKUP(S542/$AH542,F!$A1:$B101,2,1)*S542*$T542*$U542,0)+IF(ISNUMBER(W542), VLOOKUP(W542/$AH542,F!$A1:$B101,2,1)*W542*$X542*$Y542,0)+IF(ISNUMBER(AA542), VLOOKUP(AA542/$AH542,F!$A1:$B101,2,1)*AA542*$AB542*$AC542,0))*IF(ISNUMBER(F542),F542,1)*IF(ISNUMBER(E542),E542,1)</f>
        <v>0</v>
      </c>
      <c r="AJ542" s="96">
        <f t="shared" si="1062"/>
        <v>0</v>
      </c>
      <c r="AK542" s="97">
        <f t="array" ref="AK542">IFERROR(I542*INDEX(F!$P$21:$AB$33, MATCH(G542/$AH542, F!$O$21:$O$33,1), MATCH(E542, F!$P$20:$AB$20,1)), 0 ) +IFERROR( M542*INDEX(F!$P$21:$AB$33, MATCH(K542/$AH542, F!$O$21:$O$33,1), MATCH(E542, F!$P$20:$AB$20,1)),0) +  IFERROR( Q542*INDEX(F!$P$21:$AB$33, MATCH(O542/$AH542, F!$O$21:$O$33,1), MATCH(E542, F!$P$20:$AB$20,1)), 0) + IFERROR( U542*INDEX(F!$P$21:$AB$33, MATCH(S542/$AH542, F!$O$21:$O$33,1), MATCH(E542, F!$P$20:$AB$20,1)),0)  + IFERROR(Y542*INDEX(F!$P$21:$AB$33, MATCH(W542/$AH542, F!$O$21:$O$33,1), MATCH(E542, F!$P$20:$AB$20,1)),0)  + IFERROR( AC542*INDEX(F!$P$21:$AB$33, MATCH(AA542/$AH542, F!$O$21:$O$33,1), MATCH(E542, F!$P$20:$AB$20,1)),)</f>
        <v>0</v>
      </c>
      <c r="AL542" s="59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ht="15.75" hidden="1" customHeight="1">
      <c r="A543" s="98"/>
      <c r="B543" s="99"/>
      <c r="C543" s="100"/>
      <c r="D543" s="101"/>
      <c r="E543" s="102">
        <f>ROUND(IFERROR(SUMPRODUCT(AJ535:AJ542,E535:E542)/AJ543,0),3)</f>
        <v>0</v>
      </c>
      <c r="F543" s="199"/>
      <c r="G543" s="104"/>
      <c r="H543" s="105"/>
      <c r="I543" s="105"/>
      <c r="J543" s="106"/>
      <c r="K543" s="104"/>
      <c r="L543" s="105"/>
      <c r="M543" s="105"/>
      <c r="N543" s="106"/>
      <c r="O543" s="104"/>
      <c r="P543" s="105"/>
      <c r="Q543" s="105"/>
      <c r="R543" s="106"/>
      <c r="S543" s="104"/>
      <c r="T543" s="105"/>
      <c r="U543" s="105"/>
      <c r="V543" s="106"/>
      <c r="W543" s="104"/>
      <c r="X543" s="105"/>
      <c r="Y543" s="105"/>
      <c r="Z543" s="106"/>
      <c r="AA543" s="104"/>
      <c r="AB543" s="105"/>
      <c r="AC543" s="105"/>
      <c r="AD543" s="106"/>
      <c r="AE543" s="107">
        <f>SUM(AE535:AE542)</f>
        <v>0</v>
      </c>
      <c r="AF543" s="108">
        <f t="shared" si="1002"/>
        <v>0</v>
      </c>
      <c r="AG543" s="109">
        <f>IFERROR(  SUMPRODUCT(AG535:AG542,AJ535:AJ542)/AJ543,0)</f>
        <v>0</v>
      </c>
      <c r="AH543" s="157"/>
      <c r="AI543" s="111">
        <f t="shared" ref="AI543:AJ543" si="1069">SUM(AI535:AI542)</f>
        <v>0</v>
      </c>
      <c r="AJ543" s="111">
        <f t="shared" si="1069"/>
        <v>0</v>
      </c>
      <c r="AK543" s="112">
        <f>IF(SUM(AK535:AK542)=0,TIME(,0,),TIME(,SUM(AK535:AK542)+F!$V$37,))</f>
        <v>0</v>
      </c>
      <c r="AL543" s="98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ht="15.75" hidden="1" customHeight="1">
      <c r="A544" s="113">
        <f>A545</f>
        <v>43849</v>
      </c>
      <c r="B544" s="114" t="str">
        <f t="shared" ref="B544:F544" si="1070">IF(B488="","",B488)</f>
        <v/>
      </c>
      <c r="C544" s="115" t="str">
        <f t="shared" si="1070"/>
        <v/>
      </c>
      <c r="D544" s="116" t="str">
        <f t="shared" si="1070"/>
        <v/>
      </c>
      <c r="E544" s="29" t="str">
        <f t="shared" si="1070"/>
        <v/>
      </c>
      <c r="F544" s="117" t="str">
        <f t="shared" si="1070"/>
        <v/>
      </c>
      <c r="G544" s="118" t="str">
        <f t="shared" ref="G544:G551" si="1072">IF(J544&lt;&gt;0, IFERROR(IF( $F544=2,  MROUND($AH544*J544,1),    IF( OR($F544="",$F544=1),   MROUND($AH544*J544,2.5),  MROUND($AH544*J544, 0.1))), "" ), "")</f>
        <v/>
      </c>
      <c r="H544" s="119"/>
      <c r="I544" s="119"/>
      <c r="J544" s="120"/>
      <c r="K544" s="118" t="str">
        <f t="shared" ref="K544:K551" si="1073">IF(N544&lt;&gt;0, IFERROR(IF( $F544=2,  MROUND($AH544*N544,1),    IF( OR($F544="",$F544=1),   MROUND($AH544*N544,2.5),  MROUND($AH544*N544, 0.1))), "" ), "")</f>
        <v/>
      </c>
      <c r="L544" s="119"/>
      <c r="M544" s="119"/>
      <c r="N544" s="120"/>
      <c r="O544" s="118" t="str">
        <f t="shared" ref="O544:O551" si="1074">IF(R544&lt;&gt;0, IFERROR(IF( $F544=2,  MROUND($AH544*R544,1),    IF( OR($F544="",$F544=1),   MROUND($AH544*R544,2.5),  MROUND($AH544*R544, 0.1))), "" ), "")</f>
        <v/>
      </c>
      <c r="P544" s="119"/>
      <c r="Q544" s="119"/>
      <c r="R544" s="120"/>
      <c r="S544" s="118" t="str">
        <f t="shared" ref="S544:S551" si="1075">IF(V544&lt;&gt;0, IFERROR(IF( $F544=2,  MROUND($AH544*V544,1),    IF( OR($F544="",$F544=1),   MROUND($AH544*V544,2.5),  MROUND($AH544*V544, 0.1))), "" ), "")</f>
        <v/>
      </c>
      <c r="T544" s="119"/>
      <c r="U544" s="119"/>
      <c r="V544" s="120"/>
      <c r="W544" s="118" t="str">
        <f t="shared" ref="W544:W551" si="1076">IF(Z544&lt;&gt;0, IFERROR(IF( $F544=2,  MROUND($AH544*Z544,1),    IF( OR($F544="",$F544=1),   MROUND($AH544*Z544,2.5),  MROUND($AH544*Z544, 0.1))), "" ), "")</f>
        <v/>
      </c>
      <c r="X544" s="119"/>
      <c r="Y544" s="119"/>
      <c r="Z544" s="120"/>
      <c r="AA544" s="118" t="str">
        <f t="shared" ref="AA544:AA551" si="1077">IF(AD544&lt;&gt;0, IFERROR(IF( $F544=2,  MROUND($AH544*AD544,1),    IF( OR($F544="",$F544=1),   MROUND($AH544*AD544,2.5),  MROUND($AH544*AD544, 0.1))), "" ), "")</f>
        <v/>
      </c>
      <c r="AB544" s="119"/>
      <c r="AC544" s="119"/>
      <c r="AD544" s="120"/>
      <c r="AE544" s="121">
        <f t="shared" ref="AE544:AE551" si="1078">(IF(ISNUMBER(G544),G544,0)*H544*I544+IF(ISNUMBER(K544),K544,1)*L544*M544+IF(ISNUMBER(O544),O544,1)*P544*Q544+IF(ISNUMBER(S544),S544,1)*T544*U544+IF(ISNUMBER(W544),W544,1)*X544*Y544+IF(ISNUMBER(AA544),AA544,1)*AB544*AC544)*IF(ISNUMBER(F544),F544,1)</f>
        <v>0</v>
      </c>
      <c r="AF544" s="122">
        <f t="shared" si="1002"/>
        <v>0</v>
      </c>
      <c r="AG544" s="200">
        <f t="shared" ref="AG544:AG551" si="1079">IFERROR((AF544/(AH544*IF(ISNUMBER(F544),F544,1))),0)</f>
        <v>0</v>
      </c>
      <c r="AH544" s="169" t="str">
        <f t="shared" ref="AH544:AH551" si="1080">IF(ISNUMBER(AH488), AH488+(AH488*$AH$506),"")</f>
        <v/>
      </c>
      <c r="AI544" s="122">
        <f> ( IF(ISNUMBER(G544), VLOOKUP(G544/$AH544,F!$A1:$B101,2,1)*G544*$H544*$I544,0)+IF(ISNUMBER(K544), VLOOKUP(K544/$AH544,F!$A1:$B101,2,1)*K544*$L544*$M544,0)+IF(ISNUMBER(O544), VLOOKUP(O544/$AH544,F!$A1:$B101,2,1)*O544*$P544*$Q544,0)+IF(ISNUMBER(S544), VLOOKUP(S544/$AH544,F!$A1:$B101,2,1)*S544*$T544*$U544,0)+IF(ISNUMBER(W544), VLOOKUP(W544/$AH544,F!$A1:$B101,2,1)*W544*$X544*$Y544,0)+IF(ISNUMBER(AA544), VLOOKUP(AA544/$AH544,F!$A1:$B101,2,1)*AA544*$AB544*$AC544,0))*IF(ISNUMBER(F544),F544,1)*IF(ISNUMBER(E544),E544,1)</f>
        <v>0</v>
      </c>
      <c r="AJ544" s="119">
        <f t="shared" ref="AJ544:AJ551" si="1081">H544*I544+L544*M544+P544*Q544+T544*U544+X544*Y544+AB544*AC544</f>
        <v>0</v>
      </c>
      <c r="AK544" s="125">
        <f t="array" ref="AK544">IFERROR(I544*INDEX(F!$P$21:$AB$33, MATCH(G544/$AH544, F!$O$21:$O$33,1), MATCH(E544, F!$P$20:$AB$20,1)), 0 ) +IFERROR( M544*INDEX(F!$P$21:$AB$33, MATCH(K544/$AH544, F!$O$21:$O$33,1), MATCH(E544, F!$P$20:$AB$20,1)),0) +  IFERROR( Q544*INDEX(F!$P$21:$AB$33, MATCH(O544/$AH544, F!$O$21:$O$33,1), MATCH(E544, F!$P$20:$AB$20,1)), 0) + IFERROR( U544*INDEX(F!$P$21:$AB$33, MATCH(S544/$AH544, F!$O$21:$O$33,1), MATCH(E544, F!$P$20:$AB$20,1)),0)  + IFERROR(Y544*INDEX(F!$P$21:$AB$33, MATCH(W544/$AH544, F!$O$21:$O$33,1), MATCH(E544, F!$P$20:$AB$20,1)),0)  + IFERROR( AC544*INDEX(F!$P$21:$AB$33, MATCH(AA544/$AH544, F!$O$21:$O$33,1), MATCH(E544, F!$P$20:$AB$20,1)),)</f>
        <v>0</v>
      </c>
      <c r="AL544" s="42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ht="15.75" hidden="1" customHeight="1">
      <c r="A545" s="44">
        <f>A489+A450</f>
        <v>43849</v>
      </c>
      <c r="B545" s="126" t="str">
        <f t="shared" ref="B545:F545" si="1071">IF(B489="","",B489)</f>
        <v/>
      </c>
      <c r="C545" s="127" t="str">
        <f t="shared" si="1071"/>
        <v/>
      </c>
      <c r="D545" s="128" t="str">
        <f t="shared" si="1071"/>
        <v/>
      </c>
      <c r="E545" s="48" t="str">
        <f t="shared" si="1071"/>
        <v/>
      </c>
      <c r="F545" s="129" t="str">
        <f t="shared" si="1071"/>
        <v/>
      </c>
      <c r="G545" s="130" t="str">
        <f t="shared" si="1072"/>
        <v/>
      </c>
      <c r="H545" s="34"/>
      <c r="I545" s="34"/>
      <c r="J545" s="65"/>
      <c r="K545" s="130" t="str">
        <f t="shared" si="1073"/>
        <v/>
      </c>
      <c r="L545" s="34"/>
      <c r="M545" s="34"/>
      <c r="N545" s="65"/>
      <c r="O545" s="130" t="str">
        <f t="shared" si="1074"/>
        <v/>
      </c>
      <c r="P545" s="34"/>
      <c r="Q545" s="34"/>
      <c r="R545" s="65"/>
      <c r="S545" s="130" t="str">
        <f t="shared" si="1075"/>
        <v/>
      </c>
      <c r="T545" s="34"/>
      <c r="U545" s="34"/>
      <c r="V545" s="65"/>
      <c r="W545" s="130" t="str">
        <f t="shared" si="1076"/>
        <v/>
      </c>
      <c r="X545" s="34"/>
      <c r="Y545" s="34"/>
      <c r="Z545" s="65"/>
      <c r="AA545" s="130" t="str">
        <f t="shared" si="1077"/>
        <v/>
      </c>
      <c r="AB545" s="34"/>
      <c r="AC545" s="34"/>
      <c r="AD545" s="65"/>
      <c r="AE545" s="131">
        <f t="shared" si="1078"/>
        <v>0</v>
      </c>
      <c r="AF545" s="132">
        <f t="shared" si="1002"/>
        <v>0</v>
      </c>
      <c r="AG545" s="133">
        <f t="shared" si="1079"/>
        <v>0</v>
      </c>
      <c r="AH545" s="76" t="str">
        <f t="shared" si="1080"/>
        <v/>
      </c>
      <c r="AI545" s="132">
        <f> ( IF(ISNUMBER(G545), VLOOKUP(G545/$AH545,F!$A1:$B101,2,1)*G545*$H545*$I545,0)+IF(ISNUMBER(K545), VLOOKUP(K545/$AH545,F!$A1:$B101,2,1)*K545*$L545*$M545,0)+IF(ISNUMBER(O545), VLOOKUP(O545/$AH545,F!$A1:$B101,2,1)*O545*$P545*$Q545,0)+IF(ISNUMBER(S545), VLOOKUP(S545/$AH545,F!$A1:$B101,2,1)*S545*$T545*$U545,0)+IF(ISNUMBER(W545), VLOOKUP(W545/$AH545,F!$A1:$B101,2,1)*W545*$X545*$Y545,0)+IF(ISNUMBER(AA545), VLOOKUP(AA545/$AH545,F!$A1:$B101,2,1)*AA545*$AB545*$AC545,0))*IF(ISNUMBER(F545),F545,1)*IF(ISNUMBER(E545),E545,1)</f>
        <v>0</v>
      </c>
      <c r="AJ545" s="34">
        <f t="shared" si="1081"/>
        <v>0</v>
      </c>
      <c r="AK545" s="134">
        <f t="array" ref="AK545">IFERROR(I545*INDEX(F!$P$21:$AB$33, MATCH(G545/$AH545, F!$O$21:$O$33,1), MATCH(E545, F!$P$20:$AB$20,1)), 0 ) +IFERROR( M545*INDEX(F!$P$21:$AB$33, MATCH(K545/$AH545, F!$O$21:$O$33,1), MATCH(E545, F!$P$20:$AB$20,1)),0) +  IFERROR( Q545*INDEX(F!$P$21:$AB$33, MATCH(O545/$AH545, F!$O$21:$O$33,1), MATCH(E545, F!$P$20:$AB$20,1)), 0) + IFERROR( U545*INDEX(F!$P$21:$AB$33, MATCH(S545/$AH545, F!$O$21:$O$33,1), MATCH(E545, F!$P$20:$AB$20,1)),0)  + IFERROR(Y545*INDEX(F!$P$21:$AB$33, MATCH(W545/$AH545, F!$O$21:$O$33,1), MATCH(E545, F!$P$20:$AB$20,1)),0)  + IFERROR( AC545*INDEX(F!$P$21:$AB$33, MATCH(AA545/$AH545, F!$O$21:$O$33,1), MATCH(E545, F!$P$20:$AB$20,1)),)</f>
        <v>0</v>
      </c>
      <c r="AL545" s="59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ht="15.75" hidden="1" customHeight="1">
      <c r="A546" s="59"/>
      <c r="B546" s="135" t="str">
        <f t="shared" ref="B546:F546" si="1082">IF(B490="","",B490)</f>
        <v/>
      </c>
      <c r="C546" s="136" t="str">
        <f t="shared" si="1082"/>
        <v/>
      </c>
      <c r="D546" s="137" t="str">
        <f t="shared" si="1082"/>
        <v/>
      </c>
      <c r="E546" s="48" t="str">
        <f t="shared" si="1082"/>
        <v/>
      </c>
      <c r="F546" s="138" t="str">
        <f t="shared" si="1082"/>
        <v/>
      </c>
      <c r="G546" s="139" t="str">
        <f t="shared" si="1072"/>
        <v/>
      </c>
      <c r="H546" s="140"/>
      <c r="I546" s="140"/>
      <c r="J546" s="141"/>
      <c r="K546" s="139" t="str">
        <f t="shared" si="1073"/>
        <v/>
      </c>
      <c r="L546" s="140"/>
      <c r="M546" s="140"/>
      <c r="N546" s="141"/>
      <c r="O546" s="139" t="str">
        <f t="shared" si="1074"/>
        <v/>
      </c>
      <c r="P546" s="140"/>
      <c r="Q546" s="140"/>
      <c r="R546" s="141"/>
      <c r="S546" s="139" t="str">
        <f t="shared" si="1075"/>
        <v/>
      </c>
      <c r="T546" s="140"/>
      <c r="U546" s="140"/>
      <c r="V546" s="141"/>
      <c r="W546" s="139" t="str">
        <f t="shared" si="1076"/>
        <v/>
      </c>
      <c r="X546" s="140"/>
      <c r="Y546" s="140"/>
      <c r="Z546" s="141"/>
      <c r="AA546" s="139" t="str">
        <f t="shared" si="1077"/>
        <v/>
      </c>
      <c r="AB546" s="140"/>
      <c r="AC546" s="140"/>
      <c r="AD546" s="141"/>
      <c r="AE546" s="142">
        <f t="shared" si="1078"/>
        <v>0</v>
      </c>
      <c r="AF546" s="143">
        <f t="shared" si="1002"/>
        <v>0</v>
      </c>
      <c r="AG546" s="144">
        <f t="shared" si="1079"/>
        <v>0</v>
      </c>
      <c r="AH546" s="76" t="str">
        <f t="shared" si="1080"/>
        <v/>
      </c>
      <c r="AI546" s="143">
        <f> ( IF(ISNUMBER(G546), VLOOKUP(G546/$AH546,F!$A1:$B101,2,1)*G546*$H546*$I546,0)+IF(ISNUMBER(K546), VLOOKUP(K546/$AH546,F!$A1:$B101,2,1)*K546*$L546*$M546,0)+IF(ISNUMBER(O546), VLOOKUP(O546/$AH546,F!$A1:$B101,2,1)*O546*$P546*$Q546,0)+IF(ISNUMBER(S546), VLOOKUP(S546/$AH546,F!$A1:$B101,2,1)*S546*$T546*$U546,0)+IF(ISNUMBER(W546), VLOOKUP(W546/$AH546,F!$A1:$B101,2,1)*W546*$X546*$Y546,0)+IF(ISNUMBER(AA546), VLOOKUP(AA546/$AH546,F!$A1:$B101,2,1)*AA546*$AB546*$AC546,0))*IF(ISNUMBER(F546),F546,1)*IF(ISNUMBER(E546),E546,1)</f>
        <v>0</v>
      </c>
      <c r="AJ546" s="140">
        <f t="shared" si="1081"/>
        <v>0</v>
      </c>
      <c r="AK546" s="145">
        <f t="array" ref="AK546">IFERROR(I546*INDEX(F!$P$21:$AB$33, MATCH(G546/$AH546, F!$O$21:$O$33,1), MATCH(E546, F!$P$20:$AB$20,1)), 0 ) +IFERROR( M546*INDEX(F!$P$21:$AB$33, MATCH(K546/$AH546, F!$O$21:$O$33,1), MATCH(E546, F!$P$20:$AB$20,1)),0) +  IFERROR( Q546*INDEX(F!$P$21:$AB$33, MATCH(O546/$AH546, F!$O$21:$O$33,1), MATCH(E546, F!$P$20:$AB$20,1)), 0) + IFERROR( U546*INDEX(F!$P$21:$AB$33, MATCH(S546/$AH546, F!$O$21:$O$33,1), MATCH(E546, F!$P$20:$AB$20,1)),0)  + IFERROR(Y546*INDEX(F!$P$21:$AB$33, MATCH(W546/$AH546, F!$O$21:$O$33,1), MATCH(E546, F!$P$20:$AB$20,1)),0)  + IFERROR( AC546*INDEX(F!$P$21:$AB$33, MATCH(AA546/$AH546, F!$O$21:$O$33,1), MATCH(E546, F!$P$20:$AB$20,1)),)</f>
        <v>0</v>
      </c>
      <c r="AL546" s="59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ht="15.75" hidden="1" customHeight="1">
      <c r="A547" s="59"/>
      <c r="B547" s="126" t="str">
        <f t="shared" ref="B547:F547" si="1083">IF(B491="","",B491)</f>
        <v/>
      </c>
      <c r="C547" s="127" t="str">
        <f t="shared" si="1083"/>
        <v/>
      </c>
      <c r="D547" s="128" t="str">
        <f t="shared" si="1083"/>
        <v/>
      </c>
      <c r="E547" s="48" t="str">
        <f t="shared" si="1083"/>
        <v/>
      </c>
      <c r="F547" s="129" t="str">
        <f t="shared" si="1083"/>
        <v/>
      </c>
      <c r="G547" s="130" t="str">
        <f t="shared" si="1072"/>
        <v/>
      </c>
      <c r="H547" s="34"/>
      <c r="I547" s="34"/>
      <c r="J547" s="65"/>
      <c r="K547" s="130" t="str">
        <f t="shared" si="1073"/>
        <v/>
      </c>
      <c r="L547" s="34"/>
      <c r="M547" s="34"/>
      <c r="N547" s="65"/>
      <c r="O547" s="130" t="str">
        <f t="shared" si="1074"/>
        <v/>
      </c>
      <c r="P547" s="34"/>
      <c r="Q547" s="34"/>
      <c r="R547" s="65"/>
      <c r="S547" s="130" t="str">
        <f t="shared" si="1075"/>
        <v/>
      </c>
      <c r="T547" s="34"/>
      <c r="U547" s="34"/>
      <c r="V547" s="65"/>
      <c r="W547" s="130" t="str">
        <f t="shared" si="1076"/>
        <v/>
      </c>
      <c r="X547" s="34"/>
      <c r="Y547" s="34"/>
      <c r="Z547" s="65"/>
      <c r="AA547" s="130" t="str">
        <f t="shared" si="1077"/>
        <v/>
      </c>
      <c r="AB547" s="34"/>
      <c r="AC547" s="34"/>
      <c r="AD547" s="65"/>
      <c r="AE547" s="131">
        <f t="shared" si="1078"/>
        <v>0</v>
      </c>
      <c r="AF547" s="132">
        <f t="shared" si="1002"/>
        <v>0</v>
      </c>
      <c r="AG547" s="133">
        <f t="shared" si="1079"/>
        <v>0</v>
      </c>
      <c r="AH547" s="76" t="str">
        <f t="shared" si="1080"/>
        <v/>
      </c>
      <c r="AI547" s="132">
        <f> ( IF(ISNUMBER(G547), VLOOKUP(G547/$AH547,F!$A1:$B101,2,1)*G547*$H547*$I547,0)+IF(ISNUMBER(K547), VLOOKUP(K547/$AH547,F!$A1:$B101,2,1)*K547*$L547*$M547,0)+IF(ISNUMBER(O547), VLOOKUP(O547/$AH547,F!$A1:$B101,2,1)*O547*$P547*$Q547,0)+IF(ISNUMBER(S547), VLOOKUP(S547/$AH547,F!$A1:$B101,2,1)*S547*$T547*$U547,0)+IF(ISNUMBER(W547), VLOOKUP(W547/$AH547,F!$A1:$B101,2,1)*W547*$X547*$Y547,0)+IF(ISNUMBER(AA547), VLOOKUP(AA547/$AH547,F!$A1:$B101,2,1)*AA547*$AB547*$AC547,0))*IF(ISNUMBER(F547),F547,1)*IF(ISNUMBER(E547),E547,1)</f>
        <v>0</v>
      </c>
      <c r="AJ547" s="34">
        <f t="shared" si="1081"/>
        <v>0</v>
      </c>
      <c r="AK547" s="134">
        <f t="array" ref="AK547">IFERROR(I547*INDEX(F!$P$21:$AB$33, MATCH(G547/$AH547, F!$O$21:$O$33,1), MATCH(E547, F!$P$20:$AB$20,1)), 0 ) +IFERROR( M547*INDEX(F!$P$21:$AB$33, MATCH(K547/$AH547, F!$O$21:$O$33,1), MATCH(E547, F!$P$20:$AB$20,1)),0) +  IFERROR( Q547*INDEX(F!$P$21:$AB$33, MATCH(O547/$AH547, F!$O$21:$O$33,1), MATCH(E547, F!$P$20:$AB$20,1)), 0) + IFERROR( U547*INDEX(F!$P$21:$AB$33, MATCH(S547/$AH547, F!$O$21:$O$33,1), MATCH(E547, F!$P$20:$AB$20,1)),0)  + IFERROR(Y547*INDEX(F!$P$21:$AB$33, MATCH(W547/$AH547, F!$O$21:$O$33,1), MATCH(E547, F!$P$20:$AB$20,1)),0)  + IFERROR( AC547*INDEX(F!$P$21:$AB$33, MATCH(AA547/$AH547, F!$O$21:$O$33,1), MATCH(E547, F!$P$20:$AB$20,1)),)</f>
        <v>0</v>
      </c>
      <c r="AL547" s="59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ht="15.75" hidden="1" customHeight="1">
      <c r="A548" s="59"/>
      <c r="B548" s="135" t="str">
        <f t="shared" ref="B548:F548" si="1084">IF(B492="","",B492)</f>
        <v/>
      </c>
      <c r="C548" s="136" t="str">
        <f t="shared" si="1084"/>
        <v/>
      </c>
      <c r="D548" s="137" t="str">
        <f t="shared" si="1084"/>
        <v/>
      </c>
      <c r="E548" s="48" t="str">
        <f t="shared" si="1084"/>
        <v/>
      </c>
      <c r="F548" s="138" t="str">
        <f t="shared" si="1084"/>
        <v/>
      </c>
      <c r="G548" s="139" t="str">
        <f t="shared" si="1072"/>
        <v/>
      </c>
      <c r="H548" s="140"/>
      <c r="I548" s="140"/>
      <c r="J548" s="141"/>
      <c r="K548" s="139" t="str">
        <f t="shared" si="1073"/>
        <v/>
      </c>
      <c r="L548" s="140"/>
      <c r="M548" s="140"/>
      <c r="N548" s="141"/>
      <c r="O548" s="139" t="str">
        <f t="shared" si="1074"/>
        <v/>
      </c>
      <c r="P548" s="140"/>
      <c r="Q548" s="140"/>
      <c r="R548" s="141"/>
      <c r="S548" s="139" t="str">
        <f t="shared" si="1075"/>
        <v/>
      </c>
      <c r="T548" s="140"/>
      <c r="U548" s="140"/>
      <c r="V548" s="141"/>
      <c r="W548" s="139" t="str">
        <f t="shared" si="1076"/>
        <v/>
      </c>
      <c r="X548" s="140"/>
      <c r="Y548" s="140"/>
      <c r="Z548" s="141"/>
      <c r="AA548" s="139" t="str">
        <f t="shared" si="1077"/>
        <v/>
      </c>
      <c r="AB548" s="140"/>
      <c r="AC548" s="140"/>
      <c r="AD548" s="141"/>
      <c r="AE548" s="142">
        <f t="shared" si="1078"/>
        <v>0</v>
      </c>
      <c r="AF548" s="143">
        <f t="shared" si="1002"/>
        <v>0</v>
      </c>
      <c r="AG548" s="144">
        <f t="shared" si="1079"/>
        <v>0</v>
      </c>
      <c r="AH548" s="76" t="str">
        <f t="shared" si="1080"/>
        <v/>
      </c>
      <c r="AI548" s="143">
        <f> ( IF(ISNUMBER(G548), VLOOKUP(G548/$AH548,F!$A1:$B101,2,1)*G548*$H548*$I548,0)+IF(ISNUMBER(K548), VLOOKUP(K548/$AH548,F!$A1:$B101,2,1)*K548*$L548*$M548,0)+IF(ISNUMBER(O548), VLOOKUP(O548/$AH548,F!$A1:$B101,2,1)*O548*$P548*$Q548,0)+IF(ISNUMBER(S548), VLOOKUP(S548/$AH548,F!$A1:$B101,2,1)*S548*$T548*$U548,0)+IF(ISNUMBER(W548), VLOOKUP(W548/$AH548,F!$A1:$B101,2,1)*W548*$X548*$Y548,0)+IF(ISNUMBER(AA548), VLOOKUP(AA548/$AH548,F!$A1:$B101,2,1)*AA548*$AB548*$AC548,0))*IF(ISNUMBER(F548),F548,1)*IF(ISNUMBER(E548),E548,1)</f>
        <v>0</v>
      </c>
      <c r="AJ548" s="140">
        <f t="shared" si="1081"/>
        <v>0</v>
      </c>
      <c r="AK548" s="145">
        <f t="array" ref="AK548">IFERROR(I548*INDEX(F!$P$21:$AB$33, MATCH(G548/$AH548, F!$O$21:$O$33,1), MATCH(E548, F!$P$20:$AB$20,1)), 0 ) +IFERROR( M548*INDEX(F!$P$21:$AB$33, MATCH(K548/$AH548, F!$O$21:$O$33,1), MATCH(E548, F!$P$20:$AB$20,1)),0) +  IFERROR( Q548*INDEX(F!$P$21:$AB$33, MATCH(O548/$AH548, F!$O$21:$O$33,1), MATCH(E548, F!$P$20:$AB$20,1)), 0) + IFERROR( U548*INDEX(F!$P$21:$AB$33, MATCH(S548/$AH548, F!$O$21:$O$33,1), MATCH(E548, F!$P$20:$AB$20,1)),0)  + IFERROR(Y548*INDEX(F!$P$21:$AB$33, MATCH(W548/$AH548, F!$O$21:$O$33,1), MATCH(E548, F!$P$20:$AB$20,1)),0)  + IFERROR( AC548*INDEX(F!$P$21:$AB$33, MATCH(AA548/$AH548, F!$O$21:$O$33,1), MATCH(E548, F!$P$20:$AB$20,1)),)</f>
        <v>0</v>
      </c>
      <c r="AL548" s="59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ht="15.75" hidden="1" customHeight="1">
      <c r="A549" s="59"/>
      <c r="B549" s="126" t="str">
        <f t="shared" ref="B549:F549" si="1085">IF(B493="","",B493)</f>
        <v/>
      </c>
      <c r="C549" s="127" t="str">
        <f t="shared" si="1085"/>
        <v/>
      </c>
      <c r="D549" s="128" t="str">
        <f t="shared" si="1085"/>
        <v/>
      </c>
      <c r="E549" s="48" t="str">
        <f t="shared" si="1085"/>
        <v/>
      </c>
      <c r="F549" s="129" t="str">
        <f t="shared" si="1085"/>
        <v/>
      </c>
      <c r="G549" s="130" t="str">
        <f t="shared" si="1072"/>
        <v/>
      </c>
      <c r="H549" s="34"/>
      <c r="I549" s="34"/>
      <c r="J549" s="65"/>
      <c r="K549" s="130" t="str">
        <f t="shared" si="1073"/>
        <v/>
      </c>
      <c r="L549" s="34"/>
      <c r="M549" s="34"/>
      <c r="N549" s="65"/>
      <c r="O549" s="130" t="str">
        <f t="shared" si="1074"/>
        <v/>
      </c>
      <c r="P549" s="34"/>
      <c r="Q549" s="34"/>
      <c r="R549" s="65"/>
      <c r="S549" s="130" t="str">
        <f t="shared" si="1075"/>
        <v/>
      </c>
      <c r="T549" s="34"/>
      <c r="U549" s="34"/>
      <c r="V549" s="65"/>
      <c r="W549" s="130" t="str">
        <f t="shared" si="1076"/>
        <v/>
      </c>
      <c r="X549" s="34"/>
      <c r="Y549" s="34"/>
      <c r="Z549" s="65"/>
      <c r="AA549" s="130" t="str">
        <f t="shared" si="1077"/>
        <v/>
      </c>
      <c r="AB549" s="34"/>
      <c r="AC549" s="34"/>
      <c r="AD549" s="65"/>
      <c r="AE549" s="131">
        <f t="shared" si="1078"/>
        <v>0</v>
      </c>
      <c r="AF549" s="132">
        <f t="shared" si="1002"/>
        <v>0</v>
      </c>
      <c r="AG549" s="133">
        <f t="shared" si="1079"/>
        <v>0</v>
      </c>
      <c r="AH549" s="76" t="str">
        <f t="shared" si="1080"/>
        <v/>
      </c>
      <c r="AI549" s="132">
        <f> ( IF(ISNUMBER(G549), VLOOKUP(G549/$AH549,F!$A1:$B101,2,1)*G549*$H549*$I549,0)+IF(ISNUMBER(K549), VLOOKUP(K549/$AH549,F!$A1:$B101,2,1)*K549*$L549*$M549,0)+IF(ISNUMBER(O549), VLOOKUP(O549/$AH549,F!$A1:$B101,2,1)*O549*$P549*$Q549,0)+IF(ISNUMBER(S549), VLOOKUP(S549/$AH549,F!$A1:$B101,2,1)*S549*$T549*$U549,0)+IF(ISNUMBER(W549), VLOOKUP(W549/$AH549,F!$A1:$B101,2,1)*W549*$X549*$Y549,0)+IF(ISNUMBER(AA549), VLOOKUP(AA549/$AH549,F!$A1:$B101,2,1)*AA549*$AB549*$AC549,0))*IF(ISNUMBER(F549),F549,1)*IF(ISNUMBER(E549),E549,1)</f>
        <v>0</v>
      </c>
      <c r="AJ549" s="34">
        <f t="shared" si="1081"/>
        <v>0</v>
      </c>
      <c r="AK549" s="134">
        <f t="array" ref="AK549">IFERROR(I549*INDEX(F!$P$21:$AB$33, MATCH(G549/$AH549, F!$O$21:$O$33,1), MATCH(E549, F!$P$20:$AB$20,1)), 0 ) +IFERROR( M549*INDEX(F!$P$21:$AB$33, MATCH(K549/$AH549, F!$O$21:$O$33,1), MATCH(E549, F!$P$20:$AB$20,1)),0) +  IFERROR( Q549*INDEX(F!$P$21:$AB$33, MATCH(O549/$AH549, F!$O$21:$O$33,1), MATCH(E549, F!$P$20:$AB$20,1)), 0) + IFERROR( U549*INDEX(F!$P$21:$AB$33, MATCH(S549/$AH549, F!$O$21:$O$33,1), MATCH(E549, F!$P$20:$AB$20,1)),0)  + IFERROR(Y549*INDEX(F!$P$21:$AB$33, MATCH(W549/$AH549, F!$O$21:$O$33,1), MATCH(E549, F!$P$20:$AB$20,1)),0)  + IFERROR( AC549*INDEX(F!$P$21:$AB$33, MATCH(AA549/$AH549, F!$O$21:$O$33,1), MATCH(E549, F!$P$20:$AB$20,1)),)</f>
        <v>0</v>
      </c>
      <c r="AL549" s="59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ht="15.75" hidden="1" customHeight="1">
      <c r="A550" s="59"/>
      <c r="B550" s="135" t="str">
        <f t="shared" ref="B550:F550" si="1086">IF(B494="","",B494)</f>
        <v/>
      </c>
      <c r="C550" s="136" t="str">
        <f t="shared" si="1086"/>
        <v/>
      </c>
      <c r="D550" s="137" t="str">
        <f t="shared" si="1086"/>
        <v/>
      </c>
      <c r="E550" s="48" t="str">
        <f t="shared" si="1086"/>
        <v/>
      </c>
      <c r="F550" s="138" t="str">
        <f t="shared" si="1086"/>
        <v/>
      </c>
      <c r="G550" s="139" t="str">
        <f t="shared" si="1072"/>
        <v/>
      </c>
      <c r="H550" s="140"/>
      <c r="I550" s="140"/>
      <c r="J550" s="141"/>
      <c r="K550" s="139" t="str">
        <f t="shared" si="1073"/>
        <v/>
      </c>
      <c r="L550" s="140"/>
      <c r="M550" s="140"/>
      <c r="N550" s="141"/>
      <c r="O550" s="139" t="str">
        <f t="shared" si="1074"/>
        <v/>
      </c>
      <c r="P550" s="140"/>
      <c r="Q550" s="140"/>
      <c r="R550" s="141"/>
      <c r="S550" s="139" t="str">
        <f t="shared" si="1075"/>
        <v/>
      </c>
      <c r="T550" s="140"/>
      <c r="U550" s="140"/>
      <c r="V550" s="141"/>
      <c r="W550" s="139" t="str">
        <f t="shared" si="1076"/>
        <v/>
      </c>
      <c r="X550" s="140"/>
      <c r="Y550" s="140"/>
      <c r="Z550" s="141"/>
      <c r="AA550" s="139" t="str">
        <f t="shared" si="1077"/>
        <v/>
      </c>
      <c r="AB550" s="140"/>
      <c r="AC550" s="140"/>
      <c r="AD550" s="141"/>
      <c r="AE550" s="142">
        <f t="shared" si="1078"/>
        <v>0</v>
      </c>
      <c r="AF550" s="143">
        <f t="shared" si="1002"/>
        <v>0</v>
      </c>
      <c r="AG550" s="144">
        <f t="shared" si="1079"/>
        <v>0</v>
      </c>
      <c r="AH550" s="76" t="str">
        <f t="shared" si="1080"/>
        <v/>
      </c>
      <c r="AI550" s="143">
        <f> ( IF(ISNUMBER(G550), VLOOKUP(G550/$AH550,F!$A1:$B101,2,1)*G550*$H550*$I550,0)+IF(ISNUMBER(K550), VLOOKUP(K550/$AH550,F!$A1:$B101,2,1)*K550*$L550*$M550,0)+IF(ISNUMBER(O550), VLOOKUP(O550/$AH550,F!$A1:$B101,2,1)*O550*$P550*$Q550,0)+IF(ISNUMBER(S550), VLOOKUP(S550/$AH550,F!$A1:$B101,2,1)*S550*$T550*$U550,0)+IF(ISNUMBER(W550), VLOOKUP(W550/$AH550,F!$A1:$B101,2,1)*W550*$X550*$Y550,0)+IF(ISNUMBER(AA550), VLOOKUP(AA550/$AH550,F!$A1:$B101,2,1)*AA550*$AB550*$AC550,0))*IF(ISNUMBER(F550),F550,1)*IF(ISNUMBER(E550),E550,1)</f>
        <v>0</v>
      </c>
      <c r="AJ550" s="140">
        <f t="shared" si="1081"/>
        <v>0</v>
      </c>
      <c r="AK550" s="145">
        <f t="array" ref="AK550">IFERROR(I550*INDEX(F!$P$21:$AB$33, MATCH(G550/$AH550, F!$O$21:$O$33,1), MATCH(E550, F!$P$20:$AB$20,1)), 0 ) +IFERROR( M550*INDEX(F!$P$21:$AB$33, MATCH(K550/$AH550, F!$O$21:$O$33,1), MATCH(E550, F!$P$20:$AB$20,1)),0) +  IFERROR( Q550*INDEX(F!$P$21:$AB$33, MATCH(O550/$AH550, F!$O$21:$O$33,1), MATCH(E550, F!$P$20:$AB$20,1)), 0) + IFERROR( U550*INDEX(F!$P$21:$AB$33, MATCH(S550/$AH550, F!$O$21:$O$33,1), MATCH(E550, F!$P$20:$AB$20,1)),0)  + IFERROR(Y550*INDEX(F!$P$21:$AB$33, MATCH(W550/$AH550, F!$O$21:$O$33,1), MATCH(E550, F!$P$20:$AB$20,1)),0)  + IFERROR( AC550*INDEX(F!$P$21:$AB$33, MATCH(AA550/$AH550, F!$O$21:$O$33,1), MATCH(E550, F!$P$20:$AB$20,1)),)</f>
        <v>0</v>
      </c>
      <c r="AL550" s="59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ht="15.75" hidden="1" customHeight="1">
      <c r="A551" s="59"/>
      <c r="B551" s="126" t="str">
        <f t="shared" ref="B551:F551" si="1087">IF(B495="","",B495)</f>
        <v/>
      </c>
      <c r="C551" s="127" t="str">
        <f t="shared" si="1087"/>
        <v/>
      </c>
      <c r="D551" s="128" t="str">
        <f t="shared" si="1087"/>
        <v/>
      </c>
      <c r="E551" s="48" t="str">
        <f t="shared" si="1087"/>
        <v/>
      </c>
      <c r="F551" s="129" t="str">
        <f t="shared" si="1087"/>
        <v/>
      </c>
      <c r="G551" s="130" t="str">
        <f t="shared" si="1072"/>
        <v/>
      </c>
      <c r="H551" s="34"/>
      <c r="I551" s="34"/>
      <c r="J551" s="65"/>
      <c r="K551" s="130" t="str">
        <f t="shared" si="1073"/>
        <v/>
      </c>
      <c r="L551" s="34"/>
      <c r="M551" s="34"/>
      <c r="N551" s="65"/>
      <c r="O551" s="130" t="str">
        <f t="shared" si="1074"/>
        <v/>
      </c>
      <c r="P551" s="34"/>
      <c r="Q551" s="34"/>
      <c r="R551" s="65"/>
      <c r="S551" s="130" t="str">
        <f t="shared" si="1075"/>
        <v/>
      </c>
      <c r="T551" s="34"/>
      <c r="U551" s="34"/>
      <c r="V551" s="65"/>
      <c r="W551" s="130" t="str">
        <f t="shared" si="1076"/>
        <v/>
      </c>
      <c r="X551" s="34"/>
      <c r="Y551" s="34"/>
      <c r="Z551" s="65"/>
      <c r="AA551" s="130" t="str">
        <f t="shared" si="1077"/>
        <v/>
      </c>
      <c r="AB551" s="34"/>
      <c r="AC551" s="34"/>
      <c r="AD551" s="65"/>
      <c r="AE551" s="131">
        <f t="shared" si="1078"/>
        <v>0</v>
      </c>
      <c r="AF551" s="132">
        <f t="shared" si="1002"/>
        <v>0</v>
      </c>
      <c r="AG551" s="133">
        <f t="shared" si="1079"/>
        <v>0</v>
      </c>
      <c r="AH551" s="76" t="str">
        <f t="shared" si="1080"/>
        <v/>
      </c>
      <c r="AI551" s="132">
        <f> ( IF(ISNUMBER(G551), VLOOKUP(G551/$AH551,F!$A1:$B101,2,1)*G551*$H551*$I551,0)+IF(ISNUMBER(K551), VLOOKUP(K551/$AH551,F!$A1:$B101,2,1)*K551*$L551*$M551,0)+IF(ISNUMBER(O551), VLOOKUP(O551/$AH551,F!$A1:$B101,2,1)*O551*$P551*$Q551,0)+IF(ISNUMBER(S551), VLOOKUP(S551/$AH551,F!$A1:$B101,2,1)*S551*$T551*$U551,0)+IF(ISNUMBER(W551), VLOOKUP(W551/$AH551,F!$A1:$B101,2,1)*W551*$X551*$Y551,0)+IF(ISNUMBER(AA551), VLOOKUP(AA551/$AH551,F!$A1:$B101,2,1)*AA551*$AB551*$AC551,0))*IF(ISNUMBER(F551),F551,1)*IF(ISNUMBER(E551),E551,1)</f>
        <v>0</v>
      </c>
      <c r="AJ551" s="34">
        <f t="shared" si="1081"/>
        <v>0</v>
      </c>
      <c r="AK551" s="134">
        <f t="array" ref="AK551">IFERROR(I551*INDEX(F!$P$21:$AB$33, MATCH(G551/$AH551, F!$O$21:$O$33,1), MATCH(E551, F!$P$20:$AB$20,1)), 0 ) +IFERROR( M551*INDEX(F!$P$21:$AB$33, MATCH(K551/$AH551, F!$O$21:$O$33,1), MATCH(E551, F!$P$20:$AB$20,1)),0) +  IFERROR( Q551*INDEX(F!$P$21:$AB$33, MATCH(O551/$AH551, F!$O$21:$O$33,1), MATCH(E551, F!$P$20:$AB$20,1)), 0) + IFERROR( U551*INDEX(F!$P$21:$AB$33, MATCH(S551/$AH551, F!$O$21:$O$33,1), MATCH(E551, F!$P$20:$AB$20,1)),0)  + IFERROR(Y551*INDEX(F!$P$21:$AB$33, MATCH(W551/$AH551, F!$O$21:$O$33,1), MATCH(E551, F!$P$20:$AB$20,1)),0)  + IFERROR( AC551*INDEX(F!$P$21:$AB$33, MATCH(AA551/$AH551, F!$O$21:$O$33,1), MATCH(E551, F!$P$20:$AB$20,1)),)</f>
        <v>0</v>
      </c>
      <c r="AL551" s="59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ht="15.75" hidden="1" customHeight="1">
      <c r="A552" s="98"/>
      <c r="B552" s="150"/>
      <c r="C552" s="151"/>
      <c r="D552" s="152"/>
      <c r="E552" s="102">
        <f>ROUND(IFERROR(SUMPRODUCT(AJ544:AJ551,E544:E551)/AJ552,0),3)</f>
        <v>0</v>
      </c>
      <c r="F552" s="153"/>
      <c r="G552" s="154"/>
      <c r="H552" s="155"/>
      <c r="I552" s="155"/>
      <c r="J552" s="156"/>
      <c r="K552" s="154"/>
      <c r="L552" s="155"/>
      <c r="M552" s="155"/>
      <c r="N552" s="156"/>
      <c r="O552" s="154"/>
      <c r="P552" s="155"/>
      <c r="Q552" s="155"/>
      <c r="R552" s="156"/>
      <c r="S552" s="154"/>
      <c r="T552" s="155"/>
      <c r="U552" s="155"/>
      <c r="V552" s="156"/>
      <c r="W552" s="154"/>
      <c r="X552" s="155"/>
      <c r="Y552" s="155"/>
      <c r="Z552" s="156"/>
      <c r="AA552" s="154"/>
      <c r="AB552" s="155"/>
      <c r="AC552" s="155"/>
      <c r="AD552" s="156"/>
      <c r="AE552" s="107">
        <f>SUM(AE544:AE551)</f>
        <v>0</v>
      </c>
      <c r="AF552" s="108">
        <f t="shared" si="1002"/>
        <v>0</v>
      </c>
      <c r="AG552" s="109">
        <f>IFERROR(  SUMPRODUCT(AG544:AG551,AJ544:AJ551)/AJ552,0)</f>
        <v>0</v>
      </c>
      <c r="AH552" s="157"/>
      <c r="AI552" s="111">
        <f t="shared" ref="AI552:AJ552" si="1088">SUM(AI544:AI551)</f>
        <v>0</v>
      </c>
      <c r="AJ552" s="111">
        <f t="shared" si="1088"/>
        <v>0</v>
      </c>
      <c r="AK552" s="112">
        <f>IF(SUM(AK544:AK551)=0,TIME(,0,),TIME(,SUM(AK544:AK551)+F!$V$37,))</f>
        <v>0</v>
      </c>
      <c r="AL552" s="98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ht="15.75" hidden="1" customHeight="1">
      <c r="A553" s="158">
        <f>A554</f>
        <v>43850</v>
      </c>
      <c r="B553" s="159" t="str">
        <f t="shared" ref="B553:F553" si="1089">IF(B497="","",B497)</f>
        <v/>
      </c>
      <c r="C553" s="160" t="str">
        <f t="shared" si="1089"/>
        <v/>
      </c>
      <c r="D553" s="161" t="str">
        <f t="shared" si="1089"/>
        <v/>
      </c>
      <c r="E553" s="29" t="str">
        <f t="shared" si="1089"/>
        <v/>
      </c>
      <c r="F553" s="162" t="str">
        <f t="shared" si="1089"/>
        <v/>
      </c>
      <c r="G553" s="163" t="str">
        <f t="shared" ref="G553:G560" si="1091">IF(J553&lt;&gt;0, IFERROR(IF( $F553=2,  MROUND($AH553*J553,1),    IF( OR($F553="",$F553=1),   MROUND($AH553*J553,2.5),  MROUND($AH553*J553, 0.1))), "" ), "")</f>
        <v/>
      </c>
      <c r="H553" s="164"/>
      <c r="I553" s="164"/>
      <c r="J553" s="165"/>
      <c r="K553" s="163" t="str">
        <f t="shared" ref="K553:K560" si="1092">IF(N553&lt;&gt;0, IFERROR(IF( $F553=2,  MROUND($AH553*N553,1),    IF( OR($F553="",$F553=1),   MROUND($AH553*N553,2.5),  MROUND($AH553*N553, 0.1))), "" ), "")</f>
        <v/>
      </c>
      <c r="L553" s="164"/>
      <c r="M553" s="164"/>
      <c r="N553" s="165"/>
      <c r="O553" s="163" t="str">
        <f t="shared" ref="O553:O560" si="1093">IF(R553&lt;&gt;0, IFERROR(IF( $F553=2,  MROUND($AH553*R553,1),    IF( OR($F553="",$F553=1),   MROUND($AH553*R553,2.5),  MROUND($AH553*R553, 0.1))), "" ), "")</f>
        <v/>
      </c>
      <c r="P553" s="164"/>
      <c r="Q553" s="164"/>
      <c r="R553" s="165"/>
      <c r="S553" s="163" t="str">
        <f t="shared" ref="S553:S560" si="1094">IF(V553&lt;&gt;0, IFERROR(IF( $F553=2,  MROUND($AH553*V553,1),    IF( OR($F553="",$F553=1),   MROUND($AH553*V553,2.5),  MROUND($AH553*V553, 0.1))), "" ), "")</f>
        <v/>
      </c>
      <c r="T553" s="164"/>
      <c r="U553" s="164"/>
      <c r="V553" s="165"/>
      <c r="W553" s="163" t="str">
        <f t="shared" ref="W553:W560" si="1095">IF(Z553&lt;&gt;0, IFERROR(IF( $F553=2,  MROUND($AH553*Z553,1),    IF( OR($F553="",$F553=1),   MROUND($AH553*Z553,2.5),  MROUND($AH553*Z553, 0.1))), "" ), "")</f>
        <v/>
      </c>
      <c r="X553" s="164"/>
      <c r="Y553" s="164"/>
      <c r="Z553" s="165"/>
      <c r="AA553" s="163" t="str">
        <f t="shared" ref="AA553:AA560" si="1096">IF(AD553&lt;&gt;0, IFERROR(IF( $F553=2,  MROUND($AH553*AD553,1),    IF( OR($F553="",$F553=1),   MROUND($AH553*AD553,2.5),  MROUND($AH553*AD553, 0.1))), "" ), "")</f>
        <v/>
      </c>
      <c r="AB553" s="164"/>
      <c r="AC553" s="164"/>
      <c r="AD553" s="165"/>
      <c r="AE553" s="166">
        <f t="shared" ref="AE553:AE560" si="1097">(IF(ISNUMBER(G553),G553,0)*H553*I553+IF(ISNUMBER(K553),K553,1)*L553*M553+IF(ISNUMBER(O553),O553,1)*P553*Q553+IF(ISNUMBER(S553),S553,1)*T553*U553+IF(ISNUMBER(W553),W553,1)*X553*Y553+IF(ISNUMBER(AA553),AA553,1)*AB553*AC553)*IF(ISNUMBER(F553),F553,1)</f>
        <v>0</v>
      </c>
      <c r="AF553" s="167">
        <f t="shared" si="1002"/>
        <v>0</v>
      </c>
      <c r="AG553" s="168">
        <f t="shared" ref="AG553:AG560" si="1098">IFERROR((AF553/(AH553*IF(ISNUMBER(F553),F553,1))),0)</f>
        <v>0</v>
      </c>
      <c r="AH553" s="169" t="str">
        <f t="shared" ref="AH553:AH560" si="1099">IF(ISNUMBER(AH497), AH497+(AH497*$AH$506),"")</f>
        <v/>
      </c>
      <c r="AI553" s="167">
        <f> ( IF(ISNUMBER(G553), VLOOKUP(G553/$AH553,F!$A1:$B101,2,1)*G553*$H553*$I553,0)+IF(ISNUMBER(K553), VLOOKUP(K553/$AH553,F!$A1:$B101,2,1)*K553*$L553*$M553,0)+IF(ISNUMBER(O553), VLOOKUP(O553/$AH553,F!$A1:$B101,2,1)*O553*$P553*$Q553,0)+IF(ISNUMBER(S553), VLOOKUP(S553/$AH553,F!$A1:$B101,2,1)*S553*$T553*$U553,0)+IF(ISNUMBER(W553), VLOOKUP(W553/$AH553,F!$A1:$B101,2,1)*W553*$X553*$Y553,0)+IF(ISNUMBER(AA553), VLOOKUP(AA553/$AH553,F!$A1:$B101,2,1)*AA553*$AB553*$AC553,0))*IF(ISNUMBER(F553),F553,1)*IF(ISNUMBER(E553),E553,1)</f>
        <v>0</v>
      </c>
      <c r="AJ553" s="164">
        <f t="shared" ref="AJ553:AJ560" si="1100">H553*I553+L553*M553+P553*Q553+T553*U553+X553*Y553+AB553*AC553</f>
        <v>0</v>
      </c>
      <c r="AK553" s="170">
        <f t="array" ref="AK553">IFERROR(I553*INDEX(F!$P$21:$AB$33, MATCH(G553/$AH553, F!$O$21:$O$33,1), MATCH(E553, F!$P$20:$AB$20,1)), 0 ) +IFERROR( M553*INDEX(F!$P$21:$AB$33, MATCH(K553/$AH553, F!$O$21:$O$33,1), MATCH(E553, F!$P$20:$AB$20,1)),0) +  IFERROR( Q553*INDEX(F!$P$21:$AB$33, MATCH(O553/$AH553, F!$O$21:$O$33,1), MATCH(E553, F!$P$20:$AB$20,1)), 0) + IFERROR( U553*INDEX(F!$P$21:$AB$33, MATCH(S553/$AH553, F!$O$21:$O$33,1), MATCH(E553, F!$P$20:$AB$20,1)),0)  + IFERROR(Y553*INDEX(F!$P$21:$AB$33, MATCH(W553/$AH553, F!$O$21:$O$33,1), MATCH(E553, F!$P$20:$AB$20,1)),0)  + IFERROR( AC553*INDEX(F!$P$21:$AB$33, MATCH(AA553/$AH553, F!$O$21:$O$33,1), MATCH(E553, F!$P$20:$AB$20,1)),)</f>
        <v>0</v>
      </c>
      <c r="AL553" s="42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ht="15.75" hidden="1" customHeight="1">
      <c r="A554" s="44">
        <f>A498+A450</f>
        <v>43850</v>
      </c>
      <c r="B554" s="135" t="str">
        <f t="shared" ref="B554:F554" si="1090">IF(B498="","",B498)</f>
        <v/>
      </c>
      <c r="C554" s="136" t="str">
        <f t="shared" si="1090"/>
        <v/>
      </c>
      <c r="D554" s="137" t="str">
        <f t="shared" si="1090"/>
        <v/>
      </c>
      <c r="E554" s="48" t="str">
        <f t="shared" si="1090"/>
        <v/>
      </c>
      <c r="F554" s="138" t="str">
        <f t="shared" si="1090"/>
        <v/>
      </c>
      <c r="G554" s="139" t="str">
        <f t="shared" si="1091"/>
        <v/>
      </c>
      <c r="H554" s="140"/>
      <c r="I554" s="140"/>
      <c r="J554" s="141"/>
      <c r="K554" s="139" t="str">
        <f t="shared" si="1092"/>
        <v/>
      </c>
      <c r="L554" s="140"/>
      <c r="M554" s="140"/>
      <c r="N554" s="141"/>
      <c r="O554" s="139" t="str">
        <f t="shared" si="1093"/>
        <v/>
      </c>
      <c r="P554" s="140"/>
      <c r="Q554" s="140"/>
      <c r="R554" s="141"/>
      <c r="S554" s="139" t="str">
        <f t="shared" si="1094"/>
        <v/>
      </c>
      <c r="T554" s="140"/>
      <c r="U554" s="140"/>
      <c r="V554" s="141"/>
      <c r="W554" s="139" t="str">
        <f t="shared" si="1095"/>
        <v/>
      </c>
      <c r="X554" s="140"/>
      <c r="Y554" s="140"/>
      <c r="Z554" s="141"/>
      <c r="AA554" s="139" t="str">
        <f t="shared" si="1096"/>
        <v/>
      </c>
      <c r="AB554" s="140"/>
      <c r="AC554" s="140"/>
      <c r="AD554" s="141"/>
      <c r="AE554" s="142">
        <f t="shared" si="1097"/>
        <v>0</v>
      </c>
      <c r="AF554" s="143">
        <f t="shared" si="1002"/>
        <v>0</v>
      </c>
      <c r="AG554" s="144">
        <f t="shared" si="1098"/>
        <v>0</v>
      </c>
      <c r="AH554" s="76" t="str">
        <f t="shared" si="1099"/>
        <v/>
      </c>
      <c r="AI554" s="143">
        <f> ( IF(ISNUMBER(G554), VLOOKUP(G554/$AH554,F!$A1:$B101,2,1)*G554*$H554*$I554,0)+IF(ISNUMBER(K554), VLOOKUP(K554/$AH554,F!$A1:$B101,2,1)*K554*$L554*$M554,0)+IF(ISNUMBER(O554), VLOOKUP(O554/$AH554,F!$A1:$B101,2,1)*O554*$P554*$Q554,0)+IF(ISNUMBER(S554), VLOOKUP(S554/$AH554,F!$A1:$B101,2,1)*S554*$T554*$U554,0)+IF(ISNUMBER(W554), VLOOKUP(W554/$AH554,F!$A1:$B101,2,1)*W554*$X554*$Y554,0)+IF(ISNUMBER(AA554), VLOOKUP(AA554/$AH554,F!$A1:$B101,2,1)*AA554*$AB554*$AC554,0))*IF(ISNUMBER(F554),F554,1)*IF(ISNUMBER(E554),E554,1)</f>
        <v>0</v>
      </c>
      <c r="AJ554" s="140">
        <f t="shared" si="1100"/>
        <v>0</v>
      </c>
      <c r="AK554" s="145">
        <f t="array" ref="AK554">IFERROR(I554*INDEX(F!$P$21:$AB$33, MATCH(G554/$AH554, F!$O$21:$O$33,1), MATCH(E554, F!$P$20:$AB$20,1)), 0 ) +IFERROR( M554*INDEX(F!$P$21:$AB$33, MATCH(K554/$AH554, F!$O$21:$O$33,1), MATCH(E554, F!$P$20:$AB$20,1)),0) +  IFERROR( Q554*INDEX(F!$P$21:$AB$33, MATCH(O554/$AH554, F!$O$21:$O$33,1), MATCH(E554, F!$P$20:$AB$20,1)), 0) + IFERROR( U554*INDEX(F!$P$21:$AB$33, MATCH(S554/$AH554, F!$O$21:$O$33,1), MATCH(E554, F!$P$20:$AB$20,1)),0)  + IFERROR(Y554*INDEX(F!$P$21:$AB$33, MATCH(W554/$AH554, F!$O$21:$O$33,1), MATCH(E554, F!$P$20:$AB$20,1)),0)  + IFERROR( AC554*INDEX(F!$P$21:$AB$33, MATCH(AA554/$AH554, F!$O$21:$O$33,1), MATCH(E554, F!$P$20:$AB$20,1)),)</f>
        <v>0</v>
      </c>
      <c r="AL554" s="59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ht="15.75" hidden="1" customHeight="1">
      <c r="A555" s="59"/>
      <c r="B555" s="173" t="str">
        <f t="shared" ref="B555:F555" si="1101">IF(B499="","",B499)</f>
        <v/>
      </c>
      <c r="C555" s="174" t="str">
        <f t="shared" si="1101"/>
        <v/>
      </c>
      <c r="D555" s="175" t="str">
        <f t="shared" si="1101"/>
        <v/>
      </c>
      <c r="E555" s="48" t="str">
        <f t="shared" si="1101"/>
        <v/>
      </c>
      <c r="F555" s="176" t="str">
        <f t="shared" si="1101"/>
        <v/>
      </c>
      <c r="G555" s="177" t="str">
        <f t="shared" si="1091"/>
        <v/>
      </c>
      <c r="H555" s="178"/>
      <c r="I555" s="178"/>
      <c r="J555" s="179"/>
      <c r="K555" s="177" t="str">
        <f t="shared" si="1092"/>
        <v/>
      </c>
      <c r="L555" s="178"/>
      <c r="M555" s="178"/>
      <c r="N555" s="179"/>
      <c r="O555" s="177" t="str">
        <f t="shared" si="1093"/>
        <v/>
      </c>
      <c r="P555" s="178"/>
      <c r="Q555" s="178"/>
      <c r="R555" s="179"/>
      <c r="S555" s="177" t="str">
        <f t="shared" si="1094"/>
        <v/>
      </c>
      <c r="T555" s="178"/>
      <c r="U555" s="178"/>
      <c r="V555" s="179"/>
      <c r="W555" s="177" t="str">
        <f t="shared" si="1095"/>
        <v/>
      </c>
      <c r="X555" s="178"/>
      <c r="Y555" s="178"/>
      <c r="Z555" s="179"/>
      <c r="AA555" s="177" t="str">
        <f t="shared" si="1096"/>
        <v/>
      </c>
      <c r="AB555" s="178"/>
      <c r="AC555" s="178"/>
      <c r="AD555" s="179"/>
      <c r="AE555" s="180">
        <f t="shared" si="1097"/>
        <v>0</v>
      </c>
      <c r="AF555" s="181">
        <f t="shared" si="1002"/>
        <v>0</v>
      </c>
      <c r="AG555" s="182">
        <f t="shared" si="1098"/>
        <v>0</v>
      </c>
      <c r="AH555" s="76" t="str">
        <f t="shared" si="1099"/>
        <v/>
      </c>
      <c r="AI555" s="181">
        <f> ( IF(ISNUMBER(G555), VLOOKUP(G555/$AH555,F!$A1:$B101,2,1)*G555*$H555*$I555,0)+IF(ISNUMBER(K555), VLOOKUP(K555/$AH555,F!$A1:$B101,2,1)*K555*$L555*$M555,0)+IF(ISNUMBER(O555), VLOOKUP(O555/$AH555,F!$A1:$B101,2,1)*O555*$P555*$Q555,0)+IF(ISNUMBER(S555), VLOOKUP(S555/$AH555,F!$A1:$B101,2,1)*S555*$T555*$U555,0)+IF(ISNUMBER(W555), VLOOKUP(W555/$AH555,F!$A1:$B101,2,1)*W555*$X555*$Y555,0)+IF(ISNUMBER(AA555), VLOOKUP(AA555/$AH555,F!$A1:$B101,2,1)*AA555*$AB555*$AC555,0))*IF(ISNUMBER(F555),F555,1)*IF(ISNUMBER(E555),E555,1)</f>
        <v>0</v>
      </c>
      <c r="AJ555" s="178">
        <f t="shared" si="1100"/>
        <v>0</v>
      </c>
      <c r="AK555" s="183">
        <f t="array" ref="AK555">IFERROR(I555*INDEX(F!$P$21:$AB$33, MATCH(G555/$AH555, F!$O$21:$O$33,1), MATCH(E555, F!$P$20:$AB$20,1)), 0 ) +IFERROR( M555*INDEX(F!$P$21:$AB$33, MATCH(K555/$AH555, F!$O$21:$O$33,1), MATCH(E555, F!$P$20:$AB$20,1)),0) +  IFERROR( Q555*INDEX(F!$P$21:$AB$33, MATCH(O555/$AH555, F!$O$21:$O$33,1), MATCH(E555, F!$P$20:$AB$20,1)), 0) + IFERROR( U555*INDEX(F!$P$21:$AB$33, MATCH(S555/$AH555, F!$O$21:$O$33,1), MATCH(E555, F!$P$20:$AB$20,1)),0)  + IFERROR(Y555*INDEX(F!$P$21:$AB$33, MATCH(W555/$AH555, F!$O$21:$O$33,1), MATCH(E555, F!$P$20:$AB$20,1)),0)  + IFERROR( AC555*INDEX(F!$P$21:$AB$33, MATCH(AA555/$AH555, F!$O$21:$O$33,1), MATCH(E555, F!$P$20:$AB$20,1)),)</f>
        <v>0</v>
      </c>
      <c r="AL555" s="59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ht="15.75" hidden="1" customHeight="1">
      <c r="A556" s="59"/>
      <c r="B556" s="135" t="str">
        <f t="shared" ref="B556:F556" si="1102">IF(B500="","",B500)</f>
        <v/>
      </c>
      <c r="C556" s="136" t="str">
        <f t="shared" si="1102"/>
        <v/>
      </c>
      <c r="D556" s="137" t="str">
        <f t="shared" si="1102"/>
        <v/>
      </c>
      <c r="E556" s="48" t="str">
        <f t="shared" si="1102"/>
        <v/>
      </c>
      <c r="F556" s="138" t="str">
        <f t="shared" si="1102"/>
        <v/>
      </c>
      <c r="G556" s="139" t="str">
        <f t="shared" si="1091"/>
        <v/>
      </c>
      <c r="H556" s="140"/>
      <c r="I556" s="140"/>
      <c r="J556" s="141"/>
      <c r="K556" s="139" t="str">
        <f t="shared" si="1092"/>
        <v/>
      </c>
      <c r="L556" s="140"/>
      <c r="M556" s="140"/>
      <c r="N556" s="141"/>
      <c r="O556" s="139" t="str">
        <f t="shared" si="1093"/>
        <v/>
      </c>
      <c r="P556" s="140"/>
      <c r="Q556" s="140"/>
      <c r="R556" s="141"/>
      <c r="S556" s="139" t="str">
        <f t="shared" si="1094"/>
        <v/>
      </c>
      <c r="T556" s="140"/>
      <c r="U556" s="140"/>
      <c r="V556" s="141"/>
      <c r="W556" s="139" t="str">
        <f t="shared" si="1095"/>
        <v/>
      </c>
      <c r="X556" s="140"/>
      <c r="Y556" s="140"/>
      <c r="Z556" s="141"/>
      <c r="AA556" s="139" t="str">
        <f t="shared" si="1096"/>
        <v/>
      </c>
      <c r="AB556" s="140"/>
      <c r="AC556" s="140"/>
      <c r="AD556" s="141"/>
      <c r="AE556" s="142">
        <f t="shared" si="1097"/>
        <v>0</v>
      </c>
      <c r="AF556" s="143">
        <f t="shared" si="1002"/>
        <v>0</v>
      </c>
      <c r="AG556" s="144">
        <f t="shared" si="1098"/>
        <v>0</v>
      </c>
      <c r="AH556" s="76" t="str">
        <f t="shared" si="1099"/>
        <v/>
      </c>
      <c r="AI556" s="143">
        <f> ( IF(ISNUMBER(G556), VLOOKUP(G556/$AH556,F!$A1:$B101,2,1)*G556*$H556*$I556,0)+IF(ISNUMBER(K556), VLOOKUP(K556/$AH556,F!$A1:$B101,2,1)*K556*$L556*$M556,0)+IF(ISNUMBER(O556), VLOOKUP(O556/$AH556,F!$A1:$B101,2,1)*O556*$P556*$Q556,0)+IF(ISNUMBER(S556), VLOOKUP(S556/$AH556,F!$A1:$B101,2,1)*S556*$T556*$U556,0)+IF(ISNUMBER(W556), VLOOKUP(W556/$AH556,F!$A1:$B101,2,1)*W556*$X556*$Y556,0)+IF(ISNUMBER(AA556), VLOOKUP(AA556/$AH556,F!$A1:$B101,2,1)*AA556*$AB556*$AC556,0))*IF(ISNUMBER(F556),F556,1)*IF(ISNUMBER(E556),E556,1)</f>
        <v>0</v>
      </c>
      <c r="AJ556" s="140">
        <f t="shared" si="1100"/>
        <v>0</v>
      </c>
      <c r="AK556" s="145">
        <f t="array" ref="AK556">IFERROR(I556*INDEX(F!$P$21:$AB$33, MATCH(G556/$AH556, F!$O$21:$O$33,1), MATCH(E556, F!$P$20:$AB$20,1)), 0 ) +IFERROR( M556*INDEX(F!$P$21:$AB$33, MATCH(K556/$AH556, F!$O$21:$O$33,1), MATCH(E556, F!$P$20:$AB$20,1)),0) +  IFERROR( Q556*INDEX(F!$P$21:$AB$33, MATCH(O556/$AH556, F!$O$21:$O$33,1), MATCH(E556, F!$P$20:$AB$20,1)), 0) + IFERROR( U556*INDEX(F!$P$21:$AB$33, MATCH(S556/$AH556, F!$O$21:$O$33,1), MATCH(E556, F!$P$20:$AB$20,1)),0)  + IFERROR(Y556*INDEX(F!$P$21:$AB$33, MATCH(W556/$AH556, F!$O$21:$O$33,1), MATCH(E556, F!$P$20:$AB$20,1)),0)  + IFERROR( AC556*INDEX(F!$P$21:$AB$33, MATCH(AA556/$AH556, F!$O$21:$O$33,1), MATCH(E556, F!$P$20:$AB$20,1)),)</f>
        <v>0</v>
      </c>
      <c r="AL556" s="59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ht="15.75" hidden="1" customHeight="1">
      <c r="A557" s="59"/>
      <c r="B557" s="173" t="str">
        <f t="shared" ref="B557:F557" si="1103">IF(B501="","",B501)</f>
        <v/>
      </c>
      <c r="C557" s="174" t="str">
        <f t="shared" si="1103"/>
        <v/>
      </c>
      <c r="D557" s="175" t="str">
        <f t="shared" si="1103"/>
        <v/>
      </c>
      <c r="E557" s="48" t="str">
        <f t="shared" si="1103"/>
        <v/>
      </c>
      <c r="F557" s="176" t="str">
        <f t="shared" si="1103"/>
        <v/>
      </c>
      <c r="G557" s="177" t="str">
        <f t="shared" si="1091"/>
        <v/>
      </c>
      <c r="H557" s="178"/>
      <c r="I557" s="178"/>
      <c r="J557" s="179"/>
      <c r="K557" s="177" t="str">
        <f t="shared" si="1092"/>
        <v/>
      </c>
      <c r="L557" s="178"/>
      <c r="M557" s="178"/>
      <c r="N557" s="179"/>
      <c r="O557" s="177" t="str">
        <f t="shared" si="1093"/>
        <v/>
      </c>
      <c r="P557" s="178"/>
      <c r="Q557" s="178"/>
      <c r="R557" s="179"/>
      <c r="S557" s="177" t="str">
        <f t="shared" si="1094"/>
        <v/>
      </c>
      <c r="T557" s="178"/>
      <c r="U557" s="178"/>
      <c r="V557" s="179"/>
      <c r="W557" s="177" t="str">
        <f t="shared" si="1095"/>
        <v/>
      </c>
      <c r="X557" s="178"/>
      <c r="Y557" s="178"/>
      <c r="Z557" s="179"/>
      <c r="AA557" s="177" t="str">
        <f t="shared" si="1096"/>
        <v/>
      </c>
      <c r="AB557" s="178"/>
      <c r="AC557" s="178"/>
      <c r="AD557" s="179"/>
      <c r="AE557" s="180">
        <f t="shared" si="1097"/>
        <v>0</v>
      </c>
      <c r="AF557" s="181">
        <f t="shared" si="1002"/>
        <v>0</v>
      </c>
      <c r="AG557" s="182">
        <f t="shared" si="1098"/>
        <v>0</v>
      </c>
      <c r="AH557" s="76" t="str">
        <f t="shared" si="1099"/>
        <v/>
      </c>
      <c r="AI557" s="181">
        <f> ( IF(ISNUMBER(G557), VLOOKUP(G557/$AH557,F!$A1:$B101,2,1)*G557*$H557*$I557,0)+IF(ISNUMBER(K557), VLOOKUP(K557/$AH557,F!$A1:$B101,2,1)*K557*$L557*$M557,0)+IF(ISNUMBER(O557), VLOOKUP(O557/$AH557,F!$A1:$B101,2,1)*O557*$P557*$Q557,0)+IF(ISNUMBER(S557), VLOOKUP(S557/$AH557,F!$A1:$B101,2,1)*S557*$T557*$U557,0)+IF(ISNUMBER(W557), VLOOKUP(W557/$AH557,F!$A1:$B101,2,1)*W557*$X557*$Y557,0)+IF(ISNUMBER(AA557), VLOOKUP(AA557/$AH557,F!$A1:$B101,2,1)*AA557*$AB557*$AC557,0))*IF(ISNUMBER(F557),F557,1)*IF(ISNUMBER(E557),E557,1)</f>
        <v>0</v>
      </c>
      <c r="AJ557" s="178">
        <f t="shared" si="1100"/>
        <v>0</v>
      </c>
      <c r="AK557" s="183">
        <f t="array" ref="AK557">IFERROR(I557*INDEX(F!$P$21:$AB$33, MATCH(G557/$AH557, F!$O$21:$O$33,1), MATCH(E557, F!$P$20:$AB$20,1)), 0 ) +IFERROR( M557*INDEX(F!$P$21:$AB$33, MATCH(K557/$AH557, F!$O$21:$O$33,1), MATCH(E557, F!$P$20:$AB$20,1)),0) +  IFERROR( Q557*INDEX(F!$P$21:$AB$33, MATCH(O557/$AH557, F!$O$21:$O$33,1), MATCH(E557, F!$P$20:$AB$20,1)), 0) + IFERROR( U557*INDEX(F!$P$21:$AB$33, MATCH(S557/$AH557, F!$O$21:$O$33,1), MATCH(E557, F!$P$20:$AB$20,1)),0)  + IFERROR(Y557*INDEX(F!$P$21:$AB$33, MATCH(W557/$AH557, F!$O$21:$O$33,1), MATCH(E557, F!$P$20:$AB$20,1)),0)  + IFERROR( AC557*INDEX(F!$P$21:$AB$33, MATCH(AA557/$AH557, F!$O$21:$O$33,1), MATCH(E557, F!$P$20:$AB$20,1)),)</f>
        <v>0</v>
      </c>
      <c r="AL557" s="59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ht="15.75" hidden="1" customHeight="1">
      <c r="A558" s="59"/>
      <c r="B558" s="135" t="str">
        <f t="shared" ref="B558:F558" si="1104">IF(B502="","",B502)</f>
        <v/>
      </c>
      <c r="C558" s="136" t="str">
        <f t="shared" si="1104"/>
        <v/>
      </c>
      <c r="D558" s="137" t="str">
        <f t="shared" si="1104"/>
        <v/>
      </c>
      <c r="E558" s="48" t="str">
        <f t="shared" si="1104"/>
        <v/>
      </c>
      <c r="F558" s="138" t="str">
        <f t="shared" si="1104"/>
        <v/>
      </c>
      <c r="G558" s="139" t="str">
        <f t="shared" si="1091"/>
        <v/>
      </c>
      <c r="H558" s="140"/>
      <c r="I558" s="140"/>
      <c r="J558" s="141"/>
      <c r="K558" s="139" t="str">
        <f t="shared" si="1092"/>
        <v/>
      </c>
      <c r="L558" s="140"/>
      <c r="M558" s="140"/>
      <c r="N558" s="141"/>
      <c r="O558" s="139" t="str">
        <f t="shared" si="1093"/>
        <v/>
      </c>
      <c r="P558" s="140"/>
      <c r="Q558" s="140"/>
      <c r="R558" s="141"/>
      <c r="S558" s="139" t="str">
        <f t="shared" si="1094"/>
        <v/>
      </c>
      <c r="T558" s="140"/>
      <c r="U558" s="140"/>
      <c r="V558" s="141"/>
      <c r="W558" s="139" t="str">
        <f t="shared" si="1095"/>
        <v/>
      </c>
      <c r="X558" s="140"/>
      <c r="Y558" s="140"/>
      <c r="Z558" s="141"/>
      <c r="AA558" s="139" t="str">
        <f t="shared" si="1096"/>
        <v/>
      </c>
      <c r="AB558" s="140"/>
      <c r="AC558" s="140"/>
      <c r="AD558" s="141"/>
      <c r="AE558" s="142">
        <f t="shared" si="1097"/>
        <v>0</v>
      </c>
      <c r="AF558" s="143">
        <f t="shared" si="1002"/>
        <v>0</v>
      </c>
      <c r="AG558" s="144">
        <f t="shared" si="1098"/>
        <v>0</v>
      </c>
      <c r="AH558" s="76" t="str">
        <f t="shared" si="1099"/>
        <v/>
      </c>
      <c r="AI558" s="143">
        <f> ( IF(ISNUMBER(G558), VLOOKUP(G558/$AH558,F!$A1:$B101,2,1)*G558*$H558*$I558,0)+IF(ISNUMBER(K558), VLOOKUP(K558/$AH558,F!$A1:$B101,2,1)*K558*$L558*$M558,0)+IF(ISNUMBER(O558), VLOOKUP(O558/$AH558,F!$A1:$B101,2,1)*O558*$P558*$Q558,0)+IF(ISNUMBER(S558), VLOOKUP(S558/$AH558,F!$A1:$B101,2,1)*S558*$T558*$U558,0)+IF(ISNUMBER(W558), VLOOKUP(W558/$AH558,F!$A1:$B101,2,1)*W558*$X558*$Y558,0)+IF(ISNUMBER(AA558), VLOOKUP(AA558/$AH558,F!$A1:$B101,2,1)*AA558*$AB558*$AC558,0))*IF(ISNUMBER(F558),F558,1)*IF(ISNUMBER(E558),E558,1)</f>
        <v>0</v>
      </c>
      <c r="AJ558" s="140">
        <f t="shared" si="1100"/>
        <v>0</v>
      </c>
      <c r="AK558" s="145">
        <f t="array" ref="AK558">IFERROR(I558*INDEX(F!$P$21:$AB$33, MATCH(G558/$AH558, F!$O$21:$O$33,1), MATCH(E558, F!$P$20:$AB$20,1)), 0 ) +IFERROR( M558*INDEX(F!$P$21:$AB$33, MATCH(K558/$AH558, F!$O$21:$O$33,1), MATCH(E558, F!$P$20:$AB$20,1)),0) +  IFERROR( Q558*INDEX(F!$P$21:$AB$33, MATCH(O558/$AH558, F!$O$21:$O$33,1), MATCH(E558, F!$P$20:$AB$20,1)), 0) + IFERROR( U558*INDEX(F!$P$21:$AB$33, MATCH(S558/$AH558, F!$O$21:$O$33,1), MATCH(E558, F!$P$20:$AB$20,1)),0)  + IFERROR(Y558*INDEX(F!$P$21:$AB$33, MATCH(W558/$AH558, F!$O$21:$O$33,1), MATCH(E558, F!$P$20:$AB$20,1)),0)  + IFERROR( AC558*INDEX(F!$P$21:$AB$33, MATCH(AA558/$AH558, F!$O$21:$O$33,1), MATCH(E558, F!$P$20:$AB$20,1)),)</f>
        <v>0</v>
      </c>
      <c r="AL558" s="59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ht="15.75" hidden="1" customHeight="1">
      <c r="A559" s="59"/>
      <c r="B559" s="173" t="str">
        <f t="shared" ref="B559:F559" si="1105">IF(B503="","",B503)</f>
        <v/>
      </c>
      <c r="C559" s="174" t="str">
        <f t="shared" si="1105"/>
        <v/>
      </c>
      <c r="D559" s="175" t="str">
        <f t="shared" si="1105"/>
        <v/>
      </c>
      <c r="E559" s="48" t="str">
        <f t="shared" si="1105"/>
        <v/>
      </c>
      <c r="F559" s="176" t="str">
        <f t="shared" si="1105"/>
        <v/>
      </c>
      <c r="G559" s="177" t="str">
        <f t="shared" si="1091"/>
        <v/>
      </c>
      <c r="H559" s="178"/>
      <c r="I559" s="178"/>
      <c r="J559" s="179"/>
      <c r="K559" s="177" t="str">
        <f t="shared" si="1092"/>
        <v/>
      </c>
      <c r="L559" s="178"/>
      <c r="M559" s="178"/>
      <c r="N559" s="179"/>
      <c r="O559" s="177" t="str">
        <f t="shared" si="1093"/>
        <v/>
      </c>
      <c r="P559" s="178"/>
      <c r="Q559" s="178"/>
      <c r="R559" s="179"/>
      <c r="S559" s="177" t="str">
        <f t="shared" si="1094"/>
        <v/>
      </c>
      <c r="T559" s="178"/>
      <c r="U559" s="178"/>
      <c r="V559" s="179"/>
      <c r="W559" s="177" t="str">
        <f t="shared" si="1095"/>
        <v/>
      </c>
      <c r="X559" s="178"/>
      <c r="Y559" s="178"/>
      <c r="Z559" s="179"/>
      <c r="AA559" s="177" t="str">
        <f t="shared" si="1096"/>
        <v/>
      </c>
      <c r="AB559" s="178"/>
      <c r="AC559" s="178"/>
      <c r="AD559" s="179"/>
      <c r="AE559" s="180">
        <f t="shared" si="1097"/>
        <v>0</v>
      </c>
      <c r="AF559" s="181">
        <f t="shared" si="1002"/>
        <v>0</v>
      </c>
      <c r="AG559" s="182">
        <f t="shared" si="1098"/>
        <v>0</v>
      </c>
      <c r="AH559" s="76" t="str">
        <f t="shared" si="1099"/>
        <v/>
      </c>
      <c r="AI559" s="181">
        <f> ( IF(ISNUMBER(G559), VLOOKUP(G559/$AH559,F!$A1:$B101,2,1)*G559*$H559*$I559,0)+IF(ISNUMBER(K559), VLOOKUP(K559/$AH559,F!$A1:$B101,2,1)*K559*$L559*$M559,0)+IF(ISNUMBER(O559), VLOOKUP(O559/$AH559,F!$A1:$B101,2,1)*O559*$P559*$Q559,0)+IF(ISNUMBER(S559), VLOOKUP(S559/$AH559,F!$A1:$B101,2,1)*S559*$T559*$U559,0)+IF(ISNUMBER(W559), VLOOKUP(W559/$AH559,F!$A1:$B101,2,1)*W559*$X559*$Y559,0)+IF(ISNUMBER(AA559), VLOOKUP(AA559/$AH559,F!$A1:$B101,2,1)*AA559*$AB559*$AC559,0))*IF(ISNUMBER(F559),F559,1)*IF(ISNUMBER(E559),E559,1)</f>
        <v>0</v>
      </c>
      <c r="AJ559" s="178">
        <f t="shared" si="1100"/>
        <v>0</v>
      </c>
      <c r="AK559" s="183">
        <f t="array" ref="AK559">IFERROR(I559*INDEX(F!$P$21:$AB$33, MATCH(G559/$AH559, F!$O$21:$O$33,1), MATCH(E559, F!$P$20:$AB$20,1)), 0 ) +IFERROR( M559*INDEX(F!$P$21:$AB$33, MATCH(K559/$AH559, F!$O$21:$O$33,1), MATCH(E559, F!$P$20:$AB$20,1)),0) +  IFERROR( Q559*INDEX(F!$P$21:$AB$33, MATCH(O559/$AH559, F!$O$21:$O$33,1), MATCH(E559, F!$P$20:$AB$20,1)), 0) + IFERROR( U559*INDEX(F!$P$21:$AB$33, MATCH(S559/$AH559, F!$O$21:$O$33,1), MATCH(E559, F!$P$20:$AB$20,1)),0)  + IFERROR(Y559*INDEX(F!$P$21:$AB$33, MATCH(W559/$AH559, F!$O$21:$O$33,1), MATCH(E559, F!$P$20:$AB$20,1)),0)  + IFERROR( AC559*INDEX(F!$P$21:$AB$33, MATCH(AA559/$AH559, F!$O$21:$O$33,1), MATCH(E559, F!$P$20:$AB$20,1)),)</f>
        <v>0</v>
      </c>
      <c r="AL559" s="59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ht="15.75" hidden="1" customHeight="1">
      <c r="A560" s="59"/>
      <c r="B560" s="135" t="str">
        <f t="shared" ref="B560:F560" si="1106">IF(B504="","",B504)</f>
        <v/>
      </c>
      <c r="C560" s="136" t="str">
        <f t="shared" si="1106"/>
        <v/>
      </c>
      <c r="D560" s="137" t="str">
        <f t="shared" si="1106"/>
        <v/>
      </c>
      <c r="E560" s="48" t="str">
        <f t="shared" si="1106"/>
        <v/>
      </c>
      <c r="F560" s="138" t="str">
        <f t="shared" si="1106"/>
        <v/>
      </c>
      <c r="G560" s="139" t="str">
        <f t="shared" si="1091"/>
        <v/>
      </c>
      <c r="H560" s="140"/>
      <c r="I560" s="140"/>
      <c r="J560" s="141"/>
      <c r="K560" s="139" t="str">
        <f t="shared" si="1092"/>
        <v/>
      </c>
      <c r="L560" s="140"/>
      <c r="M560" s="140"/>
      <c r="N560" s="141"/>
      <c r="O560" s="139" t="str">
        <f t="shared" si="1093"/>
        <v/>
      </c>
      <c r="P560" s="140"/>
      <c r="Q560" s="140"/>
      <c r="R560" s="141"/>
      <c r="S560" s="139" t="str">
        <f t="shared" si="1094"/>
        <v/>
      </c>
      <c r="T560" s="140"/>
      <c r="U560" s="140"/>
      <c r="V560" s="141"/>
      <c r="W560" s="139" t="str">
        <f t="shared" si="1095"/>
        <v/>
      </c>
      <c r="X560" s="140"/>
      <c r="Y560" s="140"/>
      <c r="Z560" s="141"/>
      <c r="AA560" s="139" t="str">
        <f t="shared" si="1096"/>
        <v/>
      </c>
      <c r="AB560" s="140"/>
      <c r="AC560" s="140"/>
      <c r="AD560" s="141"/>
      <c r="AE560" s="142">
        <f t="shared" si="1097"/>
        <v>0</v>
      </c>
      <c r="AF560" s="143">
        <f t="shared" si="1002"/>
        <v>0</v>
      </c>
      <c r="AG560" s="144">
        <f t="shared" si="1098"/>
        <v>0</v>
      </c>
      <c r="AH560" s="76" t="str">
        <f t="shared" si="1099"/>
        <v/>
      </c>
      <c r="AI560" s="143">
        <f> ( IF(ISNUMBER(G560), VLOOKUP(G560/$AH560,F!$A1:$B101,2,1)*G560*$H560*$I560,0)+IF(ISNUMBER(K560), VLOOKUP(K560/$AH560,F!$A1:$B101,2,1)*K560*$L560*$M560,0)+IF(ISNUMBER(O560), VLOOKUP(O560/$AH560,F!$A1:$B101,2,1)*O560*$P560*$Q560,0)+IF(ISNUMBER(S560), VLOOKUP(S560/$AH560,F!$A1:$B101,2,1)*S560*$T560*$U560,0)+IF(ISNUMBER(W560), VLOOKUP(W560/$AH560,F!$A1:$B101,2,1)*W560*$X560*$Y560,0)+IF(ISNUMBER(AA560), VLOOKUP(AA560/$AH560,F!$A1:$B101,2,1)*AA560*$AB560*$AC560,0))*IF(ISNUMBER(F560),F560,1)*IF(ISNUMBER(E560),E560,1)</f>
        <v>0</v>
      </c>
      <c r="AJ560" s="140">
        <f t="shared" si="1100"/>
        <v>0</v>
      </c>
      <c r="AK560" s="145">
        <f t="array" ref="AK560">IFERROR(I560*INDEX(F!$P$21:$AB$33, MATCH(G560/$AH560, F!$O$21:$O$33,1), MATCH(E560, F!$P$20:$AB$20,1)), 0 ) +IFERROR( M560*INDEX(F!$P$21:$AB$33, MATCH(K560/$AH560, F!$O$21:$O$33,1), MATCH(E560, F!$P$20:$AB$20,1)),0) +  IFERROR( Q560*INDEX(F!$P$21:$AB$33, MATCH(O560/$AH560, F!$O$21:$O$33,1), MATCH(E560, F!$P$20:$AB$20,1)), 0) + IFERROR( U560*INDEX(F!$P$21:$AB$33, MATCH(S560/$AH560, F!$O$21:$O$33,1), MATCH(E560, F!$P$20:$AB$20,1)),0)  + IFERROR(Y560*INDEX(F!$P$21:$AB$33, MATCH(W560/$AH560, F!$O$21:$O$33,1), MATCH(E560, F!$P$20:$AB$20,1)),0)  + IFERROR( AC560*INDEX(F!$P$21:$AB$33, MATCH(AA560/$AH560, F!$O$21:$O$33,1), MATCH(E560, F!$P$20:$AB$20,1)),)</f>
        <v>0</v>
      </c>
      <c r="AL560" s="59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ht="15.75" hidden="1" customHeight="1">
      <c r="A561" s="98"/>
      <c r="B561" s="188"/>
      <c r="C561" s="189"/>
      <c r="D561" s="190"/>
      <c r="E561" s="102">
        <f>ROUND(IFERROR(SUMPRODUCT(AJ553:AJ560,E553:E560)/AJ561,0),3)</f>
        <v>0</v>
      </c>
      <c r="F561" s="191"/>
      <c r="G561" s="201"/>
      <c r="H561" s="193"/>
      <c r="I561" s="193"/>
      <c r="J561" s="194"/>
      <c r="K561" s="201"/>
      <c r="L561" s="193"/>
      <c r="M561" s="193"/>
      <c r="N561" s="194"/>
      <c r="O561" s="201"/>
      <c r="P561" s="193"/>
      <c r="Q561" s="193"/>
      <c r="R561" s="194"/>
      <c r="S561" s="201"/>
      <c r="T561" s="193"/>
      <c r="U561" s="193"/>
      <c r="V561" s="194"/>
      <c r="W561" s="201"/>
      <c r="X561" s="193"/>
      <c r="Y561" s="193"/>
      <c r="Z561" s="194"/>
      <c r="AA561" s="201"/>
      <c r="AB561" s="193"/>
      <c r="AC561" s="193"/>
      <c r="AD561" s="194"/>
      <c r="AE561" s="107">
        <f>SUM(AE553:AE560)</f>
        <v>0</v>
      </c>
      <c r="AF561" s="108">
        <f t="shared" si="1002"/>
        <v>0</v>
      </c>
      <c r="AG561" s="109">
        <f>IFERROR(  SUMPRODUCT(AG553:AG560,AJ553:AJ560)/AJ561,0)</f>
        <v>0</v>
      </c>
      <c r="AH561" s="157"/>
      <c r="AI561" s="111">
        <f t="shared" ref="AI561:AJ561" si="1107">SUM(AI553:AI560)</f>
        <v>0</v>
      </c>
      <c r="AJ561" s="111">
        <f t="shared" si="1107"/>
        <v>0</v>
      </c>
      <c r="AK561" s="112">
        <f>IF(SUM(AK553:AK560)=0,TIME(,0,),TIME(,SUM(AK553:AK560)+F!$V$37,))</f>
        <v>0</v>
      </c>
      <c r="AL561" s="98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ht="15.75" hidden="1" customHeight="1">
      <c r="A562" s="5">
        <f>A506</f>
        <v>7</v>
      </c>
      <c r="B562" s="6"/>
      <c r="C562" s="6"/>
      <c r="D562" s="6"/>
      <c r="E562" s="7">
        <f>IF(AJ562=0,0,(E572*AJ572 + E581*AJ581 + E590*AJ590 + E599*AJ599 + E608*AJ608 + E617*AJ617   ) /AJ562 )</f>
        <v>0</v>
      </c>
      <c r="F562" s="8" t="s">
        <v>0</v>
      </c>
      <c r="G562" s="9"/>
      <c r="H562" s="9"/>
      <c r="I562" s="9"/>
      <c r="J562" s="9"/>
      <c r="K562" s="9"/>
      <c r="L562" s="9"/>
      <c r="M562" s="10"/>
      <c r="N562" s="228">
        <f>N506+1</f>
        <v>11</v>
      </c>
      <c r="O562" s="222"/>
      <c r="P562" s="222"/>
      <c r="Q562" s="222"/>
      <c r="R562" s="222"/>
      <c r="S562" s="222"/>
      <c r="T562" s="222"/>
      <c r="U562" s="222"/>
      <c r="V562" s="222"/>
      <c r="W562" s="222"/>
      <c r="X562" s="222"/>
      <c r="Y562" s="222"/>
      <c r="Z562" s="222"/>
      <c r="AA562" s="222"/>
      <c r="AB562" s="222"/>
      <c r="AC562" s="222"/>
      <c r="AD562" s="223"/>
      <c r="AE562" s="5">
        <f>AE572+AE581+AE590+AE599+AE608+AE617</f>
        <v>0</v>
      </c>
      <c r="AF562" s="229">
        <f t="shared" si="1002"/>
        <v>0</v>
      </c>
      <c r="AG562" s="230">
        <f>IF(AJ562=0,0,(AG572*AJ572 + AG581*AJ581 + AG590*AJ590 + AG599*AJ599 + AG608*AJ608 + AG617*AJ617   ) /AJ562 )</f>
        <v>0</v>
      </c>
      <c r="AH562" s="210">
        <f>AH506</f>
        <v>0.02</v>
      </c>
      <c r="AI562" s="5">
        <f t="shared" ref="AI562:AK562" si="1108">AI572+AI581+AI590+AI599+AI608+AI617</f>
        <v>0</v>
      </c>
      <c r="AJ562" s="5">
        <f t="shared" si="1108"/>
        <v>0</v>
      </c>
      <c r="AK562" s="231">
        <f t="shared" si="1108"/>
        <v>0</v>
      </c>
      <c r="AL562" s="218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ht="15.75" hidden="1" customHeight="1">
      <c r="A563" s="19" t="s">
        <v>1</v>
      </c>
      <c r="B563" s="20" t="s">
        <v>2</v>
      </c>
      <c r="C563" s="20" t="s">
        <v>3</v>
      </c>
      <c r="D563" s="20" t="s">
        <v>4</v>
      </c>
      <c r="E563" s="20" t="s">
        <v>5</v>
      </c>
      <c r="F563" s="20" t="s">
        <v>6</v>
      </c>
      <c r="G563" s="20" t="s">
        <v>7</v>
      </c>
      <c r="H563" s="20" t="s">
        <v>8</v>
      </c>
      <c r="I563" s="20" t="s">
        <v>9</v>
      </c>
      <c r="J563" s="20" t="s">
        <v>10</v>
      </c>
      <c r="K563" s="20" t="s">
        <v>7</v>
      </c>
      <c r="L563" s="20" t="s">
        <v>8</v>
      </c>
      <c r="M563" s="20" t="s">
        <v>9</v>
      </c>
      <c r="N563" s="20" t="s">
        <v>10</v>
      </c>
      <c r="O563" s="20" t="s">
        <v>7</v>
      </c>
      <c r="P563" s="20" t="s">
        <v>8</v>
      </c>
      <c r="Q563" s="20" t="s">
        <v>9</v>
      </c>
      <c r="R563" s="20" t="s">
        <v>10</v>
      </c>
      <c r="S563" s="20" t="s">
        <v>7</v>
      </c>
      <c r="T563" s="20" t="s">
        <v>8</v>
      </c>
      <c r="U563" s="20" t="s">
        <v>9</v>
      </c>
      <c r="V563" s="20" t="s">
        <v>10</v>
      </c>
      <c r="W563" s="20" t="s">
        <v>7</v>
      </c>
      <c r="X563" s="20" t="s">
        <v>8</v>
      </c>
      <c r="Y563" s="20" t="s">
        <v>9</v>
      </c>
      <c r="Z563" s="20" t="s">
        <v>10</v>
      </c>
      <c r="AA563" s="20" t="s">
        <v>7</v>
      </c>
      <c r="AB563" s="20" t="s">
        <v>8</v>
      </c>
      <c r="AC563" s="20" t="s">
        <v>9</v>
      </c>
      <c r="AD563" s="21" t="s">
        <v>10</v>
      </c>
      <c r="AE563" s="20" t="s">
        <v>11</v>
      </c>
      <c r="AF563" s="20" t="s">
        <v>12</v>
      </c>
      <c r="AG563" s="20" t="s">
        <v>13</v>
      </c>
      <c r="AH563" s="213" t="s">
        <v>14</v>
      </c>
      <c r="AI563" s="23" t="s">
        <v>15</v>
      </c>
      <c r="AJ563" s="20" t="s">
        <v>16</v>
      </c>
      <c r="AK563" s="21" t="s">
        <v>17</v>
      </c>
      <c r="AL563" s="214" t="s">
        <v>18</v>
      </c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ht="15.75" hidden="1" customHeight="1">
      <c r="A564" s="25">
        <f>A565</f>
        <v>43850</v>
      </c>
      <c r="B564" s="26" t="str">
        <f t="shared" ref="B564:F564" si="1109">IF(B508="","",B508)</f>
        <v>Средняя</v>
      </c>
      <c r="C564" s="27" t="str">
        <f t="shared" si="1109"/>
        <v>ПР</v>
      </c>
      <c r="D564" s="28" t="str">
        <f t="shared" si="1109"/>
        <v>Присед</v>
      </c>
      <c r="E564" s="29">
        <f t="shared" si="1109"/>
        <v>1.2</v>
      </c>
      <c r="F564" s="30" t="str">
        <f t="shared" si="1109"/>
        <v/>
      </c>
      <c r="G564" s="31" t="str">
        <f t="shared" ref="G564:G571" si="1111">IF(J564&lt;&gt;0, IFERROR(IF( $F564=2,  MROUND($AH564*J564,1),    IF( OR($F564="",$F564=1),   MROUND($AH564*J564,2.5),  MROUND($AH564*J564, 0.1))), "" ), "")</f>
        <v/>
      </c>
      <c r="H564" s="32"/>
      <c r="I564" s="32"/>
      <c r="J564" s="33"/>
      <c r="K564" s="31" t="str">
        <f t="shared" ref="K564:K571" si="1112">IF(N564&lt;&gt;0, IFERROR(IF( $F564=2,  MROUND($AH564*N564,1),    IF( OR($F564="",$F564=1),   MROUND($AH564*N564,2.5),  MROUND($AH564*N564, 0.1))), "" ), "")</f>
        <v/>
      </c>
      <c r="L564" s="32"/>
      <c r="M564" s="32"/>
      <c r="N564" s="33"/>
      <c r="O564" s="31" t="str">
        <f t="shared" ref="O564:O571" si="1113">IF(R564&lt;&gt;0, IFERROR(IF( $F564=2,  MROUND($AH564*R564,1),    IF( OR($F564="",$F564=1),   MROUND($AH564*R564,2.5),  MROUND($AH564*R564, 0.1))), "" ), "")</f>
        <v/>
      </c>
      <c r="P564" s="32"/>
      <c r="Q564" s="32"/>
      <c r="R564" s="33"/>
      <c r="S564" s="31" t="str">
        <f t="shared" ref="S564:S571" si="1114">IF(V564&lt;&gt;0, IFERROR(IF( $F564=2,  MROUND($AH564*V564,1),    IF( OR($F564="",$F564=1),   MROUND($AH564*V564,2.5),  MROUND($AH564*V564, 0.1))), "" ), "")</f>
        <v/>
      </c>
      <c r="T564" s="32"/>
      <c r="U564" s="32"/>
      <c r="V564" s="33"/>
      <c r="W564" s="31" t="str">
        <f t="shared" ref="W564:W571" si="1115">IF(Z564&lt;&gt;0, IFERROR(IF( $F564=2,  MROUND($AH564*Z564,1),    IF( OR($F564="",$F564=1),   MROUND($AH564*Z564,2.5),  MROUND($AH564*Z564, 0.1))), "" ), "")</f>
        <v/>
      </c>
      <c r="X564" s="32"/>
      <c r="Y564" s="32"/>
      <c r="Z564" s="33"/>
      <c r="AA564" s="31" t="str">
        <f t="shared" ref="AA564:AA571" si="1116">IF(AD564&lt;&gt;0, IFERROR(IF( $F564=2,  MROUND($AH564*AD564,1),    IF( OR($F564="",$F564=1),   MROUND($AH564*AD564,2.5),  MROUND($AH564*AD564, 0.1))), "" ), "")</f>
        <v/>
      </c>
      <c r="AB564" s="32"/>
      <c r="AC564" s="32"/>
      <c r="AD564" s="33"/>
      <c r="AE564" s="35">
        <f t="shared" ref="AE564:AE571" si="1117">(IF(ISNUMBER(G564),G564,0)*H564*I564+IF(ISNUMBER(K564),K564,1)*L564*M564+IF(ISNUMBER(O564),O564,1)*P564*Q564+IF(ISNUMBER(S564),S564,1)*T564*U564+IF(ISNUMBER(W564),W564,1)*X564*Y564+IF(ISNUMBER(AA564),AA564,1)*AB564*AC564)*IF(ISNUMBER(F564),F564,1)</f>
        <v>0</v>
      </c>
      <c r="AF564" s="36">
        <f t="shared" ref="AF564:AF618" si="1118">IFERROR(AE564/AJ564,0)</f>
        <v>0</v>
      </c>
      <c r="AG564" s="195">
        <f t="shared" ref="AG564:AG571" si="1119">IFERROR((AF564/(AH564*IF(ISNUMBER(F564),F564,1))),0)</f>
        <v>0</v>
      </c>
      <c r="AH564" s="169">
        <f t="shared" ref="AH564:AH571" si="1120">IF(ISNUMBER(AH508), AH508+(AH508*$AH$562),"")</f>
        <v>164.5642467</v>
      </c>
      <c r="AI564" s="70">
        <f> ( IF(ISNUMBER(G564), VLOOKUP(G564/$AH564,F!$A1:$B101,2,1)*G564*$H564*$I564,0)+IF(ISNUMBER(K564), VLOOKUP(K564/$AH564,F!$A1:$B101,2,1)*K564*$L564*$M564,0)+IF(ISNUMBER(O564), VLOOKUP(O564/$AH564,F!$A1:$B101,2,1)*O564*$P564*$Q564,0)+IF(ISNUMBER(S564), VLOOKUP(S564/$AH564,F!$A1:$B101,2,1)*S564*$T564*$U564,0)+IF(ISNUMBER(W564), VLOOKUP(W564/$AH564,F!$A1:$B101,2,1)*W564*$X564*$Y564,0)+IF(ISNUMBER(AA564), VLOOKUP(AA564/$AH564,F!$A1:$B101,2,1)*AA564*$AB564*$AC564,0))*IF(ISNUMBER(F564),F564,1)*IF(ISNUMBER(E564),E564,1)</f>
        <v>0</v>
      </c>
      <c r="AJ564" s="40">
        <f t="shared" ref="AJ564:AJ571" si="1121">H564*I564+L564*M564+P564*Q564+T564*U564+X564*Y564+AB564*AC564</f>
        <v>0</v>
      </c>
      <c r="AK564" s="41">
        <f t="array" ref="AK564">IFERROR(I564*INDEX(F!$P$21:$AB$33, MATCH(G564/$AH564, F!$O$21:$O$33,1), MATCH(E564, F!$P$20:$AB$20,1)), 0 ) +IFERROR( M564*INDEX(F!$P$21:$AB$33, MATCH(K564/$AH564, F!$O$21:$O$33,1), MATCH(E564, F!$P$20:$AB$20,1)),0) +  IFERROR( Q564*INDEX(F!$P$21:$AB$33, MATCH(O564/$AH564, F!$O$21:$O$33,1), MATCH(E564, F!$P$20:$AB$20,1)), 0) + IFERROR( U564*INDEX(F!$P$21:$AB$33, MATCH(S564/$AH564, F!$O$21:$O$33,1), MATCH(E564, F!$P$20:$AB$20,1)),0)  + IFERROR(Y564*INDEX(F!$P$21:$AB$33, MATCH(W564/$AH564, F!$O$21:$O$33,1), MATCH(E564, F!$P$20:$AB$20,1)),0)  + IFERROR( AC564*INDEX(F!$P$21:$AB$33, MATCH(AA564/$AH564, F!$O$21:$O$33,1), MATCH(E564, F!$P$20:$AB$20,1)),)</f>
        <v>0</v>
      </c>
      <c r="AL564" s="42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ht="15.75" hidden="1" customHeight="1">
      <c r="A565" s="44">
        <f>A509+A506</f>
        <v>43850</v>
      </c>
      <c r="B565" s="45" t="str">
        <f t="shared" ref="B565:F565" si="1110">IF(B509="","",B509)</f>
        <v>Средняя</v>
      </c>
      <c r="C565" s="46" t="str">
        <f t="shared" si="1110"/>
        <v>ЖМ</v>
      </c>
      <c r="D565" s="47" t="str">
        <f t="shared" si="1110"/>
        <v>Жим лежа</v>
      </c>
      <c r="E565" s="48">
        <f t="shared" si="1110"/>
        <v>1</v>
      </c>
      <c r="F565" s="49" t="str">
        <f t="shared" si="1110"/>
        <v/>
      </c>
      <c r="G565" s="50" t="str">
        <f t="shared" si="1111"/>
        <v/>
      </c>
      <c r="H565" s="51"/>
      <c r="I565" s="51"/>
      <c r="J565" s="52"/>
      <c r="K565" s="50" t="str">
        <f t="shared" si="1112"/>
        <v/>
      </c>
      <c r="L565" s="51"/>
      <c r="M565" s="51"/>
      <c r="N565" s="52"/>
      <c r="O565" s="50" t="str">
        <f t="shared" si="1113"/>
        <v/>
      </c>
      <c r="P565" s="51"/>
      <c r="Q565" s="51"/>
      <c r="R565" s="52"/>
      <c r="S565" s="50" t="str">
        <f t="shared" si="1114"/>
        <v/>
      </c>
      <c r="T565" s="51"/>
      <c r="U565" s="51"/>
      <c r="V565" s="52"/>
      <c r="W565" s="50" t="str">
        <f t="shared" si="1115"/>
        <v/>
      </c>
      <c r="X565" s="51"/>
      <c r="Y565" s="51"/>
      <c r="Z565" s="52"/>
      <c r="AA565" s="50" t="str">
        <f t="shared" si="1116"/>
        <v/>
      </c>
      <c r="AB565" s="51"/>
      <c r="AC565" s="51"/>
      <c r="AD565" s="52"/>
      <c r="AE565" s="53">
        <f t="shared" si="1117"/>
        <v>0</v>
      </c>
      <c r="AF565" s="54">
        <f t="shared" si="1118"/>
        <v>0</v>
      </c>
      <c r="AG565" s="75">
        <f t="shared" si="1119"/>
        <v>0</v>
      </c>
      <c r="AH565" s="76">
        <f t="shared" si="1120"/>
        <v>115.8044699</v>
      </c>
      <c r="AI565" s="77">
        <f> ( IF(ISNUMBER(G565), VLOOKUP(G565/$AH565,F!$A1:$B101,2,1)*G565*$H565*$I565,0)+IF(ISNUMBER(K565), VLOOKUP(K565/$AH565,F!$A1:$B101,2,1)*K565*$L565*$M565,0)+IF(ISNUMBER(O565), VLOOKUP(O565/$AH565,F!$A1:$B101,2,1)*O565*$P565*$Q565,0)+IF(ISNUMBER(S565), VLOOKUP(S565/$AH565,F!$A1:$B101,2,1)*S565*$T565*$U565,0)+IF(ISNUMBER(W565), VLOOKUP(W565/$AH565,F!$A1:$B101,2,1)*W565*$X565*$Y565,0)+IF(ISNUMBER(AA565), VLOOKUP(AA565/$AH565,F!$A1:$B101,2,1)*AA565*$AB565*$AC565,0))*IF(ISNUMBER(F565),F565,1)*IF(ISNUMBER(E565),E565,1)</f>
        <v>0</v>
      </c>
      <c r="AJ565" s="57">
        <f t="shared" si="1121"/>
        <v>0</v>
      </c>
      <c r="AK565" s="58">
        <f t="array" ref="AK565">IFERROR(I565*INDEX(F!$P$21:$AB$33, MATCH(G565/$AH565, F!$O$21:$O$33,1), MATCH(E565, F!$P$20:$AB$20,1)), 0 ) +IFERROR( M565*INDEX(F!$P$21:$AB$33, MATCH(K565/$AH565, F!$O$21:$O$33,1), MATCH(E565, F!$P$20:$AB$20,1)),0) +  IFERROR( Q565*INDEX(F!$P$21:$AB$33, MATCH(O565/$AH565, F!$O$21:$O$33,1), MATCH(E565, F!$P$20:$AB$20,1)), 0) + IFERROR( U565*INDEX(F!$P$21:$AB$33, MATCH(S565/$AH565, F!$O$21:$O$33,1), MATCH(E565, F!$P$20:$AB$20,1)),0)  + IFERROR(Y565*INDEX(F!$P$21:$AB$33, MATCH(W565/$AH565, F!$O$21:$O$33,1), MATCH(E565, F!$P$20:$AB$20,1)),0)  + IFERROR( AC565*INDEX(F!$P$21:$AB$33, MATCH(AA565/$AH565, F!$O$21:$O$33,1), MATCH(E565, F!$P$20:$AB$20,1)),)</f>
        <v>0</v>
      </c>
      <c r="AL565" s="59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ht="15.75" hidden="1" customHeight="1">
      <c r="A566" s="59"/>
      <c r="B566" s="60" t="str">
        <f t="shared" ref="B566:F566" si="1122">IF(B510="","",B510)</f>
        <v>Тяжелая</v>
      </c>
      <c r="C566" s="61" t="str">
        <f t="shared" si="1122"/>
        <v>ПР</v>
      </c>
      <c r="D566" s="62" t="str">
        <f t="shared" si="1122"/>
        <v>Присед</v>
      </c>
      <c r="E566" s="48">
        <f t="shared" si="1122"/>
        <v>1.2</v>
      </c>
      <c r="F566" s="63" t="str">
        <f t="shared" si="1122"/>
        <v/>
      </c>
      <c r="G566" s="64" t="str">
        <f t="shared" si="1111"/>
        <v/>
      </c>
      <c r="H566" s="34"/>
      <c r="I566" s="34"/>
      <c r="J566" s="65"/>
      <c r="K566" s="64" t="str">
        <f t="shared" si="1112"/>
        <v/>
      </c>
      <c r="L566" s="34"/>
      <c r="M566" s="34"/>
      <c r="N566" s="65"/>
      <c r="O566" s="64" t="str">
        <f t="shared" si="1113"/>
        <v/>
      </c>
      <c r="P566" s="34"/>
      <c r="Q566" s="34"/>
      <c r="R566" s="65"/>
      <c r="S566" s="64" t="str">
        <f t="shared" si="1114"/>
        <v/>
      </c>
      <c r="T566" s="34"/>
      <c r="U566" s="34"/>
      <c r="V566" s="65"/>
      <c r="W566" s="64" t="str">
        <f t="shared" si="1115"/>
        <v/>
      </c>
      <c r="X566" s="34"/>
      <c r="Y566" s="34"/>
      <c r="Z566" s="65"/>
      <c r="AA566" s="64" t="str">
        <f t="shared" si="1116"/>
        <v/>
      </c>
      <c r="AB566" s="34"/>
      <c r="AC566" s="34"/>
      <c r="AD566" s="65"/>
      <c r="AE566" s="66">
        <f t="shared" si="1117"/>
        <v>0</v>
      </c>
      <c r="AF566" s="67">
        <f t="shared" si="1118"/>
        <v>0</v>
      </c>
      <c r="AG566" s="68">
        <f t="shared" si="1119"/>
        <v>0</v>
      </c>
      <c r="AH566" s="76">
        <f t="shared" si="1120"/>
        <v>164.5642467</v>
      </c>
      <c r="AI566" s="70">
        <f> ( IF(ISNUMBER(G566), VLOOKUP(G566/$AH566,F!$A1:$B101,2,1)*G566*$H566*$I566,0)+IF(ISNUMBER(K566), VLOOKUP(K566/$AH566,F!$A1:$B101,2,1)*K566*$L566*$M566,0)+IF(ISNUMBER(O566), VLOOKUP(O566/$AH566,F!$A1:$B101,2,1)*O566*$P566*$Q566,0)+IF(ISNUMBER(S566), VLOOKUP(S566/$AH566,F!$A1:$B101,2,1)*S566*$T566*$U566,0)+IF(ISNUMBER(W566), VLOOKUP(W566/$AH566,F!$A1:$B101,2,1)*W566*$X566*$Y566,0)+IF(ISNUMBER(AA566), VLOOKUP(AA566/$AH566,F!$A1:$B101,2,1)*AA566*$AB566*$AC566,0))*IF(ISNUMBER(F566),F566,1)*IF(ISNUMBER(E566),E566,1)</f>
        <v>0</v>
      </c>
      <c r="AJ566" s="71">
        <f t="shared" si="1121"/>
        <v>0</v>
      </c>
      <c r="AK566" s="72">
        <f t="array" ref="AK566">IFERROR(I566*INDEX(F!$P$21:$AB$33, MATCH(G566/$AH566, F!$O$21:$O$33,1), MATCH(E566, F!$P$20:$AB$20,1)), 0 ) +IFERROR( M566*INDEX(F!$P$21:$AB$33, MATCH(K566/$AH566, F!$O$21:$O$33,1), MATCH(E566, F!$P$20:$AB$20,1)),0) +  IFERROR( Q566*INDEX(F!$P$21:$AB$33, MATCH(O566/$AH566, F!$O$21:$O$33,1), MATCH(E566, F!$P$20:$AB$20,1)), 0) + IFERROR( U566*INDEX(F!$P$21:$AB$33, MATCH(S566/$AH566, F!$O$21:$O$33,1), MATCH(E566, F!$P$20:$AB$20,1)),0)  + IFERROR(Y566*INDEX(F!$P$21:$AB$33, MATCH(W566/$AH566, F!$O$21:$O$33,1), MATCH(E566, F!$P$20:$AB$20,1)),0)  + IFERROR( AC566*INDEX(F!$P$21:$AB$33, MATCH(AA566/$AH566, F!$O$21:$O$33,1), MATCH(E566, F!$P$20:$AB$20,1)),)</f>
        <v>0</v>
      </c>
      <c r="AL566" s="59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ht="15.75" hidden="1" customHeight="1">
      <c r="A567" s="59"/>
      <c r="B567" s="215" t="str">
        <f t="shared" ref="B567:F567" si="1123">IF(B511="","",B511)</f>
        <v>Средняя</v>
      </c>
      <c r="C567" s="73" t="str">
        <f t="shared" si="1123"/>
        <v>ЖМ</v>
      </c>
      <c r="D567" s="47" t="str">
        <f t="shared" si="1123"/>
        <v>Жим гантелей</v>
      </c>
      <c r="E567" s="48">
        <f t="shared" si="1123"/>
        <v>1</v>
      </c>
      <c r="F567" s="74">
        <f t="shared" si="1123"/>
        <v>2</v>
      </c>
      <c r="G567" s="50" t="str">
        <f t="shared" si="1111"/>
        <v/>
      </c>
      <c r="H567" s="51"/>
      <c r="I567" s="51"/>
      <c r="J567" s="52"/>
      <c r="K567" s="50" t="str">
        <f t="shared" si="1112"/>
        <v/>
      </c>
      <c r="L567" s="51"/>
      <c r="M567" s="51"/>
      <c r="N567" s="52"/>
      <c r="O567" s="50" t="str">
        <f t="shared" si="1113"/>
        <v/>
      </c>
      <c r="P567" s="51"/>
      <c r="Q567" s="51"/>
      <c r="R567" s="52"/>
      <c r="S567" s="50" t="str">
        <f t="shared" si="1114"/>
        <v/>
      </c>
      <c r="T567" s="51"/>
      <c r="U567" s="51"/>
      <c r="V567" s="52"/>
      <c r="W567" s="50" t="str">
        <f t="shared" si="1115"/>
        <v/>
      </c>
      <c r="X567" s="51"/>
      <c r="Y567" s="51"/>
      <c r="Z567" s="52"/>
      <c r="AA567" s="50" t="str">
        <f t="shared" si="1116"/>
        <v/>
      </c>
      <c r="AB567" s="51"/>
      <c r="AC567" s="51"/>
      <c r="AD567" s="52"/>
      <c r="AE567" s="53">
        <f t="shared" si="1117"/>
        <v>0</v>
      </c>
      <c r="AF567" s="54">
        <f t="shared" si="1118"/>
        <v>0</v>
      </c>
      <c r="AG567" s="75">
        <f t="shared" si="1119"/>
        <v>0</v>
      </c>
      <c r="AH567" s="76">
        <f t="shared" si="1120"/>
        <v>37.05743037</v>
      </c>
      <c r="AI567" s="77">
        <f> ( IF(ISNUMBER(G567), VLOOKUP(G567/$AH567,F!$A1:$B101,2,1)*G567*$H567*$I567,0)+IF(ISNUMBER(K567), VLOOKUP(K567/$AH567,F!$A1:$B101,2,1)*K567*$L567*$M567,0)+IF(ISNUMBER(O567), VLOOKUP(O567/$AH567,F!$A1:$B101,2,1)*O567*$P567*$Q567,0)+IF(ISNUMBER(S567), VLOOKUP(S567/$AH567,F!$A1:$B101,2,1)*S567*$T567*$U567,0)+IF(ISNUMBER(W567), VLOOKUP(W567/$AH567,F!$A1:$B101,2,1)*W567*$X567*$Y567,0)+IF(ISNUMBER(AA567), VLOOKUP(AA567/$AH567,F!$A1:$B101,2,1)*AA567*$AB567*$AC567,0))*IF(ISNUMBER(F567),F567,1)*IF(ISNUMBER(E567),E567,1)</f>
        <v>0</v>
      </c>
      <c r="AJ567" s="57">
        <f t="shared" si="1121"/>
        <v>0</v>
      </c>
      <c r="AK567" s="58">
        <f t="array" ref="AK567">IFERROR(I567*INDEX(F!$P$21:$AB$33, MATCH(G567/$AH567, F!$O$21:$O$33,1), MATCH(E567, F!$P$20:$AB$20,1)), 0 ) +IFERROR( M567*INDEX(F!$P$21:$AB$33, MATCH(K567/$AH567, F!$O$21:$O$33,1), MATCH(E567, F!$P$20:$AB$20,1)),0) +  IFERROR( Q567*INDEX(F!$P$21:$AB$33, MATCH(O567/$AH567, F!$O$21:$O$33,1), MATCH(E567, F!$P$20:$AB$20,1)), 0) + IFERROR( U567*INDEX(F!$P$21:$AB$33, MATCH(S567/$AH567, F!$O$21:$O$33,1), MATCH(E567, F!$P$20:$AB$20,1)),0)  + IFERROR(Y567*INDEX(F!$P$21:$AB$33, MATCH(W567/$AH567, F!$O$21:$O$33,1), MATCH(E567, F!$P$20:$AB$20,1)),0)  + IFERROR( AC567*INDEX(F!$P$21:$AB$33, MATCH(AA567/$AH567, F!$O$21:$O$33,1), MATCH(E567, F!$P$20:$AB$20,1)),)</f>
        <v>0</v>
      </c>
      <c r="AL567" s="59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ht="15.75" hidden="1" customHeight="1">
      <c r="A568" s="59"/>
      <c r="B568" s="216" t="str">
        <f t="shared" ref="B568:F568" si="1124">IF(B512="","",B512)</f>
        <v>Средняя</v>
      </c>
      <c r="C568" s="78" t="str">
        <f t="shared" si="1124"/>
        <v>ОФП</v>
      </c>
      <c r="D568" s="62" t="str">
        <f t="shared" si="1124"/>
        <v>Французский жим</v>
      </c>
      <c r="E568" s="48">
        <f t="shared" si="1124"/>
        <v>0.4</v>
      </c>
      <c r="F568" s="79" t="str">
        <f t="shared" si="1124"/>
        <v/>
      </c>
      <c r="G568" s="64" t="str">
        <f t="shared" si="1111"/>
        <v/>
      </c>
      <c r="H568" s="34"/>
      <c r="I568" s="34"/>
      <c r="J568" s="65"/>
      <c r="K568" s="64" t="str">
        <f t="shared" si="1112"/>
        <v/>
      </c>
      <c r="L568" s="34"/>
      <c r="M568" s="34"/>
      <c r="N568" s="65"/>
      <c r="O568" s="64" t="str">
        <f t="shared" si="1113"/>
        <v/>
      </c>
      <c r="P568" s="34"/>
      <c r="Q568" s="34"/>
      <c r="R568" s="65"/>
      <c r="S568" s="64" t="str">
        <f t="shared" si="1114"/>
        <v/>
      </c>
      <c r="T568" s="34"/>
      <c r="U568" s="34"/>
      <c r="V568" s="65"/>
      <c r="W568" s="64" t="str">
        <f t="shared" si="1115"/>
        <v/>
      </c>
      <c r="X568" s="34"/>
      <c r="Y568" s="34"/>
      <c r="Z568" s="65"/>
      <c r="AA568" s="64" t="str">
        <f t="shared" si="1116"/>
        <v/>
      </c>
      <c r="AB568" s="34"/>
      <c r="AC568" s="34"/>
      <c r="AD568" s="65"/>
      <c r="AE568" s="66">
        <f t="shared" si="1117"/>
        <v>0</v>
      </c>
      <c r="AF568" s="67">
        <f t="shared" si="1118"/>
        <v>0</v>
      </c>
      <c r="AG568" s="68">
        <f t="shared" si="1119"/>
        <v>0</v>
      </c>
      <c r="AH568" s="76">
        <f t="shared" si="1120"/>
        <v>53.27005615</v>
      </c>
      <c r="AI568" s="70">
        <f> ( IF(ISNUMBER(G568), VLOOKUP(G568/$AH568,F!$A1:$B101,2,1)*G568*$H568*$I568,0)+IF(ISNUMBER(K568), VLOOKUP(K568/$AH568,F!$A1:$B101,2,1)*K568*$L568*$M568,0)+IF(ISNUMBER(O568), VLOOKUP(O568/$AH568,F!$A1:$B101,2,1)*O568*$P568*$Q568,0)+IF(ISNUMBER(S568), VLOOKUP(S568/$AH568,F!$A1:$B101,2,1)*S568*$T568*$U568,0)+IF(ISNUMBER(W568), VLOOKUP(W568/$AH568,F!$A1:$B101,2,1)*W568*$X568*$Y568,0)+IF(ISNUMBER(AA568), VLOOKUP(AA568/$AH568,F!$A1:$B101,2,1)*AA568*$AB568*$AC568,0))*IF(ISNUMBER(F568),F568,1)*IF(ISNUMBER(E568),E568,1)</f>
        <v>0</v>
      </c>
      <c r="AJ568" s="71">
        <f t="shared" si="1121"/>
        <v>0</v>
      </c>
      <c r="AK568" s="72">
        <f t="array" ref="AK568">IFERROR(I568*INDEX(F!$P$21:$AB$33, MATCH(G568/$AH568, F!$O$21:$O$33,1), MATCH(E568, F!$P$20:$AB$20,1)), 0 ) +IFERROR( M568*INDEX(F!$P$21:$AB$33, MATCH(K568/$AH568, F!$O$21:$O$33,1), MATCH(E568, F!$P$20:$AB$20,1)),0) +  IFERROR( Q568*INDEX(F!$P$21:$AB$33, MATCH(O568/$AH568, F!$O$21:$O$33,1), MATCH(E568, F!$P$20:$AB$20,1)), 0) + IFERROR( U568*INDEX(F!$P$21:$AB$33, MATCH(S568/$AH568, F!$O$21:$O$33,1), MATCH(E568, F!$P$20:$AB$20,1)),0)  + IFERROR(Y568*INDEX(F!$P$21:$AB$33, MATCH(W568/$AH568, F!$O$21:$O$33,1), MATCH(E568, F!$P$20:$AB$20,1)),0)  + IFERROR( AC568*INDEX(F!$P$21:$AB$33, MATCH(AA568/$AH568, F!$O$21:$O$33,1), MATCH(E568, F!$P$20:$AB$20,1)),)</f>
        <v>0</v>
      </c>
      <c r="AL568" s="59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ht="15.75" hidden="1" customHeight="1">
      <c r="A569" s="59"/>
      <c r="B569" s="45" t="str">
        <f t="shared" ref="B569:F569" si="1125">IF(B513="","",B513)</f>
        <v/>
      </c>
      <c r="C569" s="46" t="str">
        <f t="shared" si="1125"/>
        <v/>
      </c>
      <c r="D569" s="197" t="str">
        <f t="shared" si="1125"/>
        <v/>
      </c>
      <c r="E569" s="48" t="str">
        <f t="shared" si="1125"/>
        <v/>
      </c>
      <c r="F569" s="83" t="str">
        <f t="shared" si="1125"/>
        <v/>
      </c>
      <c r="G569" s="50" t="str">
        <f t="shared" si="1111"/>
        <v/>
      </c>
      <c r="H569" s="51"/>
      <c r="I569" s="51"/>
      <c r="J569" s="52"/>
      <c r="K569" s="50" t="str">
        <f t="shared" si="1112"/>
        <v/>
      </c>
      <c r="L569" s="51"/>
      <c r="M569" s="51"/>
      <c r="N569" s="52"/>
      <c r="O569" s="50" t="str">
        <f t="shared" si="1113"/>
        <v/>
      </c>
      <c r="P569" s="51"/>
      <c r="Q569" s="51"/>
      <c r="R569" s="52"/>
      <c r="S569" s="50" t="str">
        <f t="shared" si="1114"/>
        <v/>
      </c>
      <c r="T569" s="51"/>
      <c r="U569" s="51"/>
      <c r="V569" s="52"/>
      <c r="W569" s="50" t="str">
        <f t="shared" si="1115"/>
        <v/>
      </c>
      <c r="X569" s="51"/>
      <c r="Y569" s="51"/>
      <c r="Z569" s="52"/>
      <c r="AA569" s="50" t="str">
        <f t="shared" si="1116"/>
        <v/>
      </c>
      <c r="AB569" s="51"/>
      <c r="AC569" s="51"/>
      <c r="AD569" s="52"/>
      <c r="AE569" s="53">
        <f t="shared" si="1117"/>
        <v>0</v>
      </c>
      <c r="AF569" s="54">
        <f t="shared" si="1118"/>
        <v>0</v>
      </c>
      <c r="AG569" s="75">
        <f t="shared" si="1119"/>
        <v>0</v>
      </c>
      <c r="AH569" s="76" t="str">
        <f t="shared" si="1120"/>
        <v/>
      </c>
      <c r="AI569" s="77">
        <f> ( IF(ISNUMBER(G569), VLOOKUP(G569/$AH569,F!$A1:$B101,2,1)*G569*$H569*$I569,0)+IF(ISNUMBER(K569), VLOOKUP(K569/$AH569,F!$A1:$B101,2,1)*K569*$L569*$M569,0)+IF(ISNUMBER(O569), VLOOKUP(O569/$AH569,F!$A1:$B101,2,1)*O569*$P569*$Q569,0)+IF(ISNUMBER(S569), VLOOKUP(S569/$AH569,F!$A1:$B101,2,1)*S569*$T569*$U569,0)+IF(ISNUMBER(W569), VLOOKUP(W569/$AH569,F!$A1:$B101,2,1)*W569*$X569*$Y569,0)+IF(ISNUMBER(AA569), VLOOKUP(AA569/$AH569,F!$A1:$B101,2,1)*AA569*$AB569*$AC569,0))*IF(ISNUMBER(F569),F569,1)*IF(ISNUMBER(E569),E569,1)</f>
        <v>0</v>
      </c>
      <c r="AJ569" s="86">
        <f t="shared" si="1121"/>
        <v>0</v>
      </c>
      <c r="AK569" s="58">
        <f t="array" ref="AK569">IFERROR(I569*INDEX(F!$P$21:$AB$33, MATCH(G569/$AH569, F!$O$21:$O$33,1), MATCH(E569, F!$P$20:$AB$20,1)), 0 ) +IFERROR( M569*INDEX(F!$P$21:$AB$33, MATCH(K569/$AH569, F!$O$21:$O$33,1), MATCH(E569, F!$P$20:$AB$20,1)),0) +  IFERROR( Q569*INDEX(F!$P$21:$AB$33, MATCH(O569/$AH569, F!$O$21:$O$33,1), MATCH(E569, F!$P$20:$AB$20,1)), 0) + IFERROR( U569*INDEX(F!$P$21:$AB$33, MATCH(S569/$AH569, F!$O$21:$O$33,1), MATCH(E569, F!$P$20:$AB$20,1)),0)  + IFERROR(Y569*INDEX(F!$P$21:$AB$33, MATCH(W569/$AH569, F!$O$21:$O$33,1), MATCH(E569, F!$P$20:$AB$20,1)),0)  + IFERROR( AC569*INDEX(F!$P$21:$AB$33, MATCH(AA569/$AH569, F!$O$21:$O$33,1), MATCH(E569, F!$P$20:$AB$20,1)),)</f>
        <v>0</v>
      </c>
      <c r="AL569" s="59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ht="15.0" hidden="1" customHeight="1">
      <c r="A570" s="59"/>
      <c r="B570" s="60" t="str">
        <f t="shared" ref="B570:F570" si="1126">IF(B514="","",B514)</f>
        <v/>
      </c>
      <c r="C570" s="61" t="str">
        <f t="shared" si="1126"/>
        <v/>
      </c>
      <c r="D570" s="198" t="str">
        <f t="shared" si="1126"/>
        <v/>
      </c>
      <c r="E570" s="48" t="str">
        <f t="shared" si="1126"/>
        <v/>
      </c>
      <c r="F570" s="79" t="str">
        <f t="shared" si="1126"/>
        <v/>
      </c>
      <c r="G570" s="64" t="str">
        <f t="shared" si="1111"/>
        <v/>
      </c>
      <c r="H570" s="34"/>
      <c r="I570" s="34"/>
      <c r="J570" s="65"/>
      <c r="K570" s="64" t="str">
        <f t="shared" si="1112"/>
        <v/>
      </c>
      <c r="L570" s="34"/>
      <c r="M570" s="34"/>
      <c r="N570" s="65"/>
      <c r="O570" s="64" t="str">
        <f t="shared" si="1113"/>
        <v/>
      </c>
      <c r="P570" s="34"/>
      <c r="Q570" s="34"/>
      <c r="R570" s="65"/>
      <c r="S570" s="64" t="str">
        <f t="shared" si="1114"/>
        <v/>
      </c>
      <c r="T570" s="34"/>
      <c r="U570" s="34"/>
      <c r="V570" s="65"/>
      <c r="W570" s="64" t="str">
        <f t="shared" si="1115"/>
        <v/>
      </c>
      <c r="X570" s="34"/>
      <c r="Y570" s="34"/>
      <c r="Z570" s="65"/>
      <c r="AA570" s="64" t="str">
        <f t="shared" si="1116"/>
        <v/>
      </c>
      <c r="AB570" s="34"/>
      <c r="AC570" s="34"/>
      <c r="AD570" s="65"/>
      <c r="AE570" s="66">
        <f t="shared" si="1117"/>
        <v>0</v>
      </c>
      <c r="AF570" s="67">
        <f t="shared" si="1118"/>
        <v>0</v>
      </c>
      <c r="AG570" s="68">
        <f t="shared" si="1119"/>
        <v>0</v>
      </c>
      <c r="AH570" s="76" t="str">
        <f t="shared" si="1120"/>
        <v/>
      </c>
      <c r="AI570" s="90">
        <f> ( IF(ISNUMBER(G570), VLOOKUP(G570/$AH570,F!$A1:$B101,2,1)*G570*$H570*$I570,0)+IF(ISNUMBER(K570), VLOOKUP(K570/$AH570,F!$A1:$B101,2,1)*K570*$L570*$M570,0)+IF(ISNUMBER(O570), VLOOKUP(O570/$AH570,F!$A1:$B101,2,1)*O570*$P570*$Q570,0)+IF(ISNUMBER(S570), VLOOKUP(S570/$AH570,F!$A1:$B101,2,1)*S570*$T570*$U570,0)+IF(ISNUMBER(W570), VLOOKUP(W570/$AH570,F!$A1:$B101,2,1)*W570*$X570*$Y570,0)+IF(ISNUMBER(AA570), VLOOKUP(AA570/$AH570,F!$A1:$B101,2,1)*AA570*$AB570*$AC570,0))*IF(ISNUMBER(F570),F570,1)*IF(ISNUMBER(E570),E570,1)</f>
        <v>0</v>
      </c>
      <c r="AJ570" s="34">
        <f t="shared" si="1121"/>
        <v>0</v>
      </c>
      <c r="AK570" s="91">
        <f t="array" ref="AK570">IFERROR(I570*INDEX(F!$P$21:$AB$33, MATCH(G570/$AH570, F!$O$21:$O$33,1), MATCH(E570, F!$P$20:$AB$20,1)), 0 ) +IFERROR( M570*INDEX(F!$P$21:$AB$33, MATCH(K570/$AH570, F!$O$21:$O$33,1), MATCH(E570, F!$P$20:$AB$20,1)),0) +  IFERROR( Q570*INDEX(F!$P$21:$AB$33, MATCH(O570/$AH570, F!$O$21:$O$33,1), MATCH(E570, F!$P$20:$AB$20,1)), 0) + IFERROR( U570*INDEX(F!$P$21:$AB$33, MATCH(S570/$AH570, F!$O$21:$O$33,1), MATCH(E570, F!$P$20:$AB$20,1)),0)  + IFERROR(Y570*INDEX(F!$P$21:$AB$33, MATCH(W570/$AH570, F!$O$21:$O$33,1), MATCH(E570, F!$P$20:$AB$20,1)),0)  + IFERROR( AC570*INDEX(F!$P$21:$AB$33, MATCH(AA570/$AH570, F!$O$21:$O$33,1), MATCH(E570, F!$P$20:$AB$20,1)),)</f>
        <v>0</v>
      </c>
      <c r="AL570" s="59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ht="15.0" hidden="1" customHeight="1">
      <c r="A571" s="59"/>
      <c r="B571" s="45" t="str">
        <f t="shared" ref="B571:F571" si="1127">IF(B515="","",B515)</f>
        <v/>
      </c>
      <c r="C571" s="46" t="str">
        <f t="shared" si="1127"/>
        <v/>
      </c>
      <c r="D571" s="92" t="str">
        <f t="shared" si="1127"/>
        <v/>
      </c>
      <c r="E571" s="48" t="str">
        <f t="shared" si="1127"/>
        <v/>
      </c>
      <c r="F571" s="74" t="str">
        <f t="shared" si="1127"/>
        <v/>
      </c>
      <c r="G571" s="50" t="str">
        <f t="shared" si="1111"/>
        <v/>
      </c>
      <c r="H571" s="51"/>
      <c r="I571" s="51"/>
      <c r="J571" s="52"/>
      <c r="K571" s="50" t="str">
        <f t="shared" si="1112"/>
        <v/>
      </c>
      <c r="L571" s="51"/>
      <c r="M571" s="51"/>
      <c r="N571" s="52"/>
      <c r="O571" s="50" t="str">
        <f t="shared" si="1113"/>
        <v/>
      </c>
      <c r="P571" s="51"/>
      <c r="Q571" s="51"/>
      <c r="R571" s="52"/>
      <c r="S571" s="50" t="str">
        <f t="shared" si="1114"/>
        <v/>
      </c>
      <c r="T571" s="51"/>
      <c r="U571" s="51"/>
      <c r="V571" s="52"/>
      <c r="W571" s="50" t="str">
        <f t="shared" si="1115"/>
        <v/>
      </c>
      <c r="X571" s="51"/>
      <c r="Y571" s="51"/>
      <c r="Z571" s="52"/>
      <c r="AA571" s="50" t="str">
        <f t="shared" si="1116"/>
        <v/>
      </c>
      <c r="AB571" s="51"/>
      <c r="AC571" s="51"/>
      <c r="AD571" s="52"/>
      <c r="AE571" s="53">
        <f t="shared" si="1117"/>
        <v>0</v>
      </c>
      <c r="AF571" s="93">
        <f t="shared" si="1118"/>
        <v>0</v>
      </c>
      <c r="AG571" s="94">
        <f t="shared" si="1119"/>
        <v>0</v>
      </c>
      <c r="AH571" s="76" t="str">
        <f t="shared" si="1120"/>
        <v/>
      </c>
      <c r="AI571" s="95">
        <f> ( IF(ISNUMBER(G571), VLOOKUP(G571/$AH571,F!$A1:$B101,2,1)*G571*$H571*$I571,0)+IF(ISNUMBER(K571), VLOOKUP(K571/$AH571,F!$A1:$B101,2,1)*K571*$L571*$M571,0)+IF(ISNUMBER(O571), VLOOKUP(O571/$AH571,F!$A1:$B101,2,1)*O571*$P571*$Q571,0)+IF(ISNUMBER(S571), VLOOKUP(S571/$AH571,F!$A1:$B101,2,1)*S571*$T571*$U571,0)+IF(ISNUMBER(W571), VLOOKUP(W571/$AH571,F!$A1:$B101,2,1)*W571*$X571*$Y571,0)+IF(ISNUMBER(AA571), VLOOKUP(AA571/$AH571,F!$A1:$B101,2,1)*AA571*$AB571*$AC571,0))*IF(ISNUMBER(F571),F571,1)*IF(ISNUMBER(E571),E571,1)</f>
        <v>0</v>
      </c>
      <c r="AJ571" s="96">
        <f t="shared" si="1121"/>
        <v>0</v>
      </c>
      <c r="AK571" s="97">
        <f t="array" ref="AK571">IFERROR(I571*INDEX(F!$P$21:$AB$33, MATCH(G571/$AH571, F!$O$21:$O$33,1), MATCH(E571, F!$P$20:$AB$20,1)), 0 ) +IFERROR( M571*INDEX(F!$P$21:$AB$33, MATCH(K571/$AH571, F!$O$21:$O$33,1), MATCH(E571, F!$P$20:$AB$20,1)),0) +  IFERROR( Q571*INDEX(F!$P$21:$AB$33, MATCH(O571/$AH571, F!$O$21:$O$33,1), MATCH(E571, F!$P$20:$AB$20,1)), 0) + IFERROR( U571*INDEX(F!$P$21:$AB$33, MATCH(S571/$AH571, F!$O$21:$O$33,1), MATCH(E571, F!$P$20:$AB$20,1)),0)  + IFERROR(Y571*INDEX(F!$P$21:$AB$33, MATCH(W571/$AH571, F!$O$21:$O$33,1), MATCH(E571, F!$P$20:$AB$20,1)),0)  + IFERROR( AC571*INDEX(F!$P$21:$AB$33, MATCH(AA571/$AH571, F!$O$21:$O$33,1), MATCH(E571, F!$P$20:$AB$20,1)),)</f>
        <v>0</v>
      </c>
      <c r="AL571" s="59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ht="15.75" hidden="1" customHeight="1">
      <c r="A572" s="98"/>
      <c r="B572" s="99"/>
      <c r="C572" s="100"/>
      <c r="D572" s="101"/>
      <c r="E572" s="102">
        <f>ROUND(IFERROR(SUMPRODUCT(AJ564:AJ571,E564:E571)/AJ572,0),3)</f>
        <v>0</v>
      </c>
      <c r="F572" s="199"/>
      <c r="G572" s="104"/>
      <c r="H572" s="105"/>
      <c r="I572" s="105"/>
      <c r="J572" s="106"/>
      <c r="K572" s="104"/>
      <c r="L572" s="105"/>
      <c r="M572" s="105"/>
      <c r="N572" s="106"/>
      <c r="O572" s="104"/>
      <c r="P572" s="105"/>
      <c r="Q572" s="105"/>
      <c r="R572" s="106"/>
      <c r="S572" s="104"/>
      <c r="T572" s="105"/>
      <c r="U572" s="105"/>
      <c r="V572" s="106"/>
      <c r="W572" s="104"/>
      <c r="X572" s="105"/>
      <c r="Y572" s="105"/>
      <c r="Z572" s="106"/>
      <c r="AA572" s="104"/>
      <c r="AB572" s="105"/>
      <c r="AC572" s="105"/>
      <c r="AD572" s="106"/>
      <c r="AE572" s="107">
        <f>SUM(AE564:AE571)</f>
        <v>0</v>
      </c>
      <c r="AF572" s="108">
        <f t="shared" si="1118"/>
        <v>0</v>
      </c>
      <c r="AG572" s="109">
        <f>IFERROR(  SUMPRODUCT(AG564:AG571,AJ564:AJ571)/AJ572,0)</f>
        <v>0</v>
      </c>
      <c r="AH572" s="157"/>
      <c r="AI572" s="111">
        <f t="shared" ref="AI572:AJ572" si="1128">SUM(AI564:AI571)</f>
        <v>0</v>
      </c>
      <c r="AJ572" s="111">
        <f t="shared" si="1128"/>
        <v>0</v>
      </c>
      <c r="AK572" s="112">
        <f>IF(SUM(AK564:AK571)=0,TIME(,0,),TIME(,SUM(AK564:AK571)+F!$V$37,))</f>
        <v>0</v>
      </c>
      <c r="AL572" s="98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ht="15.75" hidden="1" customHeight="1">
      <c r="A573" s="113">
        <f>A574</f>
        <v>43852</v>
      </c>
      <c r="B573" s="114" t="str">
        <f t="shared" ref="B573:F573" si="1129">IF(B517="","",B517)</f>
        <v>Тяжелая</v>
      </c>
      <c r="C573" s="115" t="str">
        <f t="shared" si="1129"/>
        <v>ТГ</v>
      </c>
      <c r="D573" s="116" t="str">
        <f t="shared" si="1129"/>
        <v>Становая тяга</v>
      </c>
      <c r="E573" s="29">
        <f t="shared" si="1129"/>
        <v>1.4</v>
      </c>
      <c r="F573" s="117" t="str">
        <f t="shared" si="1129"/>
        <v/>
      </c>
      <c r="G573" s="118" t="str">
        <f t="shared" ref="G573:G580" si="1131">IF(J573&lt;&gt;0, IFERROR(IF( $F573=2,  MROUND($AH573*J573,1),    IF( OR($F573="",$F573=1),   MROUND($AH573*J573,2.5),  MROUND($AH573*J573, 0.1))), "" ), "")</f>
        <v/>
      </c>
      <c r="H573" s="119"/>
      <c r="I573" s="119"/>
      <c r="J573" s="120"/>
      <c r="K573" s="118" t="str">
        <f t="shared" ref="K573:K580" si="1132">IF(N573&lt;&gt;0, IFERROR(IF( $F573=2,  MROUND($AH573*N573,1),    IF( OR($F573="",$F573=1),   MROUND($AH573*N573,2.5),  MROUND($AH573*N573, 0.1))), "" ), "")</f>
        <v/>
      </c>
      <c r="L573" s="119"/>
      <c r="M573" s="119"/>
      <c r="N573" s="120"/>
      <c r="O573" s="118" t="str">
        <f t="shared" ref="O573:O580" si="1133">IF(R573&lt;&gt;0, IFERROR(IF( $F573=2,  MROUND($AH573*R573,1),    IF( OR($F573="",$F573=1),   MROUND($AH573*R573,2.5),  MROUND($AH573*R573, 0.1))), "" ), "")</f>
        <v/>
      </c>
      <c r="P573" s="119"/>
      <c r="Q573" s="119"/>
      <c r="R573" s="120"/>
      <c r="S573" s="118" t="str">
        <f t="shared" ref="S573:S580" si="1134">IF(V573&lt;&gt;0, IFERROR(IF( $F573=2,  MROUND($AH573*V573,1),    IF( OR($F573="",$F573=1),   MROUND($AH573*V573,2.5),  MROUND($AH573*V573, 0.1))), "" ), "")</f>
        <v/>
      </c>
      <c r="T573" s="119"/>
      <c r="U573" s="119"/>
      <c r="V573" s="120"/>
      <c r="W573" s="118" t="str">
        <f t="shared" ref="W573:W580" si="1135">IF(Z573&lt;&gt;0, IFERROR(IF( $F573=2,  MROUND($AH573*Z573,1),    IF( OR($F573="",$F573=1),   MROUND($AH573*Z573,2.5),  MROUND($AH573*Z573, 0.1))), "" ), "")</f>
        <v/>
      </c>
      <c r="X573" s="119"/>
      <c r="Y573" s="119"/>
      <c r="Z573" s="120"/>
      <c r="AA573" s="118" t="str">
        <f t="shared" ref="AA573:AA580" si="1136">IF(AD573&lt;&gt;0, IFERROR(IF( $F573=2,  MROUND($AH573*AD573,1),    IF( OR($F573="",$F573=1),   MROUND($AH573*AD573,2.5),  MROUND($AH573*AD573, 0.1))), "" ), "")</f>
        <v/>
      </c>
      <c r="AB573" s="119"/>
      <c r="AC573" s="119"/>
      <c r="AD573" s="120"/>
      <c r="AE573" s="121">
        <f t="shared" ref="AE573:AE580" si="1137">(IF(ISNUMBER(G573),G573,0)*H573*I573+IF(ISNUMBER(K573),K573,1)*L573*M573+IF(ISNUMBER(O573),O573,1)*P573*Q573+IF(ISNUMBER(S573),S573,1)*T573*U573+IF(ISNUMBER(W573),W573,1)*X573*Y573+IF(ISNUMBER(AA573),AA573,1)*AB573*AC573)*IF(ISNUMBER(F573),F573,1)</f>
        <v>0</v>
      </c>
      <c r="AF573" s="122">
        <f t="shared" si="1118"/>
        <v>0</v>
      </c>
      <c r="AG573" s="200">
        <f t="shared" ref="AG573:AG580" si="1138">IFERROR((AF573/(AH573*IF(ISNUMBER(F573),F573,1))),0)</f>
        <v>0</v>
      </c>
      <c r="AH573" s="169">
        <f t="shared" ref="AH573:AH580" si="1139">IF(ISNUMBER(AH517), AH517+(AH517*$AH$562),"")</f>
        <v>225.5139677</v>
      </c>
      <c r="AI573" s="122">
        <f> ( IF(ISNUMBER(G573), VLOOKUP(G573/$AH573,F!$A1:$B101,2,1)*G573*$H573*$I573,0)+IF(ISNUMBER(K573), VLOOKUP(K573/$AH573,F!$A1:$B101,2,1)*K573*$L573*$M573,0)+IF(ISNUMBER(O573), VLOOKUP(O573/$AH573,F!$A1:$B101,2,1)*O573*$P573*$Q573,0)+IF(ISNUMBER(S573), VLOOKUP(S573/$AH573,F!$A1:$B101,2,1)*S573*$T573*$U573,0)+IF(ISNUMBER(W573), VLOOKUP(W573/$AH573,F!$A1:$B101,2,1)*W573*$X573*$Y573,0)+IF(ISNUMBER(AA573), VLOOKUP(AA573/$AH573,F!$A1:$B101,2,1)*AA573*$AB573*$AC573,0))*IF(ISNUMBER(F573),F573,1)*IF(ISNUMBER(E573),E573,1)</f>
        <v>0</v>
      </c>
      <c r="AJ573" s="119">
        <f t="shared" ref="AJ573:AJ580" si="1140">H573*I573+L573*M573+P573*Q573+T573*U573+X573*Y573+AB573*AC573</f>
        <v>0</v>
      </c>
      <c r="AK573" s="125">
        <f t="array" ref="AK573">IFERROR(I573*INDEX(F!$P$21:$AB$33, MATCH(G573/$AH573, F!$O$21:$O$33,1), MATCH(E573, F!$P$20:$AB$20,1)), 0 ) +IFERROR( M573*INDEX(F!$P$21:$AB$33, MATCH(K573/$AH573, F!$O$21:$O$33,1), MATCH(E573, F!$P$20:$AB$20,1)),0) +  IFERROR( Q573*INDEX(F!$P$21:$AB$33, MATCH(O573/$AH573, F!$O$21:$O$33,1), MATCH(E573, F!$P$20:$AB$20,1)), 0) + IFERROR( U573*INDEX(F!$P$21:$AB$33, MATCH(S573/$AH573, F!$O$21:$O$33,1), MATCH(E573, F!$P$20:$AB$20,1)),0)  + IFERROR(Y573*INDEX(F!$P$21:$AB$33, MATCH(W573/$AH573, F!$O$21:$O$33,1), MATCH(E573, F!$P$20:$AB$20,1)),0)  + IFERROR( AC573*INDEX(F!$P$21:$AB$33, MATCH(AA573/$AH573, F!$O$21:$O$33,1), MATCH(E573, F!$P$20:$AB$20,1)),)</f>
        <v>0</v>
      </c>
      <c r="AL573" s="42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ht="15.75" hidden="1" customHeight="1">
      <c r="A574" s="44">
        <f>A518+A506</f>
        <v>43852</v>
      </c>
      <c r="B574" s="126" t="str">
        <f t="shared" ref="B574:F574" si="1130">IF(B518="","",B518)</f>
        <v>Средняя</v>
      </c>
      <c r="C574" s="127" t="str">
        <f t="shared" si="1130"/>
        <v>ЖМ</v>
      </c>
      <c r="D574" s="128" t="str">
        <f t="shared" si="1130"/>
        <v>Жим лежа</v>
      </c>
      <c r="E574" s="48">
        <f t="shared" si="1130"/>
        <v>1</v>
      </c>
      <c r="F574" s="129" t="str">
        <f t="shared" si="1130"/>
        <v/>
      </c>
      <c r="G574" s="130" t="str">
        <f t="shared" si="1131"/>
        <v/>
      </c>
      <c r="H574" s="34"/>
      <c r="I574" s="34"/>
      <c r="J574" s="65"/>
      <c r="K574" s="130" t="str">
        <f t="shared" si="1132"/>
        <v/>
      </c>
      <c r="L574" s="34"/>
      <c r="M574" s="34"/>
      <c r="N574" s="65"/>
      <c r="O574" s="130" t="str">
        <f t="shared" si="1133"/>
        <v/>
      </c>
      <c r="P574" s="34"/>
      <c r="Q574" s="34"/>
      <c r="R574" s="65"/>
      <c r="S574" s="130" t="str">
        <f t="shared" si="1134"/>
        <v/>
      </c>
      <c r="T574" s="34"/>
      <c r="U574" s="34"/>
      <c r="V574" s="65"/>
      <c r="W574" s="130" t="str">
        <f t="shared" si="1135"/>
        <v/>
      </c>
      <c r="X574" s="34"/>
      <c r="Y574" s="34"/>
      <c r="Z574" s="65"/>
      <c r="AA574" s="130" t="str">
        <f t="shared" si="1136"/>
        <v/>
      </c>
      <c r="AB574" s="34"/>
      <c r="AC574" s="34"/>
      <c r="AD574" s="65"/>
      <c r="AE574" s="131">
        <f t="shared" si="1137"/>
        <v>0</v>
      </c>
      <c r="AF574" s="132">
        <f t="shared" si="1118"/>
        <v>0</v>
      </c>
      <c r="AG574" s="133">
        <f t="shared" si="1138"/>
        <v>0</v>
      </c>
      <c r="AH574" s="76">
        <f t="shared" si="1139"/>
        <v>115.8044699</v>
      </c>
      <c r="AI574" s="132">
        <f> ( IF(ISNUMBER(G574), VLOOKUP(G574/$AH574,F!$A1:$B101,2,1)*G574*$H574*$I574,0)+IF(ISNUMBER(K574), VLOOKUP(K574/$AH574,F!$A1:$B101,2,1)*K574*$L574*$M574,0)+IF(ISNUMBER(O574), VLOOKUP(O574/$AH574,F!$A1:$B101,2,1)*O574*$P574*$Q574,0)+IF(ISNUMBER(S574), VLOOKUP(S574/$AH574,F!$A1:$B101,2,1)*S574*$T574*$U574,0)+IF(ISNUMBER(W574), VLOOKUP(W574/$AH574,F!$A1:$B101,2,1)*W574*$X574*$Y574,0)+IF(ISNUMBER(AA574), VLOOKUP(AA574/$AH574,F!$A1:$B101,2,1)*AA574*$AB574*$AC574,0))*IF(ISNUMBER(F574),F574,1)*IF(ISNUMBER(E574),E574,1)</f>
        <v>0</v>
      </c>
      <c r="AJ574" s="34">
        <f t="shared" si="1140"/>
        <v>0</v>
      </c>
      <c r="AK574" s="134">
        <f t="array" ref="AK574">IFERROR(I574*INDEX(F!$P$21:$AB$33, MATCH(G574/$AH574, F!$O$21:$O$33,1), MATCH(E574, F!$P$20:$AB$20,1)), 0 ) +IFERROR( M574*INDEX(F!$P$21:$AB$33, MATCH(K574/$AH574, F!$O$21:$O$33,1), MATCH(E574, F!$P$20:$AB$20,1)),0) +  IFERROR( Q574*INDEX(F!$P$21:$AB$33, MATCH(O574/$AH574, F!$O$21:$O$33,1), MATCH(E574, F!$P$20:$AB$20,1)), 0) + IFERROR( U574*INDEX(F!$P$21:$AB$33, MATCH(S574/$AH574, F!$O$21:$O$33,1), MATCH(E574, F!$P$20:$AB$20,1)),0)  + IFERROR(Y574*INDEX(F!$P$21:$AB$33, MATCH(W574/$AH574, F!$O$21:$O$33,1), MATCH(E574, F!$P$20:$AB$20,1)),0)  + IFERROR( AC574*INDEX(F!$P$21:$AB$33, MATCH(AA574/$AH574, F!$O$21:$O$33,1), MATCH(E574, F!$P$20:$AB$20,1)),)</f>
        <v>0</v>
      </c>
      <c r="AL574" s="59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ht="15.75" hidden="1" customHeight="1">
      <c r="A575" s="59"/>
      <c r="B575" s="135" t="str">
        <f t="shared" ref="B575:F575" si="1141">IF(B519="","",B519)</f>
        <v>Легкая</v>
      </c>
      <c r="C575" s="136" t="str">
        <f t="shared" si="1141"/>
        <v>ОФП</v>
      </c>
      <c r="D575" s="137" t="str">
        <f t="shared" si="1141"/>
        <v>Наклоны со штангой</v>
      </c>
      <c r="E575" s="48">
        <f t="shared" si="1141"/>
        <v>0.8</v>
      </c>
      <c r="F575" s="138" t="str">
        <f t="shared" si="1141"/>
        <v/>
      </c>
      <c r="G575" s="139" t="str">
        <f t="shared" si="1131"/>
        <v/>
      </c>
      <c r="H575" s="140"/>
      <c r="I575" s="140"/>
      <c r="J575" s="141"/>
      <c r="K575" s="139" t="str">
        <f t="shared" si="1132"/>
        <v/>
      </c>
      <c r="L575" s="140"/>
      <c r="M575" s="140"/>
      <c r="N575" s="141"/>
      <c r="O575" s="139" t="str">
        <f t="shared" si="1133"/>
        <v/>
      </c>
      <c r="P575" s="140"/>
      <c r="Q575" s="140"/>
      <c r="R575" s="141"/>
      <c r="S575" s="139" t="str">
        <f t="shared" si="1134"/>
        <v/>
      </c>
      <c r="T575" s="140"/>
      <c r="U575" s="140"/>
      <c r="V575" s="141"/>
      <c r="W575" s="139" t="str">
        <f t="shared" si="1135"/>
        <v/>
      </c>
      <c r="X575" s="140"/>
      <c r="Y575" s="140"/>
      <c r="Z575" s="141"/>
      <c r="AA575" s="139" t="str">
        <f t="shared" si="1136"/>
        <v/>
      </c>
      <c r="AB575" s="140"/>
      <c r="AC575" s="140"/>
      <c r="AD575" s="141"/>
      <c r="AE575" s="142">
        <f t="shared" si="1137"/>
        <v>0</v>
      </c>
      <c r="AF575" s="143">
        <f t="shared" si="1118"/>
        <v>0</v>
      </c>
      <c r="AG575" s="144">
        <f t="shared" si="1138"/>
        <v>0</v>
      </c>
      <c r="AH575" s="76">
        <f t="shared" si="1139"/>
        <v>124.0326822</v>
      </c>
      <c r="AI575" s="143">
        <f> ( IF(ISNUMBER(G575), VLOOKUP(G575/$AH575,F!$A1:$B101,2,1)*G575*$H575*$I575,0)+IF(ISNUMBER(K575), VLOOKUP(K575/$AH575,F!$A1:$B101,2,1)*K575*$L575*$M575,0)+IF(ISNUMBER(O575), VLOOKUP(O575/$AH575,F!$A1:$B101,2,1)*O575*$P575*$Q575,0)+IF(ISNUMBER(S575), VLOOKUP(S575/$AH575,F!$A1:$B101,2,1)*S575*$T575*$U575,0)+IF(ISNUMBER(W575), VLOOKUP(W575/$AH575,F!$A1:$B101,2,1)*W575*$X575*$Y575,0)+IF(ISNUMBER(AA575), VLOOKUP(AA575/$AH575,F!$A1:$B101,2,1)*AA575*$AB575*$AC575,0))*IF(ISNUMBER(F575),F575,1)*IF(ISNUMBER(E575),E575,1)</f>
        <v>0</v>
      </c>
      <c r="AJ575" s="140">
        <f t="shared" si="1140"/>
        <v>0</v>
      </c>
      <c r="AK575" s="145">
        <f t="array" ref="AK575">IFERROR(I575*INDEX(F!$P$21:$AB$33, MATCH(G575/$AH575, F!$O$21:$O$33,1), MATCH(E575, F!$P$20:$AB$20,1)), 0 ) +IFERROR( M575*INDEX(F!$P$21:$AB$33, MATCH(K575/$AH575, F!$O$21:$O$33,1), MATCH(E575, F!$P$20:$AB$20,1)),0) +  IFERROR( Q575*INDEX(F!$P$21:$AB$33, MATCH(O575/$AH575, F!$O$21:$O$33,1), MATCH(E575, F!$P$20:$AB$20,1)), 0) + IFERROR( U575*INDEX(F!$P$21:$AB$33, MATCH(S575/$AH575, F!$O$21:$O$33,1), MATCH(E575, F!$P$20:$AB$20,1)),0)  + IFERROR(Y575*INDEX(F!$P$21:$AB$33, MATCH(W575/$AH575, F!$O$21:$O$33,1), MATCH(E575, F!$P$20:$AB$20,1)),0)  + IFERROR( AC575*INDEX(F!$P$21:$AB$33, MATCH(AA575/$AH575, F!$O$21:$O$33,1), MATCH(E575, F!$P$20:$AB$20,1)),)</f>
        <v>0</v>
      </c>
      <c r="AL575" s="59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ht="15.75" hidden="1" customHeight="1">
      <c r="A576" s="59"/>
      <c r="B576" s="126" t="str">
        <f t="shared" ref="B576:F576" si="1142">IF(B520="","",B520)</f>
        <v>Средняя</v>
      </c>
      <c r="C576" s="127" t="str">
        <f t="shared" si="1142"/>
        <v>ОФП</v>
      </c>
      <c r="D576" s="128" t="str">
        <f t="shared" si="1142"/>
        <v>Жим стоя</v>
      </c>
      <c r="E576" s="48">
        <f t="shared" si="1142"/>
        <v>1</v>
      </c>
      <c r="F576" s="129" t="str">
        <f t="shared" si="1142"/>
        <v/>
      </c>
      <c r="G576" s="130" t="str">
        <f t="shared" si="1131"/>
        <v/>
      </c>
      <c r="H576" s="34"/>
      <c r="I576" s="34"/>
      <c r="J576" s="65"/>
      <c r="K576" s="130" t="str">
        <f t="shared" si="1132"/>
        <v/>
      </c>
      <c r="L576" s="34"/>
      <c r="M576" s="34"/>
      <c r="N576" s="65"/>
      <c r="O576" s="130" t="str">
        <f t="shared" si="1133"/>
        <v/>
      </c>
      <c r="P576" s="34"/>
      <c r="Q576" s="34"/>
      <c r="R576" s="65"/>
      <c r="S576" s="130" t="str">
        <f t="shared" si="1134"/>
        <v/>
      </c>
      <c r="T576" s="34"/>
      <c r="U576" s="34"/>
      <c r="V576" s="65"/>
      <c r="W576" s="130" t="str">
        <f t="shared" si="1135"/>
        <v/>
      </c>
      <c r="X576" s="34"/>
      <c r="Y576" s="34"/>
      <c r="Z576" s="65"/>
      <c r="AA576" s="130" t="str">
        <f t="shared" si="1136"/>
        <v/>
      </c>
      <c r="AB576" s="34"/>
      <c r="AC576" s="34"/>
      <c r="AD576" s="65"/>
      <c r="AE576" s="131">
        <f t="shared" si="1137"/>
        <v>0</v>
      </c>
      <c r="AF576" s="132">
        <f t="shared" si="1118"/>
        <v>0</v>
      </c>
      <c r="AG576" s="133">
        <f t="shared" si="1138"/>
        <v>0</v>
      </c>
      <c r="AH576" s="76">
        <f t="shared" si="1139"/>
        <v>69.48268194</v>
      </c>
      <c r="AI576" s="132">
        <f> ( IF(ISNUMBER(G576), VLOOKUP(G576/$AH576,F!$A1:$B101,2,1)*G576*$H576*$I576,0)+IF(ISNUMBER(K576), VLOOKUP(K576/$AH576,F!$A1:$B101,2,1)*K576*$L576*$M576,0)+IF(ISNUMBER(O576), VLOOKUP(O576/$AH576,F!$A1:$B101,2,1)*O576*$P576*$Q576,0)+IF(ISNUMBER(S576), VLOOKUP(S576/$AH576,F!$A1:$B101,2,1)*S576*$T576*$U576,0)+IF(ISNUMBER(W576), VLOOKUP(W576/$AH576,F!$A1:$B101,2,1)*W576*$X576*$Y576,0)+IF(ISNUMBER(AA576), VLOOKUP(AA576/$AH576,F!$A1:$B101,2,1)*AA576*$AB576*$AC576,0))*IF(ISNUMBER(F576),F576,1)*IF(ISNUMBER(E576),E576,1)</f>
        <v>0</v>
      </c>
      <c r="AJ576" s="34">
        <f t="shared" si="1140"/>
        <v>0</v>
      </c>
      <c r="AK576" s="134">
        <f t="array" ref="AK576">IFERROR(I576*INDEX(F!$P$21:$AB$33, MATCH(G576/$AH576, F!$O$21:$O$33,1), MATCH(E576, F!$P$20:$AB$20,1)), 0 ) +IFERROR( M576*INDEX(F!$P$21:$AB$33, MATCH(K576/$AH576, F!$O$21:$O$33,1), MATCH(E576, F!$P$20:$AB$20,1)),0) +  IFERROR( Q576*INDEX(F!$P$21:$AB$33, MATCH(O576/$AH576, F!$O$21:$O$33,1), MATCH(E576, F!$P$20:$AB$20,1)), 0) + IFERROR( U576*INDEX(F!$P$21:$AB$33, MATCH(S576/$AH576, F!$O$21:$O$33,1), MATCH(E576, F!$P$20:$AB$20,1)),0)  + IFERROR(Y576*INDEX(F!$P$21:$AB$33, MATCH(W576/$AH576, F!$O$21:$O$33,1), MATCH(E576, F!$P$20:$AB$20,1)),0)  + IFERROR( AC576*INDEX(F!$P$21:$AB$33, MATCH(AA576/$AH576, F!$O$21:$O$33,1), MATCH(E576, F!$P$20:$AB$20,1)),)</f>
        <v>0</v>
      </c>
      <c r="AL576" s="59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ht="15.75" hidden="1" customHeight="1">
      <c r="A577" s="59"/>
      <c r="B577" s="135" t="str">
        <f t="shared" ref="B577:F577" si="1143">IF(B521="","",B521)</f>
        <v>Средняя</v>
      </c>
      <c r="C577" s="136" t="str">
        <f t="shared" si="1143"/>
        <v>ЖМ</v>
      </c>
      <c r="D577" s="137" t="str">
        <f t="shared" si="1143"/>
        <v>Жим средним хватом</v>
      </c>
      <c r="E577" s="48">
        <f t="shared" si="1143"/>
        <v>1</v>
      </c>
      <c r="F577" s="138" t="str">
        <f t="shared" si="1143"/>
        <v/>
      </c>
      <c r="G577" s="139" t="str">
        <f t="shared" si="1131"/>
        <v/>
      </c>
      <c r="H577" s="140"/>
      <c r="I577" s="140"/>
      <c r="J577" s="141"/>
      <c r="K577" s="139" t="str">
        <f t="shared" si="1132"/>
        <v/>
      </c>
      <c r="L577" s="140"/>
      <c r="M577" s="140"/>
      <c r="N577" s="141"/>
      <c r="O577" s="139" t="str">
        <f t="shared" si="1133"/>
        <v/>
      </c>
      <c r="P577" s="140"/>
      <c r="Q577" s="140"/>
      <c r="R577" s="141"/>
      <c r="S577" s="139" t="str">
        <f t="shared" si="1134"/>
        <v/>
      </c>
      <c r="T577" s="140"/>
      <c r="U577" s="140"/>
      <c r="V577" s="141"/>
      <c r="W577" s="139" t="str">
        <f t="shared" si="1135"/>
        <v/>
      </c>
      <c r="X577" s="140"/>
      <c r="Y577" s="140"/>
      <c r="Z577" s="141"/>
      <c r="AA577" s="139" t="str">
        <f t="shared" si="1136"/>
        <v/>
      </c>
      <c r="AB577" s="140"/>
      <c r="AC577" s="140"/>
      <c r="AD577" s="141"/>
      <c r="AE577" s="142">
        <f t="shared" si="1137"/>
        <v>0</v>
      </c>
      <c r="AF577" s="143">
        <f t="shared" si="1118"/>
        <v>0</v>
      </c>
      <c r="AG577" s="144">
        <f t="shared" si="1138"/>
        <v>0</v>
      </c>
      <c r="AH577" s="76">
        <f t="shared" si="1139"/>
        <v>98.43379941</v>
      </c>
      <c r="AI577" s="143">
        <f> ( IF(ISNUMBER(G577), VLOOKUP(G577/$AH577,F!$A1:$B101,2,1)*G577*$H577*$I577,0)+IF(ISNUMBER(K577), VLOOKUP(K577/$AH577,F!$A1:$B101,2,1)*K577*$L577*$M577,0)+IF(ISNUMBER(O577), VLOOKUP(O577/$AH577,F!$A1:$B101,2,1)*O577*$P577*$Q577,0)+IF(ISNUMBER(S577), VLOOKUP(S577/$AH577,F!$A1:$B101,2,1)*S577*$T577*$U577,0)+IF(ISNUMBER(W577), VLOOKUP(W577/$AH577,F!$A1:$B101,2,1)*W577*$X577*$Y577,0)+IF(ISNUMBER(AA577), VLOOKUP(AA577/$AH577,F!$A1:$B101,2,1)*AA577*$AB577*$AC577,0))*IF(ISNUMBER(F577),F577,1)*IF(ISNUMBER(E577),E577,1)</f>
        <v>0</v>
      </c>
      <c r="AJ577" s="140">
        <f t="shared" si="1140"/>
        <v>0</v>
      </c>
      <c r="AK577" s="145">
        <f t="array" ref="AK577">IFERROR(I577*INDEX(F!$P$21:$AB$33, MATCH(G577/$AH577, F!$O$21:$O$33,1), MATCH(E577, F!$P$20:$AB$20,1)), 0 ) +IFERROR( M577*INDEX(F!$P$21:$AB$33, MATCH(K577/$AH577, F!$O$21:$O$33,1), MATCH(E577, F!$P$20:$AB$20,1)),0) +  IFERROR( Q577*INDEX(F!$P$21:$AB$33, MATCH(O577/$AH577, F!$O$21:$O$33,1), MATCH(E577, F!$P$20:$AB$20,1)), 0) + IFERROR( U577*INDEX(F!$P$21:$AB$33, MATCH(S577/$AH577, F!$O$21:$O$33,1), MATCH(E577, F!$P$20:$AB$20,1)),0)  + IFERROR(Y577*INDEX(F!$P$21:$AB$33, MATCH(W577/$AH577, F!$O$21:$O$33,1), MATCH(E577, F!$P$20:$AB$20,1)),0)  + IFERROR( AC577*INDEX(F!$P$21:$AB$33, MATCH(AA577/$AH577, F!$O$21:$O$33,1), MATCH(E577, F!$P$20:$AB$20,1)),)</f>
        <v>0</v>
      </c>
      <c r="AL577" s="59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ht="15.75" hidden="1" customHeight="1">
      <c r="A578" s="59"/>
      <c r="B578" s="126" t="str">
        <f t="shared" ref="B578:F578" si="1144">IF(B522="","",B522)</f>
        <v/>
      </c>
      <c r="C578" s="127" t="str">
        <f t="shared" si="1144"/>
        <v/>
      </c>
      <c r="D578" s="128" t="str">
        <f t="shared" si="1144"/>
        <v/>
      </c>
      <c r="E578" s="48" t="str">
        <f t="shared" si="1144"/>
        <v/>
      </c>
      <c r="F578" s="129" t="str">
        <f t="shared" si="1144"/>
        <v/>
      </c>
      <c r="G578" s="130" t="str">
        <f t="shared" si="1131"/>
        <v/>
      </c>
      <c r="H578" s="34"/>
      <c r="I578" s="34"/>
      <c r="J578" s="65"/>
      <c r="K578" s="130" t="str">
        <f t="shared" si="1132"/>
        <v/>
      </c>
      <c r="L578" s="34"/>
      <c r="M578" s="34"/>
      <c r="N578" s="65"/>
      <c r="O578" s="130" t="str">
        <f t="shared" si="1133"/>
        <v/>
      </c>
      <c r="P578" s="34"/>
      <c r="Q578" s="34"/>
      <c r="R578" s="65"/>
      <c r="S578" s="130" t="str">
        <f t="shared" si="1134"/>
        <v/>
      </c>
      <c r="T578" s="34"/>
      <c r="U578" s="34"/>
      <c r="V578" s="65"/>
      <c r="W578" s="130" t="str">
        <f t="shared" si="1135"/>
        <v/>
      </c>
      <c r="X578" s="34"/>
      <c r="Y578" s="34"/>
      <c r="Z578" s="65"/>
      <c r="AA578" s="130" t="str">
        <f t="shared" si="1136"/>
        <v/>
      </c>
      <c r="AB578" s="34"/>
      <c r="AC578" s="34"/>
      <c r="AD578" s="65"/>
      <c r="AE578" s="131">
        <f t="shared" si="1137"/>
        <v>0</v>
      </c>
      <c r="AF578" s="132">
        <f t="shared" si="1118"/>
        <v>0</v>
      </c>
      <c r="AG578" s="133">
        <f t="shared" si="1138"/>
        <v>0</v>
      </c>
      <c r="AH578" s="76" t="str">
        <f t="shared" si="1139"/>
        <v/>
      </c>
      <c r="AI578" s="132">
        <f> ( IF(ISNUMBER(G578), VLOOKUP(G578/$AH578,F!$A1:$B101,2,1)*G578*$H578*$I578,0)+IF(ISNUMBER(K578), VLOOKUP(K578/$AH578,F!$A1:$B101,2,1)*K578*$L578*$M578,0)+IF(ISNUMBER(O578), VLOOKUP(O578/$AH578,F!$A1:$B101,2,1)*O578*$P578*$Q578,0)+IF(ISNUMBER(S578), VLOOKUP(S578/$AH578,F!$A1:$B101,2,1)*S578*$T578*$U578,0)+IF(ISNUMBER(W578), VLOOKUP(W578/$AH578,F!$A1:$B101,2,1)*W578*$X578*$Y578,0)+IF(ISNUMBER(AA578), VLOOKUP(AA578/$AH578,F!$A1:$B101,2,1)*AA578*$AB578*$AC578,0))*IF(ISNUMBER(F578),F578,1)*IF(ISNUMBER(E578),E578,1)</f>
        <v>0</v>
      </c>
      <c r="AJ578" s="34">
        <f t="shared" si="1140"/>
        <v>0</v>
      </c>
      <c r="AK578" s="134">
        <f t="array" ref="AK578">IFERROR(I578*INDEX(F!$P$21:$AB$33, MATCH(G578/$AH578, F!$O$21:$O$33,1), MATCH(E578, F!$P$20:$AB$20,1)), 0 ) +IFERROR( M578*INDEX(F!$P$21:$AB$33, MATCH(K578/$AH578, F!$O$21:$O$33,1), MATCH(E578, F!$P$20:$AB$20,1)),0) +  IFERROR( Q578*INDEX(F!$P$21:$AB$33, MATCH(O578/$AH578, F!$O$21:$O$33,1), MATCH(E578, F!$P$20:$AB$20,1)), 0) + IFERROR( U578*INDEX(F!$P$21:$AB$33, MATCH(S578/$AH578, F!$O$21:$O$33,1), MATCH(E578, F!$P$20:$AB$20,1)),0)  + IFERROR(Y578*INDEX(F!$P$21:$AB$33, MATCH(W578/$AH578, F!$O$21:$O$33,1), MATCH(E578, F!$P$20:$AB$20,1)),0)  + IFERROR( AC578*INDEX(F!$P$21:$AB$33, MATCH(AA578/$AH578, F!$O$21:$O$33,1), MATCH(E578, F!$P$20:$AB$20,1)),)</f>
        <v>0</v>
      </c>
      <c r="AL578" s="59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ht="15.75" hidden="1" customHeight="1">
      <c r="A579" s="59"/>
      <c r="B579" s="135" t="str">
        <f t="shared" ref="B579:F579" si="1145">IF(B523="","",B523)</f>
        <v/>
      </c>
      <c r="C579" s="136" t="str">
        <f t="shared" si="1145"/>
        <v/>
      </c>
      <c r="D579" s="137" t="str">
        <f t="shared" si="1145"/>
        <v/>
      </c>
      <c r="E579" s="48" t="str">
        <f t="shared" si="1145"/>
        <v/>
      </c>
      <c r="F579" s="138" t="str">
        <f t="shared" si="1145"/>
        <v/>
      </c>
      <c r="G579" s="139" t="str">
        <f t="shared" si="1131"/>
        <v/>
      </c>
      <c r="H579" s="140"/>
      <c r="I579" s="140"/>
      <c r="J579" s="141"/>
      <c r="K579" s="139" t="str">
        <f t="shared" si="1132"/>
        <v/>
      </c>
      <c r="L579" s="140"/>
      <c r="M579" s="140"/>
      <c r="N579" s="141"/>
      <c r="O579" s="139" t="str">
        <f t="shared" si="1133"/>
        <v/>
      </c>
      <c r="P579" s="140"/>
      <c r="Q579" s="140"/>
      <c r="R579" s="141"/>
      <c r="S579" s="139" t="str">
        <f t="shared" si="1134"/>
        <v/>
      </c>
      <c r="T579" s="140"/>
      <c r="U579" s="140"/>
      <c r="V579" s="141"/>
      <c r="W579" s="139" t="str">
        <f t="shared" si="1135"/>
        <v/>
      </c>
      <c r="X579" s="140"/>
      <c r="Y579" s="140"/>
      <c r="Z579" s="141"/>
      <c r="AA579" s="139" t="str">
        <f t="shared" si="1136"/>
        <v/>
      </c>
      <c r="AB579" s="140"/>
      <c r="AC579" s="140"/>
      <c r="AD579" s="141"/>
      <c r="AE579" s="142">
        <f t="shared" si="1137"/>
        <v>0</v>
      </c>
      <c r="AF579" s="143">
        <f t="shared" si="1118"/>
        <v>0</v>
      </c>
      <c r="AG579" s="144">
        <f t="shared" si="1138"/>
        <v>0</v>
      </c>
      <c r="AH579" s="76" t="str">
        <f t="shared" si="1139"/>
        <v/>
      </c>
      <c r="AI579" s="143">
        <f> ( IF(ISNUMBER(G579), VLOOKUP(G579/$AH579,F!$A1:$B101,2,1)*G579*$H579*$I579,0)+IF(ISNUMBER(K579), VLOOKUP(K579/$AH579,F!$A1:$B101,2,1)*K579*$L579*$M579,0)+IF(ISNUMBER(O579), VLOOKUP(O579/$AH579,F!$A1:$B101,2,1)*O579*$P579*$Q579,0)+IF(ISNUMBER(S579), VLOOKUP(S579/$AH579,F!$A1:$B101,2,1)*S579*$T579*$U579,0)+IF(ISNUMBER(W579), VLOOKUP(W579/$AH579,F!$A1:$B101,2,1)*W579*$X579*$Y579,0)+IF(ISNUMBER(AA579), VLOOKUP(AA579/$AH579,F!$A1:$B101,2,1)*AA579*$AB579*$AC579,0))*IF(ISNUMBER(F579),F579,1)*IF(ISNUMBER(E579),E579,1)</f>
        <v>0</v>
      </c>
      <c r="AJ579" s="140">
        <f t="shared" si="1140"/>
        <v>0</v>
      </c>
      <c r="AK579" s="145">
        <f t="array" ref="AK579">IFERROR(I579*INDEX(F!$P$21:$AB$33, MATCH(G579/$AH579, F!$O$21:$O$33,1), MATCH(E579, F!$P$20:$AB$20,1)), 0 ) +IFERROR( M579*INDEX(F!$P$21:$AB$33, MATCH(K579/$AH579, F!$O$21:$O$33,1), MATCH(E579, F!$P$20:$AB$20,1)),0) +  IFERROR( Q579*INDEX(F!$P$21:$AB$33, MATCH(O579/$AH579, F!$O$21:$O$33,1), MATCH(E579, F!$P$20:$AB$20,1)), 0) + IFERROR( U579*INDEX(F!$P$21:$AB$33, MATCH(S579/$AH579, F!$O$21:$O$33,1), MATCH(E579, F!$P$20:$AB$20,1)),0)  + IFERROR(Y579*INDEX(F!$P$21:$AB$33, MATCH(W579/$AH579, F!$O$21:$O$33,1), MATCH(E579, F!$P$20:$AB$20,1)),0)  + IFERROR( AC579*INDEX(F!$P$21:$AB$33, MATCH(AA579/$AH579, F!$O$21:$O$33,1), MATCH(E579, F!$P$20:$AB$20,1)),)</f>
        <v>0</v>
      </c>
      <c r="AL579" s="59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ht="15.75" hidden="1" customHeight="1">
      <c r="A580" s="59"/>
      <c r="B580" s="126" t="str">
        <f t="shared" ref="B580:F580" si="1146">IF(B524="","",B524)</f>
        <v/>
      </c>
      <c r="C580" s="127" t="str">
        <f t="shared" si="1146"/>
        <v/>
      </c>
      <c r="D580" s="128" t="str">
        <f t="shared" si="1146"/>
        <v/>
      </c>
      <c r="E580" s="48" t="str">
        <f t="shared" si="1146"/>
        <v/>
      </c>
      <c r="F580" s="129" t="str">
        <f t="shared" si="1146"/>
        <v/>
      </c>
      <c r="G580" s="130" t="str">
        <f t="shared" si="1131"/>
        <v/>
      </c>
      <c r="H580" s="34"/>
      <c r="I580" s="34"/>
      <c r="J580" s="65"/>
      <c r="K580" s="130" t="str">
        <f t="shared" si="1132"/>
        <v/>
      </c>
      <c r="L580" s="34"/>
      <c r="M580" s="34"/>
      <c r="N580" s="65"/>
      <c r="O580" s="130" t="str">
        <f t="shared" si="1133"/>
        <v/>
      </c>
      <c r="P580" s="34"/>
      <c r="Q580" s="34"/>
      <c r="R580" s="65"/>
      <c r="S580" s="130" t="str">
        <f t="shared" si="1134"/>
        <v/>
      </c>
      <c r="T580" s="34"/>
      <c r="U580" s="34"/>
      <c r="V580" s="65"/>
      <c r="W580" s="130" t="str">
        <f t="shared" si="1135"/>
        <v/>
      </c>
      <c r="X580" s="34"/>
      <c r="Y580" s="34"/>
      <c r="Z580" s="65"/>
      <c r="AA580" s="130" t="str">
        <f t="shared" si="1136"/>
        <v/>
      </c>
      <c r="AB580" s="34"/>
      <c r="AC580" s="34"/>
      <c r="AD580" s="65"/>
      <c r="AE580" s="131">
        <f t="shared" si="1137"/>
        <v>0</v>
      </c>
      <c r="AF580" s="132">
        <f t="shared" si="1118"/>
        <v>0</v>
      </c>
      <c r="AG580" s="133">
        <f t="shared" si="1138"/>
        <v>0</v>
      </c>
      <c r="AH580" s="76" t="str">
        <f t="shared" si="1139"/>
        <v/>
      </c>
      <c r="AI580" s="132">
        <f> ( IF(ISNUMBER(G580), VLOOKUP(G580/$AH580,F!$A1:$B101,2,1)*G580*$H580*$I580,0)+IF(ISNUMBER(K580), VLOOKUP(K580/$AH580,F!$A1:$B101,2,1)*K580*$L580*$M580,0)+IF(ISNUMBER(O580), VLOOKUP(O580/$AH580,F!$A1:$B101,2,1)*O580*$P580*$Q580,0)+IF(ISNUMBER(S580), VLOOKUP(S580/$AH580,F!$A1:$B101,2,1)*S580*$T580*$U580,0)+IF(ISNUMBER(W580), VLOOKUP(W580/$AH580,F!$A1:$B101,2,1)*W580*$X580*$Y580,0)+IF(ISNUMBER(AA580), VLOOKUP(AA580/$AH580,F!$A1:$B101,2,1)*AA580*$AB580*$AC580,0))*IF(ISNUMBER(F580),F580,1)*IF(ISNUMBER(E580),E580,1)</f>
        <v>0</v>
      </c>
      <c r="AJ580" s="34">
        <f t="shared" si="1140"/>
        <v>0</v>
      </c>
      <c r="AK580" s="134">
        <f t="array" ref="AK580">IFERROR(I580*INDEX(F!$P$21:$AB$33, MATCH(G580/$AH580, F!$O$21:$O$33,1), MATCH(E580, F!$P$20:$AB$20,1)), 0 ) +IFERROR( M580*INDEX(F!$P$21:$AB$33, MATCH(K580/$AH580, F!$O$21:$O$33,1), MATCH(E580, F!$P$20:$AB$20,1)),0) +  IFERROR( Q580*INDEX(F!$P$21:$AB$33, MATCH(O580/$AH580, F!$O$21:$O$33,1), MATCH(E580, F!$P$20:$AB$20,1)), 0) + IFERROR( U580*INDEX(F!$P$21:$AB$33, MATCH(S580/$AH580, F!$O$21:$O$33,1), MATCH(E580, F!$P$20:$AB$20,1)),0)  + IFERROR(Y580*INDEX(F!$P$21:$AB$33, MATCH(W580/$AH580, F!$O$21:$O$33,1), MATCH(E580, F!$P$20:$AB$20,1)),0)  + IFERROR( AC580*INDEX(F!$P$21:$AB$33, MATCH(AA580/$AH580, F!$O$21:$O$33,1), MATCH(E580, F!$P$20:$AB$20,1)),)</f>
        <v>0</v>
      </c>
      <c r="AL580" s="59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ht="15.75" hidden="1" customHeight="1">
      <c r="A581" s="98"/>
      <c r="B581" s="150"/>
      <c r="C581" s="151"/>
      <c r="D581" s="152"/>
      <c r="E581" s="102">
        <f>ROUND(IFERROR(SUMPRODUCT(AJ573:AJ580,E573:E580)/AJ581,0),3)</f>
        <v>0</v>
      </c>
      <c r="F581" s="153"/>
      <c r="G581" s="154"/>
      <c r="H581" s="155"/>
      <c r="I581" s="155"/>
      <c r="J581" s="156"/>
      <c r="K581" s="154"/>
      <c r="L581" s="155"/>
      <c r="M581" s="155"/>
      <c r="N581" s="156"/>
      <c r="O581" s="154"/>
      <c r="P581" s="155"/>
      <c r="Q581" s="155"/>
      <c r="R581" s="156"/>
      <c r="S581" s="154"/>
      <c r="T581" s="155"/>
      <c r="U581" s="155"/>
      <c r="V581" s="156"/>
      <c r="W581" s="154"/>
      <c r="X581" s="155"/>
      <c r="Y581" s="155"/>
      <c r="Z581" s="156"/>
      <c r="AA581" s="154"/>
      <c r="AB581" s="155"/>
      <c r="AC581" s="155"/>
      <c r="AD581" s="156"/>
      <c r="AE581" s="107">
        <f>SUM(AE573:AE580)</f>
        <v>0</v>
      </c>
      <c r="AF581" s="108">
        <f t="shared" si="1118"/>
        <v>0</v>
      </c>
      <c r="AG581" s="109">
        <f>IFERROR(  SUMPRODUCT(AG573:AG580,AJ573:AJ580)/AJ581,0)</f>
        <v>0</v>
      </c>
      <c r="AH581" s="157"/>
      <c r="AI581" s="111">
        <f t="shared" ref="AI581:AJ581" si="1147">SUM(AI573:AI580)</f>
        <v>0</v>
      </c>
      <c r="AJ581" s="111">
        <f t="shared" si="1147"/>
        <v>0</v>
      </c>
      <c r="AK581" s="112">
        <f>IF(SUM(AK573:AK580)=0,TIME(,0,),TIME(,SUM(AK573:AK580)+F!$V$37,))</f>
        <v>0</v>
      </c>
      <c r="AL581" s="98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ht="15.75" hidden="1" customHeight="1">
      <c r="A582" s="158">
        <f>A583</f>
        <v>43854</v>
      </c>
      <c r="B582" s="159" t="str">
        <f t="shared" ref="B582:F582" si="1148">IF(B526="","",B526)</f>
        <v>Тяжелая</v>
      </c>
      <c r="C582" s="160" t="str">
        <f t="shared" si="1148"/>
        <v>ПР</v>
      </c>
      <c r="D582" s="161" t="str">
        <f t="shared" si="1148"/>
        <v>Присед</v>
      </c>
      <c r="E582" s="29">
        <f t="shared" si="1148"/>
        <v>1.2</v>
      </c>
      <c r="F582" s="162" t="str">
        <f t="shared" si="1148"/>
        <v/>
      </c>
      <c r="G582" s="163" t="str">
        <f t="shared" ref="G582:G589" si="1150">IF(J582&lt;&gt;0, IFERROR(IF( $F582=2,  MROUND($AH582*J582,1),    IF( OR($F582="",$F582=1),   MROUND($AH582*J582,2.5),  MROUND($AH582*J582, 0.1))), "" ), "")</f>
        <v/>
      </c>
      <c r="H582" s="164"/>
      <c r="I582" s="164"/>
      <c r="J582" s="165"/>
      <c r="K582" s="163" t="str">
        <f t="shared" ref="K582:K589" si="1151">IF(N582&lt;&gt;0, IFERROR(IF( $F582=2,  MROUND($AH582*N582,1),    IF( OR($F582="",$F582=1),   MROUND($AH582*N582,2.5),  MROUND($AH582*N582, 0.1))), "" ), "")</f>
        <v/>
      </c>
      <c r="L582" s="164"/>
      <c r="M582" s="164"/>
      <c r="N582" s="165"/>
      <c r="O582" s="163" t="str">
        <f t="shared" ref="O582:O589" si="1152">IF(R582&lt;&gt;0, IFERROR(IF( $F582=2,  MROUND($AH582*R582,1),    IF( OR($F582="",$F582=1),   MROUND($AH582*R582,2.5),  MROUND($AH582*R582, 0.1))), "" ), "")</f>
        <v/>
      </c>
      <c r="P582" s="164"/>
      <c r="Q582" s="164"/>
      <c r="R582" s="165"/>
      <c r="S582" s="163" t="str">
        <f t="shared" ref="S582:S589" si="1153">IF(V582&lt;&gt;0, IFERROR(IF( $F582=2,  MROUND($AH582*V582,1),    IF( OR($F582="",$F582=1),   MROUND($AH582*V582,2.5),  MROUND($AH582*V582, 0.1))), "" ), "")</f>
        <v/>
      </c>
      <c r="T582" s="164"/>
      <c r="U582" s="164"/>
      <c r="V582" s="165"/>
      <c r="W582" s="163" t="str">
        <f t="shared" ref="W582:W589" si="1154">IF(Z582&lt;&gt;0, IFERROR(IF( $F582=2,  MROUND($AH582*Z582,1),    IF( OR($F582="",$F582=1),   MROUND($AH582*Z582,2.5),  MROUND($AH582*Z582, 0.1))), "" ), "")</f>
        <v/>
      </c>
      <c r="X582" s="164"/>
      <c r="Y582" s="164"/>
      <c r="Z582" s="165"/>
      <c r="AA582" s="163" t="str">
        <f t="shared" ref="AA582:AA589" si="1155">IF(AD582&lt;&gt;0, IFERROR(IF( $F582=2,  MROUND($AH582*AD582,1),    IF( OR($F582="",$F582=1),   MROUND($AH582*AD582,2.5),  MROUND($AH582*AD582, 0.1))), "" ), "")</f>
        <v/>
      </c>
      <c r="AB582" s="164"/>
      <c r="AC582" s="164"/>
      <c r="AD582" s="165"/>
      <c r="AE582" s="166">
        <f t="shared" ref="AE582:AE589" si="1156">(IF(ISNUMBER(G582),G582,0)*H582*I582+IF(ISNUMBER(K582),K582,1)*L582*M582+IF(ISNUMBER(O582),O582,1)*P582*Q582+IF(ISNUMBER(S582),S582,1)*T582*U582+IF(ISNUMBER(W582),W582,1)*X582*Y582+IF(ISNUMBER(AA582),AA582,1)*AB582*AC582)*IF(ISNUMBER(F582),F582,1)</f>
        <v>0</v>
      </c>
      <c r="AF582" s="167">
        <f t="shared" si="1118"/>
        <v>0</v>
      </c>
      <c r="AG582" s="168">
        <f t="shared" ref="AG582:AG589" si="1157">IFERROR((AF582/(AH582*IF(ISNUMBER(F582),F582,1))),0)</f>
        <v>0</v>
      </c>
      <c r="AH582" s="169">
        <f t="shared" ref="AH582:AH589" si="1158">IF(ISNUMBER(AH526), AH526+(AH526*$AH$562),"")</f>
        <v>164.5642467</v>
      </c>
      <c r="AI582" s="167">
        <f> ( IF(ISNUMBER(G582), VLOOKUP(G582/$AH582,F!$A1:$B101,2,1)*G582*$H582*$I582,0)+IF(ISNUMBER(K582), VLOOKUP(K582/$AH582,F!$A1:$B101,2,1)*K582*$L582*$M582,0)+IF(ISNUMBER(O582), VLOOKUP(O582/$AH582,F!$A1:$B101,2,1)*O582*$P582*$Q582,0)+IF(ISNUMBER(S582), VLOOKUP(S582/$AH582,F!$A1:$B101,2,1)*S582*$T582*$U582,0)+IF(ISNUMBER(W582), VLOOKUP(W582/$AH582,F!$A1:$B101,2,1)*W582*$X582*$Y582,0)+IF(ISNUMBER(AA582), VLOOKUP(AA582/$AH582,F!$A1:$B101,2,1)*AA582*$AB582*$AC582,0))*IF(ISNUMBER(F582),F582,1)*IF(ISNUMBER(E582),E582,1)</f>
        <v>0</v>
      </c>
      <c r="AJ582" s="164">
        <f t="shared" ref="AJ582:AJ589" si="1159">H582*I582+L582*M582+P582*Q582+T582*U582+X582*Y582+AB582*AC582</f>
        <v>0</v>
      </c>
      <c r="AK582" s="170">
        <f t="array" ref="AK582">IFERROR(I582*INDEX(F!$P$21:$AB$33, MATCH(G582/$AH582, F!$O$21:$O$33,1), MATCH(E582, F!$P$20:$AB$20,1)), 0 ) +IFERROR( M582*INDEX(F!$P$21:$AB$33, MATCH(K582/$AH582, F!$O$21:$O$33,1), MATCH(E582, F!$P$20:$AB$20,1)),0) +  IFERROR( Q582*INDEX(F!$P$21:$AB$33, MATCH(O582/$AH582, F!$O$21:$O$33,1), MATCH(E582, F!$P$20:$AB$20,1)), 0) + IFERROR( U582*INDEX(F!$P$21:$AB$33, MATCH(S582/$AH582, F!$O$21:$O$33,1), MATCH(E582, F!$P$20:$AB$20,1)),0)  + IFERROR(Y582*INDEX(F!$P$21:$AB$33, MATCH(W582/$AH582, F!$O$21:$O$33,1), MATCH(E582, F!$P$20:$AB$20,1)),0)  + IFERROR( AC582*INDEX(F!$P$21:$AB$33, MATCH(AA582/$AH582, F!$O$21:$O$33,1), MATCH(E582, F!$P$20:$AB$20,1)),)</f>
        <v>0</v>
      </c>
      <c r="AL582" s="42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ht="15.75" hidden="1" customHeight="1">
      <c r="A583" s="44">
        <f>A527+A506</f>
        <v>43854</v>
      </c>
      <c r="B583" s="135" t="str">
        <f t="shared" ref="B583:F583" si="1149">IF(B527="","",B527)</f>
        <v>Тяжелая</v>
      </c>
      <c r="C583" s="136" t="str">
        <f t="shared" si="1149"/>
        <v>ЖМ</v>
      </c>
      <c r="D583" s="137" t="str">
        <f t="shared" si="1149"/>
        <v>Жим лежа</v>
      </c>
      <c r="E583" s="48">
        <f t="shared" si="1149"/>
        <v>1</v>
      </c>
      <c r="F583" s="138" t="str">
        <f t="shared" si="1149"/>
        <v/>
      </c>
      <c r="G583" s="139" t="str">
        <f t="shared" si="1150"/>
        <v/>
      </c>
      <c r="H583" s="140"/>
      <c r="I583" s="140"/>
      <c r="J583" s="141"/>
      <c r="K583" s="139" t="str">
        <f t="shared" si="1151"/>
        <v/>
      </c>
      <c r="L583" s="140"/>
      <c r="M583" s="140"/>
      <c r="N583" s="141"/>
      <c r="O583" s="139" t="str">
        <f t="shared" si="1152"/>
        <v/>
      </c>
      <c r="P583" s="140"/>
      <c r="Q583" s="140"/>
      <c r="R583" s="141"/>
      <c r="S583" s="139" t="str">
        <f t="shared" si="1153"/>
        <v/>
      </c>
      <c r="T583" s="140"/>
      <c r="U583" s="140"/>
      <c r="V583" s="141"/>
      <c r="W583" s="139" t="str">
        <f t="shared" si="1154"/>
        <v/>
      </c>
      <c r="X583" s="140"/>
      <c r="Y583" s="140"/>
      <c r="Z583" s="141"/>
      <c r="AA583" s="139" t="str">
        <f t="shared" si="1155"/>
        <v/>
      </c>
      <c r="AB583" s="140"/>
      <c r="AC583" s="140"/>
      <c r="AD583" s="141"/>
      <c r="AE583" s="142">
        <f t="shared" si="1156"/>
        <v>0</v>
      </c>
      <c r="AF583" s="143">
        <f t="shared" si="1118"/>
        <v>0</v>
      </c>
      <c r="AG583" s="144">
        <f t="shared" si="1157"/>
        <v>0</v>
      </c>
      <c r="AH583" s="76">
        <f t="shared" si="1158"/>
        <v>115.8044699</v>
      </c>
      <c r="AI583" s="143">
        <f> ( IF(ISNUMBER(G583), VLOOKUP(G583/$AH583,F!$A1:$B101,2,1)*G583*$H583*$I583,0)+IF(ISNUMBER(K583), VLOOKUP(K583/$AH583,F!$A1:$B101,2,1)*K583*$L583*$M583,0)+IF(ISNUMBER(O583), VLOOKUP(O583/$AH583,F!$A1:$B101,2,1)*O583*$P583*$Q583,0)+IF(ISNUMBER(S583), VLOOKUP(S583/$AH583,F!$A1:$B101,2,1)*S583*$T583*$U583,0)+IF(ISNUMBER(W583), VLOOKUP(W583/$AH583,F!$A1:$B101,2,1)*W583*$X583*$Y583,0)+IF(ISNUMBER(AA583), VLOOKUP(AA583/$AH583,F!$A1:$B101,2,1)*AA583*$AB583*$AC583,0))*IF(ISNUMBER(F583),F583,1)*IF(ISNUMBER(E583),E583,1)</f>
        <v>0</v>
      </c>
      <c r="AJ583" s="140">
        <f t="shared" si="1159"/>
        <v>0</v>
      </c>
      <c r="AK583" s="145">
        <f t="array" ref="AK583">IFERROR(I583*INDEX(F!$P$21:$AB$33, MATCH(G583/$AH583, F!$O$21:$O$33,1), MATCH(E583, F!$P$20:$AB$20,1)), 0 ) +IFERROR( M583*INDEX(F!$P$21:$AB$33, MATCH(K583/$AH583, F!$O$21:$O$33,1), MATCH(E583, F!$P$20:$AB$20,1)),0) +  IFERROR( Q583*INDEX(F!$P$21:$AB$33, MATCH(O583/$AH583, F!$O$21:$O$33,1), MATCH(E583, F!$P$20:$AB$20,1)), 0) + IFERROR( U583*INDEX(F!$P$21:$AB$33, MATCH(S583/$AH583, F!$O$21:$O$33,1), MATCH(E583, F!$P$20:$AB$20,1)),0)  + IFERROR(Y583*INDEX(F!$P$21:$AB$33, MATCH(W583/$AH583, F!$O$21:$O$33,1), MATCH(E583, F!$P$20:$AB$20,1)),0)  + IFERROR( AC583*INDEX(F!$P$21:$AB$33, MATCH(AA583/$AH583, F!$O$21:$O$33,1), MATCH(E583, F!$P$20:$AB$20,1)),)</f>
        <v>0</v>
      </c>
      <c r="AL583" s="59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ht="15.75" hidden="1" customHeight="1">
      <c r="A584" s="59"/>
      <c r="B584" s="173" t="str">
        <f t="shared" ref="B584:F584" si="1160">IF(B528="","",B528)</f>
        <v>Средняя</v>
      </c>
      <c r="C584" s="174" t="str">
        <f t="shared" si="1160"/>
        <v>ПР</v>
      </c>
      <c r="D584" s="175" t="str">
        <f t="shared" si="1160"/>
        <v>Присед</v>
      </c>
      <c r="E584" s="48">
        <f t="shared" si="1160"/>
        <v>1.2</v>
      </c>
      <c r="F584" s="176" t="str">
        <f t="shared" si="1160"/>
        <v/>
      </c>
      <c r="G584" s="177" t="str">
        <f t="shared" si="1150"/>
        <v/>
      </c>
      <c r="H584" s="178"/>
      <c r="I584" s="178"/>
      <c r="J584" s="179"/>
      <c r="K584" s="177" t="str">
        <f t="shared" si="1151"/>
        <v/>
      </c>
      <c r="L584" s="178"/>
      <c r="M584" s="178"/>
      <c r="N584" s="179"/>
      <c r="O584" s="177" t="str">
        <f t="shared" si="1152"/>
        <v/>
      </c>
      <c r="P584" s="178"/>
      <c r="Q584" s="178"/>
      <c r="R584" s="179"/>
      <c r="S584" s="177" t="str">
        <f t="shared" si="1153"/>
        <v/>
      </c>
      <c r="T584" s="178"/>
      <c r="U584" s="178"/>
      <c r="V584" s="179"/>
      <c r="W584" s="177" t="str">
        <f t="shared" si="1154"/>
        <v/>
      </c>
      <c r="X584" s="178"/>
      <c r="Y584" s="178"/>
      <c r="Z584" s="179"/>
      <c r="AA584" s="177" t="str">
        <f t="shared" si="1155"/>
        <v/>
      </c>
      <c r="AB584" s="178"/>
      <c r="AC584" s="178"/>
      <c r="AD584" s="179"/>
      <c r="AE584" s="180">
        <f t="shared" si="1156"/>
        <v>0</v>
      </c>
      <c r="AF584" s="181">
        <f t="shared" si="1118"/>
        <v>0</v>
      </c>
      <c r="AG584" s="182">
        <f t="shared" si="1157"/>
        <v>0</v>
      </c>
      <c r="AH584" s="76">
        <f t="shared" si="1158"/>
        <v>164.5642467</v>
      </c>
      <c r="AI584" s="181">
        <f> ( IF(ISNUMBER(G584), VLOOKUP(G584/$AH584,F!$A1:$B101,2,1)*G584*$H584*$I584,0)+IF(ISNUMBER(K584), VLOOKUP(K584/$AH584,F!$A1:$B101,2,1)*K584*$L584*$M584,0)+IF(ISNUMBER(O584), VLOOKUP(O584/$AH584,F!$A1:$B101,2,1)*O584*$P584*$Q584,0)+IF(ISNUMBER(S584), VLOOKUP(S584/$AH584,F!$A1:$B101,2,1)*S584*$T584*$U584,0)+IF(ISNUMBER(W584), VLOOKUP(W584/$AH584,F!$A1:$B101,2,1)*W584*$X584*$Y584,0)+IF(ISNUMBER(AA584), VLOOKUP(AA584/$AH584,F!$A1:$B101,2,1)*AA584*$AB584*$AC584,0))*IF(ISNUMBER(F584),F584,1)*IF(ISNUMBER(E584),E584,1)</f>
        <v>0</v>
      </c>
      <c r="AJ584" s="178">
        <f t="shared" si="1159"/>
        <v>0</v>
      </c>
      <c r="AK584" s="183">
        <f t="array" ref="AK584">IFERROR(I584*INDEX(F!$P$21:$AB$33, MATCH(G584/$AH584, F!$O$21:$O$33,1), MATCH(E584, F!$P$20:$AB$20,1)), 0 ) +IFERROR( M584*INDEX(F!$P$21:$AB$33, MATCH(K584/$AH584, F!$O$21:$O$33,1), MATCH(E584, F!$P$20:$AB$20,1)),0) +  IFERROR( Q584*INDEX(F!$P$21:$AB$33, MATCH(O584/$AH584, F!$O$21:$O$33,1), MATCH(E584, F!$P$20:$AB$20,1)), 0) + IFERROR( U584*INDEX(F!$P$21:$AB$33, MATCH(S584/$AH584, F!$O$21:$O$33,1), MATCH(E584, F!$P$20:$AB$20,1)),0)  + IFERROR(Y584*INDEX(F!$P$21:$AB$33, MATCH(W584/$AH584, F!$O$21:$O$33,1), MATCH(E584, F!$P$20:$AB$20,1)),0)  + IFERROR( AC584*INDEX(F!$P$21:$AB$33, MATCH(AA584/$AH584, F!$O$21:$O$33,1), MATCH(E584, F!$P$20:$AB$20,1)),)</f>
        <v>0</v>
      </c>
      <c r="AL584" s="59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ht="15.75" hidden="1" customHeight="1">
      <c r="A585" s="59"/>
      <c r="B585" s="135" t="str">
        <f t="shared" ref="B585:F585" si="1161">IF(B529="","",B529)</f>
        <v>Средняя</v>
      </c>
      <c r="C585" s="136" t="str">
        <f t="shared" si="1161"/>
        <v>ЖМ</v>
      </c>
      <c r="D585" s="137" t="str">
        <f t="shared" si="1161"/>
        <v>Жим на наклонной скамье</v>
      </c>
      <c r="E585" s="48">
        <f t="shared" si="1161"/>
        <v>1</v>
      </c>
      <c r="F585" s="138" t="str">
        <f t="shared" si="1161"/>
        <v/>
      </c>
      <c r="G585" s="139" t="str">
        <f t="shared" si="1150"/>
        <v/>
      </c>
      <c r="H585" s="140"/>
      <c r="I585" s="140"/>
      <c r="J585" s="141"/>
      <c r="K585" s="139" t="str">
        <f t="shared" si="1151"/>
        <v/>
      </c>
      <c r="L585" s="140"/>
      <c r="M585" s="140"/>
      <c r="N585" s="141"/>
      <c r="O585" s="139" t="str">
        <f t="shared" si="1152"/>
        <v/>
      </c>
      <c r="P585" s="140"/>
      <c r="Q585" s="140"/>
      <c r="R585" s="141"/>
      <c r="S585" s="139" t="str">
        <f t="shared" si="1153"/>
        <v/>
      </c>
      <c r="T585" s="140"/>
      <c r="U585" s="140"/>
      <c r="V585" s="141"/>
      <c r="W585" s="139" t="str">
        <f t="shared" si="1154"/>
        <v/>
      </c>
      <c r="X585" s="140"/>
      <c r="Y585" s="140"/>
      <c r="Z585" s="141"/>
      <c r="AA585" s="139" t="str">
        <f t="shared" si="1155"/>
        <v/>
      </c>
      <c r="AB585" s="140"/>
      <c r="AC585" s="140"/>
      <c r="AD585" s="141"/>
      <c r="AE585" s="142">
        <f t="shared" si="1156"/>
        <v>0</v>
      </c>
      <c r="AF585" s="143">
        <f t="shared" si="1118"/>
        <v>0</v>
      </c>
      <c r="AG585" s="144">
        <f t="shared" si="1157"/>
        <v>0</v>
      </c>
      <c r="AH585" s="76">
        <f t="shared" si="1158"/>
        <v>92.64357592</v>
      </c>
      <c r="AI585" s="143">
        <f> ( IF(ISNUMBER(G585), VLOOKUP(G585/$AH585,F!$A1:$B101,2,1)*G585*$H585*$I585,0)+IF(ISNUMBER(K585), VLOOKUP(K585/$AH585,F!$A1:$B101,2,1)*K585*$L585*$M585,0)+IF(ISNUMBER(O585), VLOOKUP(O585/$AH585,F!$A1:$B101,2,1)*O585*$P585*$Q585,0)+IF(ISNUMBER(S585), VLOOKUP(S585/$AH585,F!$A1:$B101,2,1)*S585*$T585*$U585,0)+IF(ISNUMBER(W585), VLOOKUP(W585/$AH585,F!$A1:$B101,2,1)*W585*$X585*$Y585,0)+IF(ISNUMBER(AA585), VLOOKUP(AA585/$AH585,F!$A1:$B101,2,1)*AA585*$AB585*$AC585,0))*IF(ISNUMBER(F585),F585,1)*IF(ISNUMBER(E585),E585,1)</f>
        <v>0</v>
      </c>
      <c r="AJ585" s="140">
        <f t="shared" si="1159"/>
        <v>0</v>
      </c>
      <c r="AK585" s="145">
        <f t="array" ref="AK585">IFERROR(I585*INDEX(F!$P$21:$AB$33, MATCH(G585/$AH585, F!$O$21:$O$33,1), MATCH(E585, F!$P$20:$AB$20,1)), 0 ) +IFERROR( M585*INDEX(F!$P$21:$AB$33, MATCH(K585/$AH585, F!$O$21:$O$33,1), MATCH(E585, F!$P$20:$AB$20,1)),0) +  IFERROR( Q585*INDEX(F!$P$21:$AB$33, MATCH(O585/$AH585, F!$O$21:$O$33,1), MATCH(E585, F!$P$20:$AB$20,1)), 0) + IFERROR( U585*INDEX(F!$P$21:$AB$33, MATCH(S585/$AH585, F!$O$21:$O$33,1), MATCH(E585, F!$P$20:$AB$20,1)),0)  + IFERROR(Y585*INDEX(F!$P$21:$AB$33, MATCH(W585/$AH585, F!$O$21:$O$33,1), MATCH(E585, F!$P$20:$AB$20,1)),0)  + IFERROR( AC585*INDEX(F!$P$21:$AB$33, MATCH(AA585/$AH585, F!$O$21:$O$33,1), MATCH(E585, F!$P$20:$AB$20,1)),)</f>
        <v>0</v>
      </c>
      <c r="AL585" s="59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ht="15.75" hidden="1" customHeight="1">
      <c r="A586" s="59"/>
      <c r="B586" s="173" t="str">
        <f t="shared" ref="B586:F586" si="1162">IF(B530="","",B530)</f>
        <v>Средняя</v>
      </c>
      <c r="C586" s="174" t="str">
        <f t="shared" si="1162"/>
        <v>ОФП</v>
      </c>
      <c r="D586" s="175" t="str">
        <f t="shared" si="1162"/>
        <v>Бицепс стоя</v>
      </c>
      <c r="E586" s="48">
        <f t="shared" si="1162"/>
        <v>0.5</v>
      </c>
      <c r="F586" s="176" t="str">
        <f t="shared" si="1162"/>
        <v/>
      </c>
      <c r="G586" s="177" t="str">
        <f t="shared" si="1150"/>
        <v/>
      </c>
      <c r="H586" s="178"/>
      <c r="I586" s="178"/>
      <c r="J586" s="179"/>
      <c r="K586" s="177" t="str">
        <f t="shared" si="1151"/>
        <v/>
      </c>
      <c r="L586" s="178"/>
      <c r="M586" s="178"/>
      <c r="N586" s="179"/>
      <c r="O586" s="177" t="str">
        <f t="shared" si="1152"/>
        <v/>
      </c>
      <c r="P586" s="178"/>
      <c r="Q586" s="178"/>
      <c r="R586" s="179"/>
      <c r="S586" s="177" t="str">
        <f t="shared" si="1153"/>
        <v/>
      </c>
      <c r="T586" s="178"/>
      <c r="U586" s="178"/>
      <c r="V586" s="179"/>
      <c r="W586" s="177" t="str">
        <f t="shared" si="1154"/>
        <v/>
      </c>
      <c r="X586" s="178"/>
      <c r="Y586" s="178"/>
      <c r="Z586" s="179"/>
      <c r="AA586" s="177" t="str">
        <f t="shared" si="1155"/>
        <v/>
      </c>
      <c r="AB586" s="178"/>
      <c r="AC586" s="178"/>
      <c r="AD586" s="179"/>
      <c r="AE586" s="180">
        <f t="shared" si="1156"/>
        <v>0</v>
      </c>
      <c r="AF586" s="181">
        <f t="shared" si="1118"/>
        <v>0</v>
      </c>
      <c r="AG586" s="182">
        <f t="shared" si="1157"/>
        <v>0</v>
      </c>
      <c r="AH586" s="76" t="str">
        <f t="shared" si="1158"/>
        <v/>
      </c>
      <c r="AI586" s="181">
        <f> ( IF(ISNUMBER(G586), VLOOKUP(G586/$AH586,F!$A1:$B101,2,1)*G586*$H586*$I586,0)+IF(ISNUMBER(K586), VLOOKUP(K586/$AH586,F!$A1:$B101,2,1)*K586*$L586*$M586,0)+IF(ISNUMBER(O586), VLOOKUP(O586/$AH586,F!$A1:$B101,2,1)*O586*$P586*$Q586,0)+IF(ISNUMBER(S586), VLOOKUP(S586/$AH586,F!$A1:$B101,2,1)*S586*$T586*$U586,0)+IF(ISNUMBER(W586), VLOOKUP(W586/$AH586,F!$A1:$B101,2,1)*W586*$X586*$Y586,0)+IF(ISNUMBER(AA586), VLOOKUP(AA586/$AH586,F!$A1:$B101,2,1)*AA586*$AB586*$AC586,0))*IF(ISNUMBER(F586),F586,1)*IF(ISNUMBER(E586),E586,1)</f>
        <v>0</v>
      </c>
      <c r="AJ586" s="178">
        <f t="shared" si="1159"/>
        <v>0</v>
      </c>
      <c r="AK586" s="183">
        <f t="array" ref="AK586">IFERROR(I586*INDEX(F!$P$21:$AB$33, MATCH(G586/$AH586, F!$O$21:$O$33,1), MATCH(E586, F!$P$20:$AB$20,1)), 0 ) +IFERROR( M586*INDEX(F!$P$21:$AB$33, MATCH(K586/$AH586, F!$O$21:$O$33,1), MATCH(E586, F!$P$20:$AB$20,1)),0) +  IFERROR( Q586*INDEX(F!$P$21:$AB$33, MATCH(O586/$AH586, F!$O$21:$O$33,1), MATCH(E586, F!$P$20:$AB$20,1)), 0) + IFERROR( U586*INDEX(F!$P$21:$AB$33, MATCH(S586/$AH586, F!$O$21:$O$33,1), MATCH(E586, F!$P$20:$AB$20,1)),0)  + IFERROR(Y586*INDEX(F!$P$21:$AB$33, MATCH(W586/$AH586, F!$O$21:$O$33,1), MATCH(E586, F!$P$20:$AB$20,1)),0)  + IFERROR( AC586*INDEX(F!$P$21:$AB$33, MATCH(AA586/$AH586, F!$O$21:$O$33,1), MATCH(E586, F!$P$20:$AB$20,1)),)</f>
        <v>0</v>
      </c>
      <c r="AL586" s="59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ht="15.75" hidden="1" customHeight="1">
      <c r="A587" s="59"/>
      <c r="B587" s="135" t="str">
        <f t="shared" ref="B587:F587" si="1163">IF(B531="","",B531)</f>
        <v/>
      </c>
      <c r="C587" s="136" t="str">
        <f t="shared" si="1163"/>
        <v/>
      </c>
      <c r="D587" s="137" t="str">
        <f t="shared" si="1163"/>
        <v/>
      </c>
      <c r="E587" s="48" t="str">
        <f t="shared" si="1163"/>
        <v/>
      </c>
      <c r="F587" s="138" t="str">
        <f t="shared" si="1163"/>
        <v/>
      </c>
      <c r="G587" s="139" t="str">
        <f t="shared" si="1150"/>
        <v/>
      </c>
      <c r="H587" s="140"/>
      <c r="I587" s="140"/>
      <c r="J587" s="141"/>
      <c r="K587" s="139" t="str">
        <f t="shared" si="1151"/>
        <v/>
      </c>
      <c r="L587" s="140"/>
      <c r="M587" s="140"/>
      <c r="N587" s="141"/>
      <c r="O587" s="139" t="str">
        <f t="shared" si="1152"/>
        <v/>
      </c>
      <c r="P587" s="140"/>
      <c r="Q587" s="140"/>
      <c r="R587" s="141"/>
      <c r="S587" s="139" t="str">
        <f t="shared" si="1153"/>
        <v/>
      </c>
      <c r="T587" s="140"/>
      <c r="U587" s="140"/>
      <c r="V587" s="141"/>
      <c r="W587" s="139" t="str">
        <f t="shared" si="1154"/>
        <v/>
      </c>
      <c r="X587" s="140"/>
      <c r="Y587" s="140"/>
      <c r="Z587" s="141"/>
      <c r="AA587" s="139" t="str">
        <f t="shared" si="1155"/>
        <v/>
      </c>
      <c r="AB587" s="140"/>
      <c r="AC587" s="140"/>
      <c r="AD587" s="141"/>
      <c r="AE587" s="142">
        <f t="shared" si="1156"/>
        <v>0</v>
      </c>
      <c r="AF587" s="143">
        <f t="shared" si="1118"/>
        <v>0</v>
      </c>
      <c r="AG587" s="144">
        <f t="shared" si="1157"/>
        <v>0</v>
      </c>
      <c r="AH587" s="76" t="str">
        <f t="shared" si="1158"/>
        <v/>
      </c>
      <c r="AI587" s="143">
        <f> ( IF(ISNUMBER(G587), VLOOKUP(G587/$AH587,F!$A1:$B101,2,1)*G587*$H587*$I587,0)+IF(ISNUMBER(K587), VLOOKUP(K587/$AH587,F!$A1:$B101,2,1)*K587*$L587*$M587,0)+IF(ISNUMBER(O587), VLOOKUP(O587/$AH587,F!$A1:$B101,2,1)*O587*$P587*$Q587,0)+IF(ISNUMBER(S587), VLOOKUP(S587/$AH587,F!$A1:$B101,2,1)*S587*$T587*$U587,0)+IF(ISNUMBER(W587), VLOOKUP(W587/$AH587,F!$A1:$B101,2,1)*W587*$X587*$Y587,0)+IF(ISNUMBER(AA587), VLOOKUP(AA587/$AH587,F!$A1:$B101,2,1)*AA587*$AB587*$AC587,0))*IF(ISNUMBER(F587),F587,1)*IF(ISNUMBER(E587),E587,1)</f>
        <v>0</v>
      </c>
      <c r="AJ587" s="140">
        <f t="shared" si="1159"/>
        <v>0</v>
      </c>
      <c r="AK587" s="145">
        <f t="array" ref="AK587">IFERROR(I587*INDEX(F!$P$21:$AB$33, MATCH(G587/$AH587, F!$O$21:$O$33,1), MATCH(E587, F!$P$20:$AB$20,1)), 0 ) +IFERROR( M587*INDEX(F!$P$21:$AB$33, MATCH(K587/$AH587, F!$O$21:$O$33,1), MATCH(E587, F!$P$20:$AB$20,1)),0) +  IFERROR( Q587*INDEX(F!$P$21:$AB$33, MATCH(O587/$AH587, F!$O$21:$O$33,1), MATCH(E587, F!$P$20:$AB$20,1)), 0) + IFERROR( U587*INDEX(F!$P$21:$AB$33, MATCH(S587/$AH587, F!$O$21:$O$33,1), MATCH(E587, F!$P$20:$AB$20,1)),0)  + IFERROR(Y587*INDEX(F!$P$21:$AB$33, MATCH(W587/$AH587, F!$O$21:$O$33,1), MATCH(E587, F!$P$20:$AB$20,1)),0)  + IFERROR( AC587*INDEX(F!$P$21:$AB$33, MATCH(AA587/$AH587, F!$O$21:$O$33,1), MATCH(E587, F!$P$20:$AB$20,1)),)</f>
        <v>0</v>
      </c>
      <c r="AL587" s="59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ht="15.75" hidden="1" customHeight="1">
      <c r="A588" s="59"/>
      <c r="B588" s="173" t="str">
        <f t="shared" ref="B588:F588" si="1164">IF(B532="","",B532)</f>
        <v/>
      </c>
      <c r="C588" s="174" t="str">
        <f t="shared" si="1164"/>
        <v/>
      </c>
      <c r="D588" s="175" t="str">
        <f t="shared" si="1164"/>
        <v/>
      </c>
      <c r="E588" s="48" t="str">
        <f t="shared" si="1164"/>
        <v/>
      </c>
      <c r="F588" s="176" t="str">
        <f t="shared" si="1164"/>
        <v/>
      </c>
      <c r="G588" s="177" t="str">
        <f t="shared" si="1150"/>
        <v/>
      </c>
      <c r="H588" s="178"/>
      <c r="I588" s="178"/>
      <c r="J588" s="179"/>
      <c r="K588" s="177" t="str">
        <f t="shared" si="1151"/>
        <v/>
      </c>
      <c r="L588" s="178"/>
      <c r="M588" s="178"/>
      <c r="N588" s="179"/>
      <c r="O588" s="177" t="str">
        <f t="shared" si="1152"/>
        <v/>
      </c>
      <c r="P588" s="178"/>
      <c r="Q588" s="178"/>
      <c r="R588" s="179"/>
      <c r="S588" s="177" t="str">
        <f t="shared" si="1153"/>
        <v/>
      </c>
      <c r="T588" s="178"/>
      <c r="U588" s="178"/>
      <c r="V588" s="179"/>
      <c r="W588" s="177" t="str">
        <f t="shared" si="1154"/>
        <v/>
      </c>
      <c r="X588" s="178"/>
      <c r="Y588" s="178"/>
      <c r="Z588" s="179"/>
      <c r="AA588" s="177" t="str">
        <f t="shared" si="1155"/>
        <v/>
      </c>
      <c r="AB588" s="178"/>
      <c r="AC588" s="178"/>
      <c r="AD588" s="179"/>
      <c r="AE588" s="180">
        <f t="shared" si="1156"/>
        <v>0</v>
      </c>
      <c r="AF588" s="181">
        <f t="shared" si="1118"/>
        <v>0</v>
      </c>
      <c r="AG588" s="182">
        <f t="shared" si="1157"/>
        <v>0</v>
      </c>
      <c r="AH588" s="76" t="str">
        <f t="shared" si="1158"/>
        <v/>
      </c>
      <c r="AI588" s="181">
        <f> ( IF(ISNUMBER(G588), VLOOKUP(G588/$AH588,F!$A1:$B101,2,1)*G588*$H588*$I588,0)+IF(ISNUMBER(K588), VLOOKUP(K588/$AH588,F!$A1:$B101,2,1)*K588*$L588*$M588,0)+IF(ISNUMBER(O588), VLOOKUP(O588/$AH588,F!$A1:$B101,2,1)*O588*$P588*$Q588,0)+IF(ISNUMBER(S588), VLOOKUP(S588/$AH588,F!$A1:$B101,2,1)*S588*$T588*$U588,0)+IF(ISNUMBER(W588), VLOOKUP(W588/$AH588,F!$A1:$B101,2,1)*W588*$X588*$Y588,0)+IF(ISNUMBER(AA588), VLOOKUP(AA588/$AH588,F!$A1:$B101,2,1)*AA588*$AB588*$AC588,0))*IF(ISNUMBER(F588),F588,1)*IF(ISNUMBER(E588),E588,1)</f>
        <v>0</v>
      </c>
      <c r="AJ588" s="178">
        <f t="shared" si="1159"/>
        <v>0</v>
      </c>
      <c r="AK588" s="183">
        <f t="array" ref="AK588">IFERROR(I588*INDEX(F!$P$21:$AB$33, MATCH(G588/$AH588, F!$O$21:$O$33,1), MATCH(E588, F!$P$20:$AB$20,1)), 0 ) +IFERROR( M588*INDEX(F!$P$21:$AB$33, MATCH(K588/$AH588, F!$O$21:$O$33,1), MATCH(E588, F!$P$20:$AB$20,1)),0) +  IFERROR( Q588*INDEX(F!$P$21:$AB$33, MATCH(O588/$AH588, F!$O$21:$O$33,1), MATCH(E588, F!$P$20:$AB$20,1)), 0) + IFERROR( U588*INDEX(F!$P$21:$AB$33, MATCH(S588/$AH588, F!$O$21:$O$33,1), MATCH(E588, F!$P$20:$AB$20,1)),0)  + IFERROR(Y588*INDEX(F!$P$21:$AB$33, MATCH(W588/$AH588, F!$O$21:$O$33,1), MATCH(E588, F!$P$20:$AB$20,1)),0)  + IFERROR( AC588*INDEX(F!$P$21:$AB$33, MATCH(AA588/$AH588, F!$O$21:$O$33,1), MATCH(E588, F!$P$20:$AB$20,1)),)</f>
        <v>0</v>
      </c>
      <c r="AL588" s="59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ht="15.75" hidden="1" customHeight="1">
      <c r="A589" s="59"/>
      <c r="B589" s="135" t="str">
        <f t="shared" ref="B589:F589" si="1165">IF(B533="","",B533)</f>
        <v/>
      </c>
      <c r="C589" s="136" t="str">
        <f t="shared" si="1165"/>
        <v/>
      </c>
      <c r="D589" s="137" t="str">
        <f t="shared" si="1165"/>
        <v/>
      </c>
      <c r="E589" s="48" t="str">
        <f t="shared" si="1165"/>
        <v/>
      </c>
      <c r="F589" s="138" t="str">
        <f t="shared" si="1165"/>
        <v/>
      </c>
      <c r="G589" s="139" t="str">
        <f t="shared" si="1150"/>
        <v/>
      </c>
      <c r="H589" s="140"/>
      <c r="I589" s="140"/>
      <c r="J589" s="141"/>
      <c r="K589" s="139" t="str">
        <f t="shared" si="1151"/>
        <v/>
      </c>
      <c r="L589" s="140"/>
      <c r="M589" s="140"/>
      <c r="N589" s="141"/>
      <c r="O589" s="139" t="str">
        <f t="shared" si="1152"/>
        <v/>
      </c>
      <c r="P589" s="140"/>
      <c r="Q589" s="140"/>
      <c r="R589" s="141"/>
      <c r="S589" s="139" t="str">
        <f t="shared" si="1153"/>
        <v/>
      </c>
      <c r="T589" s="140"/>
      <c r="U589" s="140"/>
      <c r="V589" s="141"/>
      <c r="W589" s="139" t="str">
        <f t="shared" si="1154"/>
        <v/>
      </c>
      <c r="X589" s="140"/>
      <c r="Y589" s="140"/>
      <c r="Z589" s="141"/>
      <c r="AA589" s="139" t="str">
        <f t="shared" si="1155"/>
        <v/>
      </c>
      <c r="AB589" s="140"/>
      <c r="AC589" s="140"/>
      <c r="AD589" s="141"/>
      <c r="AE589" s="142">
        <f t="shared" si="1156"/>
        <v>0</v>
      </c>
      <c r="AF589" s="143">
        <f t="shared" si="1118"/>
        <v>0</v>
      </c>
      <c r="AG589" s="144">
        <f t="shared" si="1157"/>
        <v>0</v>
      </c>
      <c r="AH589" s="76" t="str">
        <f t="shared" si="1158"/>
        <v/>
      </c>
      <c r="AI589" s="143">
        <f> ( IF(ISNUMBER(G589), VLOOKUP(G589/$AH589,F!$A1:$B101,2,1)*G589*$H589*$I589,0)+IF(ISNUMBER(K589), VLOOKUP(K589/$AH589,F!$A1:$B101,2,1)*K589*$L589*$M589,0)+IF(ISNUMBER(O589), VLOOKUP(O589/$AH589,F!$A1:$B101,2,1)*O589*$P589*$Q589,0)+IF(ISNUMBER(S589), VLOOKUP(S589/$AH589,F!$A1:$B101,2,1)*S589*$T589*$U589,0)+IF(ISNUMBER(W589), VLOOKUP(W589/$AH589,F!$A1:$B101,2,1)*W589*$X589*$Y589,0)+IF(ISNUMBER(AA589), VLOOKUP(AA589/$AH589,F!$A1:$B101,2,1)*AA589*$AB589*$AC589,0))*IF(ISNUMBER(F589),F589,1)*IF(ISNUMBER(E589),E589,1)</f>
        <v>0</v>
      </c>
      <c r="AJ589" s="140">
        <f t="shared" si="1159"/>
        <v>0</v>
      </c>
      <c r="AK589" s="145">
        <f t="array" ref="AK589">IFERROR(I589*INDEX(F!$P$21:$AB$33, MATCH(G589/$AH589, F!$O$21:$O$33,1), MATCH(E589, F!$P$20:$AB$20,1)), 0 ) +IFERROR( M589*INDEX(F!$P$21:$AB$33, MATCH(K589/$AH589, F!$O$21:$O$33,1), MATCH(E589, F!$P$20:$AB$20,1)),0) +  IFERROR( Q589*INDEX(F!$P$21:$AB$33, MATCH(O589/$AH589, F!$O$21:$O$33,1), MATCH(E589, F!$P$20:$AB$20,1)), 0) + IFERROR( U589*INDEX(F!$P$21:$AB$33, MATCH(S589/$AH589, F!$O$21:$O$33,1), MATCH(E589, F!$P$20:$AB$20,1)),0)  + IFERROR(Y589*INDEX(F!$P$21:$AB$33, MATCH(W589/$AH589, F!$O$21:$O$33,1), MATCH(E589, F!$P$20:$AB$20,1)),0)  + IFERROR( AC589*INDEX(F!$P$21:$AB$33, MATCH(AA589/$AH589, F!$O$21:$O$33,1), MATCH(E589, F!$P$20:$AB$20,1)),)</f>
        <v>0</v>
      </c>
      <c r="AL589" s="59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ht="15.75" hidden="1" customHeight="1">
      <c r="A590" s="98"/>
      <c r="B590" s="188"/>
      <c r="C590" s="189"/>
      <c r="D590" s="190"/>
      <c r="E590" s="102">
        <f>ROUND(IFERROR(SUMPRODUCT(AJ582:AJ589,E582:E589)/AJ590,0),3)</f>
        <v>0</v>
      </c>
      <c r="F590" s="191"/>
      <c r="G590" s="192"/>
      <c r="H590" s="193"/>
      <c r="I590" s="193"/>
      <c r="J590" s="194"/>
      <c r="K590" s="192"/>
      <c r="L590" s="193"/>
      <c r="M590" s="193"/>
      <c r="N590" s="194"/>
      <c r="O590" s="192"/>
      <c r="P590" s="193"/>
      <c r="Q590" s="193"/>
      <c r="R590" s="194"/>
      <c r="S590" s="192"/>
      <c r="T590" s="193"/>
      <c r="U590" s="193"/>
      <c r="V590" s="194"/>
      <c r="W590" s="192"/>
      <c r="X590" s="193"/>
      <c r="Y590" s="193"/>
      <c r="Z590" s="194"/>
      <c r="AA590" s="192"/>
      <c r="AB590" s="193"/>
      <c r="AC590" s="193"/>
      <c r="AD590" s="194"/>
      <c r="AE590" s="107">
        <f>SUM(AE582:AE589)</f>
        <v>0</v>
      </c>
      <c r="AF590" s="108">
        <f t="shared" si="1118"/>
        <v>0</v>
      </c>
      <c r="AG590" s="109">
        <f>IFERROR(  SUMPRODUCT(AG582:AG589,AJ582:AJ589)/AJ590,0)</f>
        <v>0</v>
      </c>
      <c r="AH590" s="157"/>
      <c r="AI590" s="111">
        <f t="shared" ref="AI590:AJ590" si="1166">SUM(AI582:AI589)</f>
        <v>0</v>
      </c>
      <c r="AJ590" s="111">
        <f t="shared" si="1166"/>
        <v>0</v>
      </c>
      <c r="AK590" s="112">
        <f>IF(SUM(AK582:AK589)=0,TIME(,0,),TIME(,SUM(AK582:AK589)+F!$V$37,))</f>
        <v>0</v>
      </c>
      <c r="AL590" s="98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ht="15.75" hidden="1" customHeight="1">
      <c r="A591" s="25">
        <f>A592</f>
        <v>43855</v>
      </c>
      <c r="B591" s="26" t="str">
        <f t="shared" ref="B591:F591" si="1167">IF(B535="","",B535)</f>
        <v/>
      </c>
      <c r="C591" s="27" t="str">
        <f t="shared" si="1167"/>
        <v/>
      </c>
      <c r="D591" s="28" t="str">
        <f t="shared" si="1167"/>
        <v/>
      </c>
      <c r="E591" s="29" t="str">
        <f t="shared" si="1167"/>
        <v/>
      </c>
      <c r="F591" s="30" t="str">
        <f t="shared" si="1167"/>
        <v/>
      </c>
      <c r="G591" s="31" t="str">
        <f t="shared" ref="G591:G598" si="1169">IF(J591&lt;&gt;0, IFERROR(IF( $F591=2,  MROUND($AH591*J591,1),    IF( OR($F591="",$F591=1),   MROUND($AH591*J591,2.5),  MROUND($AH591*J591, 0.1))), "" ), "")</f>
        <v/>
      </c>
      <c r="H591" s="32"/>
      <c r="I591" s="32"/>
      <c r="J591" s="33"/>
      <c r="K591" s="31" t="str">
        <f t="shared" ref="K591:K598" si="1170">IF(N591&lt;&gt;0, IFERROR(IF( $F591=2,  MROUND($AH591*N591,1),    IF( OR($F591="",$F591=1),   MROUND($AH591*N591,2.5),  MROUND($AH591*N591, 0.1))), "" ), "")</f>
        <v/>
      </c>
      <c r="L591" s="32"/>
      <c r="M591" s="32"/>
      <c r="N591" s="33"/>
      <c r="O591" s="31" t="str">
        <f t="shared" ref="O591:O598" si="1171">IF(R591&lt;&gt;0, IFERROR(IF( $F591=2,  MROUND($AH591*R591,1),    IF( OR($F591="",$F591=1),   MROUND($AH591*R591,2.5),  MROUND($AH591*R591, 0.1))), "" ), "")</f>
        <v/>
      </c>
      <c r="P591" s="32"/>
      <c r="Q591" s="32"/>
      <c r="R591" s="33"/>
      <c r="S591" s="31" t="str">
        <f t="shared" ref="S591:S598" si="1172">IF(V591&lt;&gt;0, IFERROR(IF( $F591=2,  MROUND($AH591*V591,1),    IF( OR($F591="",$F591=1),   MROUND($AH591*V591,2.5),  MROUND($AH591*V591, 0.1))), "" ), "")</f>
        <v/>
      </c>
      <c r="T591" s="32"/>
      <c r="U591" s="32"/>
      <c r="V591" s="33"/>
      <c r="W591" s="31" t="str">
        <f t="shared" ref="W591:W598" si="1173">IF(Z591&lt;&gt;0, IFERROR(IF( $F591=2,  MROUND($AH591*Z591,1),    IF( OR($F591="",$F591=1),   MROUND($AH591*Z591,2.5),  MROUND($AH591*Z591, 0.1))), "" ), "")</f>
        <v/>
      </c>
      <c r="X591" s="32"/>
      <c r="Y591" s="32"/>
      <c r="Z591" s="33"/>
      <c r="AA591" s="31" t="str">
        <f t="shared" ref="AA591:AA598" si="1174">IF(AD591&lt;&gt;0, IFERROR(IF( $F591=2,  MROUND($AH591*AD591,1),    IF( OR($F591="",$F591=1),   MROUND($AH591*AD591,2.5),  MROUND($AH591*AD591, 0.1))), "" ), "")</f>
        <v/>
      </c>
      <c r="AB591" s="32"/>
      <c r="AC591" s="32"/>
      <c r="AD591" s="33"/>
      <c r="AE591" s="35">
        <f t="shared" ref="AE591:AE598" si="1175">(IF(ISNUMBER(G591),G591,0)*H591*I591+IF(ISNUMBER(K591),K591,1)*L591*M591+IF(ISNUMBER(O591),O591,1)*P591*Q591+IF(ISNUMBER(S591),S591,1)*T591*U591+IF(ISNUMBER(W591),W591,1)*X591*Y591+IF(ISNUMBER(AA591),AA591,1)*AB591*AC591)*IF(ISNUMBER(F591),F591,1)</f>
        <v>0</v>
      </c>
      <c r="AF591" s="36">
        <f t="shared" si="1118"/>
        <v>0</v>
      </c>
      <c r="AG591" s="195">
        <f t="shared" ref="AG591:AG598" si="1176">IFERROR((AF591/(AH591*IF(ISNUMBER(F591),F591,1))),0)</f>
        <v>0</v>
      </c>
      <c r="AH591" s="169" t="str">
        <f t="shared" ref="AH591:AH598" si="1177">IF(ISNUMBER(AH535), AH535+(AH535*$AH$562),"")</f>
        <v/>
      </c>
      <c r="AI591" s="196">
        <f> ( IF(ISNUMBER(G591), VLOOKUP(G591/$AH591,F!$A1:$B101,2,1)*G591*$H591*$I591,0)+IF(ISNUMBER(K591), VLOOKUP(K591/$AH591,F!$A1:$B101,2,1)*K591*$L591*$M591,0)+IF(ISNUMBER(O591), VLOOKUP(O591/$AH591,F!$A1:$B101,2,1)*O591*$P591*$Q591,0)+IF(ISNUMBER(S591), VLOOKUP(S591/$AH591,F!$A1:$B101,2,1)*S591*$T591*$U591,0)+IF(ISNUMBER(W591), VLOOKUP(W591/$AH591,F!$A1:$B101,2,1)*W591*$X591*$Y591,0)+IF(ISNUMBER(AA591), VLOOKUP(AA591/$AH591,F!$A1:$B101,2,1)*AA591*$AB591*$AC591,0))*IF(ISNUMBER(F591),F591,1)*IF(ISNUMBER(E591),E591,1)</f>
        <v>0</v>
      </c>
      <c r="AJ591" s="40">
        <f t="shared" ref="AJ591:AJ598" si="1178">H591*I591+L591*M591+P591*Q591+T591*U591+X591*Y591+AB591*AC591</f>
        <v>0</v>
      </c>
      <c r="AK591" s="41">
        <f t="array" ref="AK591">IFERROR(I591*INDEX(F!$P$21:$AB$33, MATCH(G591/$AH591, F!$O$21:$O$33,1), MATCH(E591, F!$P$20:$AB$20,1)), 0 ) +IFERROR( M591*INDEX(F!$P$21:$AB$33, MATCH(K591/$AH591, F!$O$21:$O$33,1), MATCH(E591, F!$P$20:$AB$20,1)),0) +  IFERROR( Q591*INDEX(F!$P$21:$AB$33, MATCH(O591/$AH591, F!$O$21:$O$33,1), MATCH(E591, F!$P$20:$AB$20,1)), 0) + IFERROR( U591*INDEX(F!$P$21:$AB$33, MATCH(S591/$AH591, F!$O$21:$O$33,1), MATCH(E591, F!$P$20:$AB$20,1)),0)  + IFERROR(Y591*INDEX(F!$P$21:$AB$33, MATCH(W591/$AH591, F!$O$21:$O$33,1), MATCH(E591, F!$P$20:$AB$20,1)),0)  + IFERROR( AC591*INDEX(F!$P$21:$AB$33, MATCH(AA591/$AH591, F!$O$21:$O$33,1), MATCH(E591, F!$P$20:$AB$20,1)),)</f>
        <v>0</v>
      </c>
      <c r="AL591" s="42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ht="15.75" hidden="1" customHeight="1">
      <c r="A592" s="44">
        <f>A536+A506</f>
        <v>43855</v>
      </c>
      <c r="B592" s="45" t="str">
        <f t="shared" ref="B592:F592" si="1168">IF(B536="","",B536)</f>
        <v/>
      </c>
      <c r="C592" s="46" t="str">
        <f t="shared" si="1168"/>
        <v/>
      </c>
      <c r="D592" s="47" t="str">
        <f t="shared" si="1168"/>
        <v/>
      </c>
      <c r="E592" s="48" t="str">
        <f t="shared" si="1168"/>
        <v/>
      </c>
      <c r="F592" s="49" t="str">
        <f t="shared" si="1168"/>
        <v/>
      </c>
      <c r="G592" s="50" t="str">
        <f t="shared" si="1169"/>
        <v/>
      </c>
      <c r="H592" s="51"/>
      <c r="I592" s="51"/>
      <c r="J592" s="52"/>
      <c r="K592" s="50" t="str">
        <f t="shared" si="1170"/>
        <v/>
      </c>
      <c r="L592" s="51"/>
      <c r="M592" s="51"/>
      <c r="N592" s="52"/>
      <c r="O592" s="50" t="str">
        <f t="shared" si="1171"/>
        <v/>
      </c>
      <c r="P592" s="51"/>
      <c r="Q592" s="51"/>
      <c r="R592" s="52"/>
      <c r="S592" s="50" t="str">
        <f t="shared" si="1172"/>
        <v/>
      </c>
      <c r="T592" s="51"/>
      <c r="U592" s="51"/>
      <c r="V592" s="52"/>
      <c r="W592" s="50" t="str">
        <f t="shared" si="1173"/>
        <v/>
      </c>
      <c r="X592" s="51"/>
      <c r="Y592" s="51"/>
      <c r="Z592" s="52"/>
      <c r="AA592" s="50" t="str">
        <f t="shared" si="1174"/>
        <v/>
      </c>
      <c r="AB592" s="51"/>
      <c r="AC592" s="51"/>
      <c r="AD592" s="52"/>
      <c r="AE592" s="53">
        <f t="shared" si="1175"/>
        <v>0</v>
      </c>
      <c r="AF592" s="54">
        <f t="shared" si="1118"/>
        <v>0</v>
      </c>
      <c r="AG592" s="75">
        <f t="shared" si="1176"/>
        <v>0</v>
      </c>
      <c r="AH592" s="76" t="str">
        <f t="shared" si="1177"/>
        <v/>
      </c>
      <c r="AI592" s="77">
        <f> ( IF(ISNUMBER(G592), VLOOKUP(G592/$AH592,F!$A1:$B101,2,1)*G592*$H592*$I592,0)+IF(ISNUMBER(K592), VLOOKUP(K592/$AH592,F!$A1:$B101,2,1)*K592*$L592*$M592,0)+IF(ISNUMBER(O592), VLOOKUP(O592/$AH592,F!$A1:$B101,2,1)*O592*$P592*$Q592,0)+IF(ISNUMBER(S592), VLOOKUP(S592/$AH592,F!$A1:$B101,2,1)*S592*$T592*$U592,0)+IF(ISNUMBER(W592), VLOOKUP(W592/$AH592,F!$A1:$B101,2,1)*W592*$X592*$Y592,0)+IF(ISNUMBER(AA592), VLOOKUP(AA592/$AH592,F!$A1:$B101,2,1)*AA592*$AB592*$AC592,0))*IF(ISNUMBER(F592),F592,1)*IF(ISNUMBER(E592),E592,1)</f>
        <v>0</v>
      </c>
      <c r="AJ592" s="57">
        <f t="shared" si="1178"/>
        <v>0</v>
      </c>
      <c r="AK592" s="58">
        <f t="array" ref="AK592">IFERROR(I592*INDEX(F!$P$21:$AB$33, MATCH(G592/$AH592, F!$O$21:$O$33,1), MATCH(E592, F!$P$20:$AB$20,1)), 0 ) +IFERROR( M592*INDEX(F!$P$21:$AB$33, MATCH(K592/$AH592, F!$O$21:$O$33,1), MATCH(E592, F!$P$20:$AB$20,1)),0) +  IFERROR( Q592*INDEX(F!$P$21:$AB$33, MATCH(O592/$AH592, F!$O$21:$O$33,1), MATCH(E592, F!$P$20:$AB$20,1)), 0) + IFERROR( U592*INDEX(F!$P$21:$AB$33, MATCH(S592/$AH592, F!$O$21:$O$33,1), MATCH(E592, F!$P$20:$AB$20,1)),0)  + IFERROR(Y592*INDEX(F!$P$21:$AB$33, MATCH(W592/$AH592, F!$O$21:$O$33,1), MATCH(E592, F!$P$20:$AB$20,1)),0)  + IFERROR( AC592*INDEX(F!$P$21:$AB$33, MATCH(AA592/$AH592, F!$O$21:$O$33,1), MATCH(E592, F!$P$20:$AB$20,1)),)</f>
        <v>0</v>
      </c>
      <c r="AL592" s="59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ht="15.75" hidden="1" customHeight="1">
      <c r="A593" s="59"/>
      <c r="B593" s="60" t="str">
        <f t="shared" ref="B593:F593" si="1179">IF(B537="","",B537)</f>
        <v/>
      </c>
      <c r="C593" s="61" t="str">
        <f t="shared" si="1179"/>
        <v/>
      </c>
      <c r="D593" s="62" t="str">
        <f t="shared" si="1179"/>
        <v/>
      </c>
      <c r="E593" s="48" t="str">
        <f t="shared" si="1179"/>
        <v/>
      </c>
      <c r="F593" s="63" t="str">
        <f t="shared" si="1179"/>
        <v/>
      </c>
      <c r="G593" s="64" t="str">
        <f t="shared" si="1169"/>
        <v/>
      </c>
      <c r="H593" s="34"/>
      <c r="I593" s="34"/>
      <c r="J593" s="65"/>
      <c r="K593" s="64" t="str">
        <f t="shared" si="1170"/>
        <v/>
      </c>
      <c r="L593" s="34"/>
      <c r="M593" s="34"/>
      <c r="N593" s="65"/>
      <c r="O593" s="64" t="str">
        <f t="shared" si="1171"/>
        <v/>
      </c>
      <c r="P593" s="34"/>
      <c r="Q593" s="34"/>
      <c r="R593" s="65"/>
      <c r="S593" s="64" t="str">
        <f t="shared" si="1172"/>
        <v/>
      </c>
      <c r="T593" s="34"/>
      <c r="U593" s="34"/>
      <c r="V593" s="65"/>
      <c r="W593" s="64" t="str">
        <f t="shared" si="1173"/>
        <v/>
      </c>
      <c r="X593" s="34"/>
      <c r="Y593" s="34"/>
      <c r="Z593" s="65"/>
      <c r="AA593" s="64" t="str">
        <f t="shared" si="1174"/>
        <v/>
      </c>
      <c r="AB593" s="34"/>
      <c r="AC593" s="34"/>
      <c r="AD593" s="65"/>
      <c r="AE593" s="66">
        <f t="shared" si="1175"/>
        <v>0</v>
      </c>
      <c r="AF593" s="67">
        <f t="shared" si="1118"/>
        <v>0</v>
      </c>
      <c r="AG593" s="68">
        <f t="shared" si="1176"/>
        <v>0</v>
      </c>
      <c r="AH593" s="76" t="str">
        <f t="shared" si="1177"/>
        <v/>
      </c>
      <c r="AI593" s="70">
        <f> ( IF(ISNUMBER(G593), VLOOKUP(G593/$AH593,F!$A1:$B101,2,1)*G593*$H593*$I593,0)+IF(ISNUMBER(K593), VLOOKUP(K593/$AH593,F!$A1:$B101,2,1)*K593*$L593*$M593,0)+IF(ISNUMBER(O593), VLOOKUP(O593/$AH593,F!$A1:$B101,2,1)*O593*$P593*$Q593,0)+IF(ISNUMBER(S593), VLOOKUP(S593/$AH593,F!$A1:$B101,2,1)*S593*$T593*$U593,0)+IF(ISNUMBER(W593), VLOOKUP(W593/$AH593,F!$A1:$B101,2,1)*W593*$X593*$Y593,0)+IF(ISNUMBER(AA593), VLOOKUP(AA593/$AH593,F!$A1:$B101,2,1)*AA593*$AB593*$AC593,0))*IF(ISNUMBER(F593),F593,1)*IF(ISNUMBER(E593),E593,1)</f>
        <v>0</v>
      </c>
      <c r="AJ593" s="71">
        <f t="shared" si="1178"/>
        <v>0</v>
      </c>
      <c r="AK593" s="72">
        <f t="array" ref="AK593">IFERROR(I593*INDEX(F!$P$21:$AB$33, MATCH(G593/$AH593, F!$O$21:$O$33,1), MATCH(E593, F!$P$20:$AB$20,1)), 0 ) +IFERROR( M593*INDEX(F!$P$21:$AB$33, MATCH(K593/$AH593, F!$O$21:$O$33,1), MATCH(E593, F!$P$20:$AB$20,1)),0) +  IFERROR( Q593*INDEX(F!$P$21:$AB$33, MATCH(O593/$AH593, F!$O$21:$O$33,1), MATCH(E593, F!$P$20:$AB$20,1)), 0) + IFERROR( U593*INDEX(F!$P$21:$AB$33, MATCH(S593/$AH593, F!$O$21:$O$33,1), MATCH(E593, F!$P$20:$AB$20,1)),0)  + IFERROR(Y593*INDEX(F!$P$21:$AB$33, MATCH(W593/$AH593, F!$O$21:$O$33,1), MATCH(E593, F!$P$20:$AB$20,1)),0)  + IFERROR( AC593*INDEX(F!$P$21:$AB$33, MATCH(AA593/$AH593, F!$O$21:$O$33,1), MATCH(E593, F!$P$20:$AB$20,1)),)</f>
        <v>0</v>
      </c>
      <c r="AL593" s="59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ht="15.75" hidden="1" customHeight="1">
      <c r="A594" s="59"/>
      <c r="B594" s="215" t="str">
        <f t="shared" ref="B594:F594" si="1180">IF(B538="","",B538)</f>
        <v/>
      </c>
      <c r="C594" s="73" t="str">
        <f t="shared" si="1180"/>
        <v/>
      </c>
      <c r="D594" s="47" t="str">
        <f t="shared" si="1180"/>
        <v/>
      </c>
      <c r="E594" s="48" t="str">
        <f t="shared" si="1180"/>
        <v/>
      </c>
      <c r="F594" s="74" t="str">
        <f t="shared" si="1180"/>
        <v/>
      </c>
      <c r="G594" s="50" t="str">
        <f t="shared" si="1169"/>
        <v/>
      </c>
      <c r="H594" s="51"/>
      <c r="I594" s="51"/>
      <c r="J594" s="52"/>
      <c r="K594" s="50" t="str">
        <f t="shared" si="1170"/>
        <v/>
      </c>
      <c r="L594" s="51"/>
      <c r="M594" s="51"/>
      <c r="N594" s="52"/>
      <c r="O594" s="50" t="str">
        <f t="shared" si="1171"/>
        <v/>
      </c>
      <c r="P594" s="51"/>
      <c r="Q594" s="51"/>
      <c r="R594" s="52"/>
      <c r="S594" s="50" t="str">
        <f t="shared" si="1172"/>
        <v/>
      </c>
      <c r="T594" s="51"/>
      <c r="U594" s="51"/>
      <c r="V594" s="52"/>
      <c r="W594" s="50" t="str">
        <f t="shared" si="1173"/>
        <v/>
      </c>
      <c r="X594" s="51"/>
      <c r="Y594" s="51"/>
      <c r="Z594" s="52"/>
      <c r="AA594" s="50" t="str">
        <f t="shared" si="1174"/>
        <v/>
      </c>
      <c r="AB594" s="51"/>
      <c r="AC594" s="51"/>
      <c r="AD594" s="52"/>
      <c r="AE594" s="53">
        <f t="shared" si="1175"/>
        <v>0</v>
      </c>
      <c r="AF594" s="54">
        <f t="shared" si="1118"/>
        <v>0</v>
      </c>
      <c r="AG594" s="75">
        <f t="shared" si="1176"/>
        <v>0</v>
      </c>
      <c r="AH594" s="76" t="str">
        <f t="shared" si="1177"/>
        <v/>
      </c>
      <c r="AI594" s="77">
        <f> ( IF(ISNUMBER(G594), VLOOKUP(G594/$AH594,F!$A1:$B101,2,1)*G594*$H594*$I594,0)+IF(ISNUMBER(K594), VLOOKUP(K594/$AH594,F!$A1:$B101,2,1)*K594*$L594*$M594,0)+IF(ISNUMBER(O594), VLOOKUP(O594/$AH594,F!$A1:$B101,2,1)*O594*$P594*$Q594,0)+IF(ISNUMBER(S594), VLOOKUP(S594/$AH594,F!$A1:$B101,2,1)*S594*$T594*$U594,0)+IF(ISNUMBER(W594), VLOOKUP(W594/$AH594,F!$A1:$B101,2,1)*W594*$X594*$Y594,0)+IF(ISNUMBER(AA594), VLOOKUP(AA594/$AH594,F!$A1:$B101,2,1)*AA594*$AB594*$AC594,0))*IF(ISNUMBER(F594),F594,1)*IF(ISNUMBER(E594),E594,1)</f>
        <v>0</v>
      </c>
      <c r="AJ594" s="57">
        <f t="shared" si="1178"/>
        <v>0</v>
      </c>
      <c r="AK594" s="58">
        <f t="array" ref="AK594">IFERROR(I594*INDEX(F!$P$21:$AB$33, MATCH(G594/$AH594, F!$O$21:$O$33,1), MATCH(E594, F!$P$20:$AB$20,1)), 0 ) +IFERROR( M594*INDEX(F!$P$21:$AB$33, MATCH(K594/$AH594, F!$O$21:$O$33,1), MATCH(E594, F!$P$20:$AB$20,1)),0) +  IFERROR( Q594*INDEX(F!$P$21:$AB$33, MATCH(O594/$AH594, F!$O$21:$O$33,1), MATCH(E594, F!$P$20:$AB$20,1)), 0) + IFERROR( U594*INDEX(F!$P$21:$AB$33, MATCH(S594/$AH594, F!$O$21:$O$33,1), MATCH(E594, F!$P$20:$AB$20,1)),0)  + IFERROR(Y594*INDEX(F!$P$21:$AB$33, MATCH(W594/$AH594, F!$O$21:$O$33,1), MATCH(E594, F!$P$20:$AB$20,1)),0)  + IFERROR( AC594*INDEX(F!$P$21:$AB$33, MATCH(AA594/$AH594, F!$O$21:$O$33,1), MATCH(E594, F!$P$20:$AB$20,1)),)</f>
        <v>0</v>
      </c>
      <c r="AL594" s="59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ht="15.75" hidden="1" customHeight="1">
      <c r="A595" s="59"/>
      <c r="B595" s="216" t="str">
        <f t="shared" ref="B595:F595" si="1181">IF(B539="","",B539)</f>
        <v/>
      </c>
      <c r="C595" s="78" t="str">
        <f t="shared" si="1181"/>
        <v/>
      </c>
      <c r="D595" s="62" t="str">
        <f t="shared" si="1181"/>
        <v/>
      </c>
      <c r="E595" s="48" t="str">
        <f t="shared" si="1181"/>
        <v/>
      </c>
      <c r="F595" s="79" t="str">
        <f t="shared" si="1181"/>
        <v/>
      </c>
      <c r="G595" s="64" t="str">
        <f t="shared" si="1169"/>
        <v/>
      </c>
      <c r="H595" s="34"/>
      <c r="I595" s="34"/>
      <c r="J595" s="65"/>
      <c r="K595" s="64" t="str">
        <f t="shared" si="1170"/>
        <v/>
      </c>
      <c r="L595" s="34"/>
      <c r="M595" s="34"/>
      <c r="N595" s="65"/>
      <c r="O595" s="64" t="str">
        <f t="shared" si="1171"/>
        <v/>
      </c>
      <c r="P595" s="34"/>
      <c r="Q595" s="34"/>
      <c r="R595" s="65"/>
      <c r="S595" s="64" t="str">
        <f t="shared" si="1172"/>
        <v/>
      </c>
      <c r="T595" s="34"/>
      <c r="U595" s="34"/>
      <c r="V595" s="65"/>
      <c r="W595" s="64" t="str">
        <f t="shared" si="1173"/>
        <v/>
      </c>
      <c r="X595" s="34"/>
      <c r="Y595" s="34"/>
      <c r="Z595" s="65"/>
      <c r="AA595" s="64" t="str">
        <f t="shared" si="1174"/>
        <v/>
      </c>
      <c r="AB595" s="34"/>
      <c r="AC595" s="34"/>
      <c r="AD595" s="65"/>
      <c r="AE595" s="66">
        <f t="shared" si="1175"/>
        <v>0</v>
      </c>
      <c r="AF595" s="67">
        <f t="shared" si="1118"/>
        <v>0</v>
      </c>
      <c r="AG595" s="68">
        <f t="shared" si="1176"/>
        <v>0</v>
      </c>
      <c r="AH595" s="76" t="str">
        <f t="shared" si="1177"/>
        <v/>
      </c>
      <c r="AI595" s="70">
        <f> ( IF(ISNUMBER(G595), VLOOKUP(G595/$AH595,F!$A1:$B101,2,1)*G595*$H595*$I595,0)+IF(ISNUMBER(K595), VLOOKUP(K595/$AH595,F!$A1:$B101,2,1)*K595*$L595*$M595,0)+IF(ISNUMBER(O595), VLOOKUP(O595/$AH595,F!$A1:$B101,2,1)*O595*$P595*$Q595,0)+IF(ISNUMBER(S595), VLOOKUP(S595/$AH595,F!$A1:$B101,2,1)*S595*$T595*$U595,0)+IF(ISNUMBER(W595), VLOOKUP(W595/$AH595,F!$A1:$B101,2,1)*W595*$X595*$Y595,0)+IF(ISNUMBER(AA595), VLOOKUP(AA595/$AH595,F!$A1:$B101,2,1)*AA595*$AB595*$AC595,0))*IF(ISNUMBER(F595),F595,1)*IF(ISNUMBER(E595),E595,1)</f>
        <v>0</v>
      </c>
      <c r="AJ595" s="71">
        <f t="shared" si="1178"/>
        <v>0</v>
      </c>
      <c r="AK595" s="72">
        <f t="array" ref="AK595">IFERROR(I595*INDEX(F!$P$21:$AB$33, MATCH(G595/$AH595, F!$O$21:$O$33,1), MATCH(E595, F!$P$20:$AB$20,1)), 0 ) +IFERROR( M595*INDEX(F!$P$21:$AB$33, MATCH(K595/$AH595, F!$O$21:$O$33,1), MATCH(E595, F!$P$20:$AB$20,1)),0) +  IFERROR( Q595*INDEX(F!$P$21:$AB$33, MATCH(O595/$AH595, F!$O$21:$O$33,1), MATCH(E595, F!$P$20:$AB$20,1)), 0) + IFERROR( U595*INDEX(F!$P$21:$AB$33, MATCH(S595/$AH595, F!$O$21:$O$33,1), MATCH(E595, F!$P$20:$AB$20,1)),0)  + IFERROR(Y595*INDEX(F!$P$21:$AB$33, MATCH(W595/$AH595, F!$O$21:$O$33,1), MATCH(E595, F!$P$20:$AB$20,1)),0)  + IFERROR( AC595*INDEX(F!$P$21:$AB$33, MATCH(AA595/$AH595, F!$O$21:$O$33,1), MATCH(E595, F!$P$20:$AB$20,1)),)</f>
        <v>0</v>
      </c>
      <c r="AL595" s="59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ht="15.75" hidden="1" customHeight="1">
      <c r="A596" s="59"/>
      <c r="B596" s="45" t="str">
        <f t="shared" ref="B596:F596" si="1182">IF(B540="","",B540)</f>
        <v/>
      </c>
      <c r="C596" s="46" t="str">
        <f t="shared" si="1182"/>
        <v/>
      </c>
      <c r="D596" s="197" t="str">
        <f t="shared" si="1182"/>
        <v/>
      </c>
      <c r="E596" s="48" t="str">
        <f t="shared" si="1182"/>
        <v/>
      </c>
      <c r="F596" s="83" t="str">
        <f t="shared" si="1182"/>
        <v/>
      </c>
      <c r="G596" s="50" t="str">
        <f t="shared" si="1169"/>
        <v/>
      </c>
      <c r="H596" s="51"/>
      <c r="I596" s="51"/>
      <c r="J596" s="52"/>
      <c r="K596" s="50" t="str">
        <f t="shared" si="1170"/>
        <v/>
      </c>
      <c r="L596" s="51"/>
      <c r="M596" s="51"/>
      <c r="N596" s="52"/>
      <c r="O596" s="50" t="str">
        <f t="shared" si="1171"/>
        <v/>
      </c>
      <c r="P596" s="51"/>
      <c r="Q596" s="51"/>
      <c r="R596" s="52"/>
      <c r="S596" s="50" t="str">
        <f t="shared" si="1172"/>
        <v/>
      </c>
      <c r="T596" s="51"/>
      <c r="U596" s="51"/>
      <c r="V596" s="52"/>
      <c r="W596" s="50" t="str">
        <f t="shared" si="1173"/>
        <v/>
      </c>
      <c r="X596" s="51"/>
      <c r="Y596" s="51"/>
      <c r="Z596" s="52"/>
      <c r="AA596" s="50" t="str">
        <f t="shared" si="1174"/>
        <v/>
      </c>
      <c r="AB596" s="51"/>
      <c r="AC596" s="51"/>
      <c r="AD596" s="52"/>
      <c r="AE596" s="53">
        <f t="shared" si="1175"/>
        <v>0</v>
      </c>
      <c r="AF596" s="54">
        <f t="shared" si="1118"/>
        <v>0</v>
      </c>
      <c r="AG596" s="75">
        <f t="shared" si="1176"/>
        <v>0</v>
      </c>
      <c r="AH596" s="76" t="str">
        <f t="shared" si="1177"/>
        <v/>
      </c>
      <c r="AI596" s="77">
        <f> ( IF(ISNUMBER(G596), VLOOKUP(G596/$AH596,F!$A1:$B101,2,1)*G596*$H596*$I596,0)+IF(ISNUMBER(K596), VLOOKUP(K596/$AH596,F!$A1:$B101,2,1)*K596*$L596*$M596,0)+IF(ISNUMBER(O596), VLOOKUP(O596/$AH596,F!$A1:$B101,2,1)*O596*$P596*$Q596,0)+IF(ISNUMBER(S596), VLOOKUP(S596/$AH596,F!$A1:$B101,2,1)*S596*$T596*$U596,0)+IF(ISNUMBER(W596), VLOOKUP(W596/$AH596,F!$A1:$B101,2,1)*W596*$X596*$Y596,0)+IF(ISNUMBER(AA596), VLOOKUP(AA596/$AH596,F!$A1:$B101,2,1)*AA596*$AB596*$AC596,0))*IF(ISNUMBER(F596),F596,1)*IF(ISNUMBER(E596),E596,1)</f>
        <v>0</v>
      </c>
      <c r="AJ596" s="86">
        <f t="shared" si="1178"/>
        <v>0</v>
      </c>
      <c r="AK596" s="58">
        <f t="array" ref="AK596">IFERROR(I596*INDEX(F!$P$21:$AB$33, MATCH(G596/$AH596, F!$O$21:$O$33,1), MATCH(E596, F!$P$20:$AB$20,1)), 0 ) +IFERROR( M596*INDEX(F!$P$21:$AB$33, MATCH(K596/$AH596, F!$O$21:$O$33,1), MATCH(E596, F!$P$20:$AB$20,1)),0) +  IFERROR( Q596*INDEX(F!$P$21:$AB$33, MATCH(O596/$AH596, F!$O$21:$O$33,1), MATCH(E596, F!$P$20:$AB$20,1)), 0) + IFERROR( U596*INDEX(F!$P$21:$AB$33, MATCH(S596/$AH596, F!$O$21:$O$33,1), MATCH(E596, F!$P$20:$AB$20,1)),0)  + IFERROR(Y596*INDEX(F!$P$21:$AB$33, MATCH(W596/$AH596, F!$O$21:$O$33,1), MATCH(E596, F!$P$20:$AB$20,1)),0)  + IFERROR( AC596*INDEX(F!$P$21:$AB$33, MATCH(AA596/$AH596, F!$O$21:$O$33,1), MATCH(E596, F!$P$20:$AB$20,1)),)</f>
        <v>0</v>
      </c>
      <c r="AL596" s="59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ht="15.75" hidden="1" customHeight="1">
      <c r="A597" s="59"/>
      <c r="B597" s="60" t="str">
        <f t="shared" ref="B597:F597" si="1183">IF(B541="","",B541)</f>
        <v/>
      </c>
      <c r="C597" s="61" t="str">
        <f t="shared" si="1183"/>
        <v/>
      </c>
      <c r="D597" s="198" t="str">
        <f t="shared" si="1183"/>
        <v/>
      </c>
      <c r="E597" s="48" t="str">
        <f t="shared" si="1183"/>
        <v/>
      </c>
      <c r="F597" s="79" t="str">
        <f t="shared" si="1183"/>
        <v/>
      </c>
      <c r="G597" s="64" t="str">
        <f t="shared" si="1169"/>
        <v/>
      </c>
      <c r="H597" s="34"/>
      <c r="I597" s="34"/>
      <c r="J597" s="65"/>
      <c r="K597" s="64" t="str">
        <f t="shared" si="1170"/>
        <v/>
      </c>
      <c r="L597" s="34"/>
      <c r="M597" s="34"/>
      <c r="N597" s="65"/>
      <c r="O597" s="64" t="str">
        <f t="shared" si="1171"/>
        <v/>
      </c>
      <c r="P597" s="34"/>
      <c r="Q597" s="34"/>
      <c r="R597" s="65"/>
      <c r="S597" s="64" t="str">
        <f t="shared" si="1172"/>
        <v/>
      </c>
      <c r="T597" s="34"/>
      <c r="U597" s="34"/>
      <c r="V597" s="65"/>
      <c r="W597" s="64" t="str">
        <f t="shared" si="1173"/>
        <v/>
      </c>
      <c r="X597" s="34"/>
      <c r="Y597" s="34"/>
      <c r="Z597" s="65"/>
      <c r="AA597" s="64" t="str">
        <f t="shared" si="1174"/>
        <v/>
      </c>
      <c r="AB597" s="34"/>
      <c r="AC597" s="34"/>
      <c r="AD597" s="65"/>
      <c r="AE597" s="66">
        <f t="shared" si="1175"/>
        <v>0</v>
      </c>
      <c r="AF597" s="67">
        <f t="shared" si="1118"/>
        <v>0</v>
      </c>
      <c r="AG597" s="68">
        <f t="shared" si="1176"/>
        <v>0</v>
      </c>
      <c r="AH597" s="76" t="str">
        <f t="shared" si="1177"/>
        <v/>
      </c>
      <c r="AI597" s="90">
        <f> ( IF(ISNUMBER(G597), VLOOKUP(G597/$AH597,F!$A1:$B101,2,1)*G597*$H597*$I597,0)+IF(ISNUMBER(K597), VLOOKUP(K597/$AH597,F!$A1:$B101,2,1)*K597*$L597*$M597,0)+IF(ISNUMBER(O597), VLOOKUP(O597/$AH597,F!$A1:$B101,2,1)*O597*$P597*$Q597,0)+IF(ISNUMBER(S597), VLOOKUP(S597/$AH597,F!$A1:$B101,2,1)*S597*$T597*$U597,0)+IF(ISNUMBER(W597), VLOOKUP(W597/$AH597,F!$A1:$B101,2,1)*W597*$X597*$Y597,0)+IF(ISNUMBER(AA597), VLOOKUP(AA597/$AH597,F!$A1:$B101,2,1)*AA597*$AB597*$AC597,0))*IF(ISNUMBER(F597),F597,1)*IF(ISNUMBER(E597),E597,1)</f>
        <v>0</v>
      </c>
      <c r="AJ597" s="34">
        <f t="shared" si="1178"/>
        <v>0</v>
      </c>
      <c r="AK597" s="91">
        <f t="array" ref="AK597">IFERROR(I597*INDEX(F!$P$21:$AB$33, MATCH(G597/$AH597, F!$O$21:$O$33,1), MATCH(E597, F!$P$20:$AB$20,1)), 0 ) +IFERROR( M597*INDEX(F!$P$21:$AB$33, MATCH(K597/$AH597, F!$O$21:$O$33,1), MATCH(E597, F!$P$20:$AB$20,1)),0) +  IFERROR( Q597*INDEX(F!$P$21:$AB$33, MATCH(O597/$AH597, F!$O$21:$O$33,1), MATCH(E597, F!$P$20:$AB$20,1)), 0) + IFERROR( U597*INDEX(F!$P$21:$AB$33, MATCH(S597/$AH597, F!$O$21:$O$33,1), MATCH(E597, F!$P$20:$AB$20,1)),0)  + IFERROR(Y597*INDEX(F!$P$21:$AB$33, MATCH(W597/$AH597, F!$O$21:$O$33,1), MATCH(E597, F!$P$20:$AB$20,1)),0)  + IFERROR( AC597*INDEX(F!$P$21:$AB$33, MATCH(AA597/$AH597, F!$O$21:$O$33,1), MATCH(E597, F!$P$20:$AB$20,1)),)</f>
        <v>0</v>
      </c>
      <c r="AL597" s="59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ht="15.75" hidden="1" customHeight="1">
      <c r="A598" s="59"/>
      <c r="B598" s="45" t="str">
        <f t="shared" ref="B598:F598" si="1184">IF(B542="","",B542)</f>
        <v/>
      </c>
      <c r="C598" s="46" t="str">
        <f t="shared" si="1184"/>
        <v/>
      </c>
      <c r="D598" s="92" t="str">
        <f t="shared" si="1184"/>
        <v/>
      </c>
      <c r="E598" s="48" t="str">
        <f t="shared" si="1184"/>
        <v/>
      </c>
      <c r="F598" s="74" t="str">
        <f t="shared" si="1184"/>
        <v/>
      </c>
      <c r="G598" s="50" t="str">
        <f t="shared" si="1169"/>
        <v/>
      </c>
      <c r="H598" s="51"/>
      <c r="I598" s="51"/>
      <c r="J598" s="52"/>
      <c r="K598" s="50" t="str">
        <f t="shared" si="1170"/>
        <v/>
      </c>
      <c r="L598" s="51"/>
      <c r="M598" s="51"/>
      <c r="N598" s="52"/>
      <c r="O598" s="50" t="str">
        <f t="shared" si="1171"/>
        <v/>
      </c>
      <c r="P598" s="51"/>
      <c r="Q598" s="51"/>
      <c r="R598" s="52"/>
      <c r="S598" s="50" t="str">
        <f t="shared" si="1172"/>
        <v/>
      </c>
      <c r="T598" s="51"/>
      <c r="U598" s="51"/>
      <c r="V598" s="52"/>
      <c r="W598" s="50" t="str">
        <f t="shared" si="1173"/>
        <v/>
      </c>
      <c r="X598" s="51"/>
      <c r="Y598" s="51"/>
      <c r="Z598" s="52"/>
      <c r="AA598" s="50" t="str">
        <f t="shared" si="1174"/>
        <v/>
      </c>
      <c r="AB598" s="51"/>
      <c r="AC598" s="51"/>
      <c r="AD598" s="52"/>
      <c r="AE598" s="53">
        <f t="shared" si="1175"/>
        <v>0</v>
      </c>
      <c r="AF598" s="93">
        <f t="shared" si="1118"/>
        <v>0</v>
      </c>
      <c r="AG598" s="94">
        <f t="shared" si="1176"/>
        <v>0</v>
      </c>
      <c r="AH598" s="76" t="str">
        <f t="shared" si="1177"/>
        <v/>
      </c>
      <c r="AI598" s="95">
        <f> ( IF(ISNUMBER(G598), VLOOKUP(G598/$AH598,F!$A1:$B101,2,1)*G598*$H598*$I598,0)+IF(ISNUMBER(K598), VLOOKUP(K598/$AH598,F!$A1:$B101,2,1)*K598*$L598*$M598,0)+IF(ISNUMBER(O598), VLOOKUP(O598/$AH598,F!$A1:$B101,2,1)*O598*$P598*$Q598,0)+IF(ISNUMBER(S598), VLOOKUP(S598/$AH598,F!$A1:$B101,2,1)*S598*$T598*$U598,0)+IF(ISNUMBER(W598), VLOOKUP(W598/$AH598,F!$A1:$B101,2,1)*W598*$X598*$Y598,0)+IF(ISNUMBER(AA598), VLOOKUP(AA598/$AH598,F!$A1:$B101,2,1)*AA598*$AB598*$AC598,0))*IF(ISNUMBER(F598),F598,1)*IF(ISNUMBER(E598),E598,1)</f>
        <v>0</v>
      </c>
      <c r="AJ598" s="96">
        <f t="shared" si="1178"/>
        <v>0</v>
      </c>
      <c r="AK598" s="97">
        <f t="array" ref="AK598">IFERROR(I598*INDEX(F!$P$21:$AB$33, MATCH(G598/$AH598, F!$O$21:$O$33,1), MATCH(E598, F!$P$20:$AB$20,1)), 0 ) +IFERROR( M598*INDEX(F!$P$21:$AB$33, MATCH(K598/$AH598, F!$O$21:$O$33,1), MATCH(E598, F!$P$20:$AB$20,1)),0) +  IFERROR( Q598*INDEX(F!$P$21:$AB$33, MATCH(O598/$AH598, F!$O$21:$O$33,1), MATCH(E598, F!$P$20:$AB$20,1)), 0) + IFERROR( U598*INDEX(F!$P$21:$AB$33, MATCH(S598/$AH598, F!$O$21:$O$33,1), MATCH(E598, F!$P$20:$AB$20,1)),0)  + IFERROR(Y598*INDEX(F!$P$21:$AB$33, MATCH(W598/$AH598, F!$O$21:$O$33,1), MATCH(E598, F!$P$20:$AB$20,1)),0)  + IFERROR( AC598*INDEX(F!$P$21:$AB$33, MATCH(AA598/$AH598, F!$O$21:$O$33,1), MATCH(E598, F!$P$20:$AB$20,1)),)</f>
        <v>0</v>
      </c>
      <c r="AL598" s="59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ht="15.75" hidden="1" customHeight="1">
      <c r="A599" s="98"/>
      <c r="B599" s="99"/>
      <c r="C599" s="100"/>
      <c r="D599" s="101"/>
      <c r="E599" s="102">
        <f>ROUND(IFERROR(SUMPRODUCT(AJ591:AJ598,E591:E598)/AJ599,0),3)</f>
        <v>0</v>
      </c>
      <c r="F599" s="199"/>
      <c r="G599" s="104"/>
      <c r="H599" s="105"/>
      <c r="I599" s="105"/>
      <c r="J599" s="106"/>
      <c r="K599" s="104"/>
      <c r="L599" s="105"/>
      <c r="M599" s="105"/>
      <c r="N599" s="106"/>
      <c r="O599" s="104"/>
      <c r="P599" s="105"/>
      <c r="Q599" s="105"/>
      <c r="R599" s="106"/>
      <c r="S599" s="104"/>
      <c r="T599" s="105"/>
      <c r="U599" s="105"/>
      <c r="V599" s="106"/>
      <c r="W599" s="104"/>
      <c r="X599" s="105"/>
      <c r="Y599" s="105"/>
      <c r="Z599" s="106"/>
      <c r="AA599" s="104"/>
      <c r="AB599" s="105"/>
      <c r="AC599" s="105"/>
      <c r="AD599" s="106"/>
      <c r="AE599" s="107">
        <f>SUM(AE591:AE598)</f>
        <v>0</v>
      </c>
      <c r="AF599" s="108">
        <f t="shared" si="1118"/>
        <v>0</v>
      </c>
      <c r="AG599" s="109">
        <f>IFERROR(  SUMPRODUCT(AG591:AG598,AJ591:AJ598)/AJ599,0)</f>
        <v>0</v>
      </c>
      <c r="AH599" s="157"/>
      <c r="AI599" s="111">
        <f t="shared" ref="AI599:AJ599" si="1185">SUM(AI591:AI598)</f>
        <v>0</v>
      </c>
      <c r="AJ599" s="111">
        <f t="shared" si="1185"/>
        <v>0</v>
      </c>
      <c r="AK599" s="112">
        <f>IF(SUM(AK591:AK598)=0,TIME(,0,),TIME(,SUM(AK591:AK598)+F!$V$37,))</f>
        <v>0</v>
      </c>
      <c r="AL599" s="98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ht="15.75" hidden="1" customHeight="1">
      <c r="A600" s="113">
        <f>A601</f>
        <v>43856</v>
      </c>
      <c r="B600" s="114" t="str">
        <f t="shared" ref="B600:F600" si="1186">IF(B544="","",B544)</f>
        <v/>
      </c>
      <c r="C600" s="115" t="str">
        <f t="shared" si="1186"/>
        <v/>
      </c>
      <c r="D600" s="116" t="str">
        <f t="shared" si="1186"/>
        <v/>
      </c>
      <c r="E600" s="29" t="str">
        <f t="shared" si="1186"/>
        <v/>
      </c>
      <c r="F600" s="117" t="str">
        <f t="shared" si="1186"/>
        <v/>
      </c>
      <c r="G600" s="118" t="str">
        <f t="shared" ref="G600:G607" si="1188">IF(J600&lt;&gt;0, IFERROR(IF( $F600=2,  MROUND($AH600*J600,1),    IF( OR($F600="",$F600=1),   MROUND($AH600*J600,2.5),  MROUND($AH600*J600, 0.1))), "" ), "")</f>
        <v/>
      </c>
      <c r="H600" s="119"/>
      <c r="I600" s="119"/>
      <c r="J600" s="120"/>
      <c r="K600" s="118" t="str">
        <f t="shared" ref="K600:K607" si="1189">IF(N600&lt;&gt;0, IFERROR(IF( $F600=2,  MROUND($AH600*N600,1),    IF( OR($F600="",$F600=1),   MROUND($AH600*N600,2.5),  MROUND($AH600*N600, 0.1))), "" ), "")</f>
        <v/>
      </c>
      <c r="L600" s="119"/>
      <c r="M600" s="119"/>
      <c r="N600" s="120"/>
      <c r="O600" s="118" t="str">
        <f t="shared" ref="O600:O607" si="1190">IF(R600&lt;&gt;0, IFERROR(IF( $F600=2,  MROUND($AH600*R600,1),    IF( OR($F600="",$F600=1),   MROUND($AH600*R600,2.5),  MROUND($AH600*R600, 0.1))), "" ), "")</f>
        <v/>
      </c>
      <c r="P600" s="119"/>
      <c r="Q600" s="119"/>
      <c r="R600" s="120"/>
      <c r="S600" s="118" t="str">
        <f t="shared" ref="S600:S607" si="1191">IF(V600&lt;&gt;0, IFERROR(IF( $F600=2,  MROUND($AH600*V600,1),    IF( OR($F600="",$F600=1),   MROUND($AH600*V600,2.5),  MROUND($AH600*V600, 0.1))), "" ), "")</f>
        <v/>
      </c>
      <c r="T600" s="119"/>
      <c r="U600" s="119"/>
      <c r="V600" s="120"/>
      <c r="W600" s="118" t="str">
        <f t="shared" ref="W600:W607" si="1192">IF(Z600&lt;&gt;0, IFERROR(IF( $F600=2,  MROUND($AH600*Z600,1),    IF( OR($F600="",$F600=1),   MROUND($AH600*Z600,2.5),  MROUND($AH600*Z600, 0.1))), "" ), "")</f>
        <v/>
      </c>
      <c r="X600" s="119"/>
      <c r="Y600" s="119"/>
      <c r="Z600" s="120"/>
      <c r="AA600" s="118" t="str">
        <f t="shared" ref="AA600:AA607" si="1193">IF(AD600&lt;&gt;0, IFERROR(IF( $F600=2,  MROUND($AH600*AD600,1),    IF( OR($F600="",$F600=1),   MROUND($AH600*AD600,2.5),  MROUND($AH600*AD600, 0.1))), "" ), "")</f>
        <v/>
      </c>
      <c r="AB600" s="119"/>
      <c r="AC600" s="119"/>
      <c r="AD600" s="120"/>
      <c r="AE600" s="121">
        <f t="shared" ref="AE600:AE607" si="1194">(IF(ISNUMBER(G600),G600,0)*H600*I600+IF(ISNUMBER(K600),K600,1)*L600*M600+IF(ISNUMBER(O600),O600,1)*P600*Q600+IF(ISNUMBER(S600),S600,1)*T600*U600+IF(ISNUMBER(W600),W600,1)*X600*Y600+IF(ISNUMBER(AA600),AA600,1)*AB600*AC600)*IF(ISNUMBER(F600),F600,1)</f>
        <v>0</v>
      </c>
      <c r="AF600" s="122">
        <f t="shared" si="1118"/>
        <v>0</v>
      </c>
      <c r="AG600" s="200">
        <f t="shared" ref="AG600:AG607" si="1195">IFERROR((AF600/(AH600*IF(ISNUMBER(F600),F600,1))),0)</f>
        <v>0</v>
      </c>
      <c r="AH600" s="169" t="str">
        <f t="shared" ref="AH600:AH607" si="1196">IF(ISNUMBER(AH544), AH544+(AH544*$AH$562),"")</f>
        <v/>
      </c>
      <c r="AI600" s="122">
        <f> ( IF(ISNUMBER(G600), VLOOKUP(G600/$AH600,F!$A1:$B101,2,1)*G600*$H600*$I600,0)+IF(ISNUMBER(K600), VLOOKUP(K600/$AH600,F!$A1:$B101,2,1)*K600*$L600*$M600,0)+IF(ISNUMBER(O600), VLOOKUP(O600/$AH600,F!$A1:$B101,2,1)*O600*$P600*$Q600,0)+IF(ISNUMBER(S600), VLOOKUP(S600/$AH600,F!$A1:$B101,2,1)*S600*$T600*$U600,0)+IF(ISNUMBER(W600), VLOOKUP(W600/$AH600,F!$A1:$B101,2,1)*W600*$X600*$Y600,0)+IF(ISNUMBER(AA600), VLOOKUP(AA600/$AH600,F!$A1:$B101,2,1)*AA600*$AB600*$AC600,0))*IF(ISNUMBER(F600),F600,1)*IF(ISNUMBER(E600),E600,1)</f>
        <v>0</v>
      </c>
      <c r="AJ600" s="119">
        <f t="shared" ref="AJ600:AJ607" si="1197">H600*I600+L600*M600+P600*Q600+T600*U600+X600*Y600+AB600*AC600</f>
        <v>0</v>
      </c>
      <c r="AK600" s="125">
        <f t="array" ref="AK600">IFERROR(I600*INDEX(F!$P$21:$AB$33, MATCH(G600/$AH600, F!$O$21:$O$33,1), MATCH(E600, F!$P$20:$AB$20,1)), 0 ) +IFERROR( M600*INDEX(F!$P$21:$AB$33, MATCH(K600/$AH600, F!$O$21:$O$33,1), MATCH(E600, F!$P$20:$AB$20,1)),0) +  IFERROR( Q600*INDEX(F!$P$21:$AB$33, MATCH(O600/$AH600, F!$O$21:$O$33,1), MATCH(E600, F!$P$20:$AB$20,1)), 0) + IFERROR( U600*INDEX(F!$P$21:$AB$33, MATCH(S600/$AH600, F!$O$21:$O$33,1), MATCH(E600, F!$P$20:$AB$20,1)),0)  + IFERROR(Y600*INDEX(F!$P$21:$AB$33, MATCH(W600/$AH600, F!$O$21:$O$33,1), MATCH(E600, F!$P$20:$AB$20,1)),0)  + IFERROR( AC600*INDEX(F!$P$21:$AB$33, MATCH(AA600/$AH600, F!$O$21:$O$33,1), MATCH(E600, F!$P$20:$AB$20,1)),)</f>
        <v>0</v>
      </c>
      <c r="AL600" s="42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ht="15.75" hidden="1" customHeight="1">
      <c r="A601" s="44">
        <f>A545+A506</f>
        <v>43856</v>
      </c>
      <c r="B601" s="126" t="str">
        <f t="shared" ref="B601:F601" si="1187">IF(B545="","",B545)</f>
        <v/>
      </c>
      <c r="C601" s="127" t="str">
        <f t="shared" si="1187"/>
        <v/>
      </c>
      <c r="D601" s="128" t="str">
        <f t="shared" si="1187"/>
        <v/>
      </c>
      <c r="E601" s="48" t="str">
        <f t="shared" si="1187"/>
        <v/>
      </c>
      <c r="F601" s="129" t="str">
        <f t="shared" si="1187"/>
        <v/>
      </c>
      <c r="G601" s="130" t="str">
        <f t="shared" si="1188"/>
        <v/>
      </c>
      <c r="H601" s="34"/>
      <c r="I601" s="34"/>
      <c r="J601" s="65"/>
      <c r="K601" s="130" t="str">
        <f t="shared" si="1189"/>
        <v/>
      </c>
      <c r="L601" s="34"/>
      <c r="M601" s="34"/>
      <c r="N601" s="65"/>
      <c r="O601" s="130" t="str">
        <f t="shared" si="1190"/>
        <v/>
      </c>
      <c r="P601" s="34"/>
      <c r="Q601" s="34"/>
      <c r="R601" s="65"/>
      <c r="S601" s="130" t="str">
        <f t="shared" si="1191"/>
        <v/>
      </c>
      <c r="T601" s="34"/>
      <c r="U601" s="34"/>
      <c r="V601" s="65"/>
      <c r="W601" s="130" t="str">
        <f t="shared" si="1192"/>
        <v/>
      </c>
      <c r="X601" s="34"/>
      <c r="Y601" s="34"/>
      <c r="Z601" s="65"/>
      <c r="AA601" s="130" t="str">
        <f t="shared" si="1193"/>
        <v/>
      </c>
      <c r="AB601" s="34"/>
      <c r="AC601" s="34"/>
      <c r="AD601" s="65"/>
      <c r="AE601" s="131">
        <f t="shared" si="1194"/>
        <v>0</v>
      </c>
      <c r="AF601" s="132">
        <f t="shared" si="1118"/>
        <v>0</v>
      </c>
      <c r="AG601" s="133">
        <f t="shared" si="1195"/>
        <v>0</v>
      </c>
      <c r="AH601" s="76" t="str">
        <f t="shared" si="1196"/>
        <v/>
      </c>
      <c r="AI601" s="132">
        <f> ( IF(ISNUMBER(G601), VLOOKUP(G601/$AH601,F!$A1:$B101,2,1)*G601*$H601*$I601,0)+IF(ISNUMBER(K601), VLOOKUP(K601/$AH601,F!$A1:$B101,2,1)*K601*$L601*$M601,0)+IF(ISNUMBER(O601), VLOOKUP(O601/$AH601,F!$A1:$B101,2,1)*O601*$P601*$Q601,0)+IF(ISNUMBER(S601), VLOOKUP(S601/$AH601,F!$A1:$B101,2,1)*S601*$T601*$U601,0)+IF(ISNUMBER(W601), VLOOKUP(W601/$AH601,F!$A1:$B101,2,1)*W601*$X601*$Y601,0)+IF(ISNUMBER(AA601), VLOOKUP(AA601/$AH601,F!$A1:$B101,2,1)*AA601*$AB601*$AC601,0))*IF(ISNUMBER(F601),F601,1)*IF(ISNUMBER(E601),E601,1)</f>
        <v>0</v>
      </c>
      <c r="AJ601" s="34">
        <f t="shared" si="1197"/>
        <v>0</v>
      </c>
      <c r="AK601" s="134">
        <f t="array" ref="AK601">IFERROR(I601*INDEX(F!$P$21:$AB$33, MATCH(G601/$AH601, F!$O$21:$O$33,1), MATCH(E601, F!$P$20:$AB$20,1)), 0 ) +IFERROR( M601*INDEX(F!$P$21:$AB$33, MATCH(K601/$AH601, F!$O$21:$O$33,1), MATCH(E601, F!$P$20:$AB$20,1)),0) +  IFERROR( Q601*INDEX(F!$P$21:$AB$33, MATCH(O601/$AH601, F!$O$21:$O$33,1), MATCH(E601, F!$P$20:$AB$20,1)), 0) + IFERROR( U601*INDEX(F!$P$21:$AB$33, MATCH(S601/$AH601, F!$O$21:$O$33,1), MATCH(E601, F!$P$20:$AB$20,1)),0)  + IFERROR(Y601*INDEX(F!$P$21:$AB$33, MATCH(W601/$AH601, F!$O$21:$O$33,1), MATCH(E601, F!$P$20:$AB$20,1)),0)  + IFERROR( AC601*INDEX(F!$P$21:$AB$33, MATCH(AA601/$AH601, F!$O$21:$O$33,1), MATCH(E601, F!$P$20:$AB$20,1)),)</f>
        <v>0</v>
      </c>
      <c r="AL601" s="59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ht="15.75" hidden="1" customHeight="1">
      <c r="A602" s="59"/>
      <c r="B602" s="135" t="str">
        <f t="shared" ref="B602:F602" si="1198">IF(B546="","",B546)</f>
        <v/>
      </c>
      <c r="C602" s="136" t="str">
        <f t="shared" si="1198"/>
        <v/>
      </c>
      <c r="D602" s="137" t="str">
        <f t="shared" si="1198"/>
        <v/>
      </c>
      <c r="E602" s="48" t="str">
        <f t="shared" si="1198"/>
        <v/>
      </c>
      <c r="F602" s="138" t="str">
        <f t="shared" si="1198"/>
        <v/>
      </c>
      <c r="G602" s="139" t="str">
        <f t="shared" si="1188"/>
        <v/>
      </c>
      <c r="H602" s="140"/>
      <c r="I602" s="140"/>
      <c r="J602" s="141"/>
      <c r="K602" s="139" t="str">
        <f t="shared" si="1189"/>
        <v/>
      </c>
      <c r="L602" s="140"/>
      <c r="M602" s="140"/>
      <c r="N602" s="141"/>
      <c r="O602" s="139" t="str">
        <f t="shared" si="1190"/>
        <v/>
      </c>
      <c r="P602" s="140"/>
      <c r="Q602" s="140"/>
      <c r="R602" s="141"/>
      <c r="S602" s="139" t="str">
        <f t="shared" si="1191"/>
        <v/>
      </c>
      <c r="T602" s="140"/>
      <c r="U602" s="140"/>
      <c r="V602" s="141"/>
      <c r="W602" s="139" t="str">
        <f t="shared" si="1192"/>
        <v/>
      </c>
      <c r="X602" s="140"/>
      <c r="Y602" s="140"/>
      <c r="Z602" s="141"/>
      <c r="AA602" s="139" t="str">
        <f t="shared" si="1193"/>
        <v/>
      </c>
      <c r="AB602" s="140"/>
      <c r="AC602" s="140"/>
      <c r="AD602" s="141"/>
      <c r="AE602" s="142">
        <f t="shared" si="1194"/>
        <v>0</v>
      </c>
      <c r="AF602" s="143">
        <f t="shared" si="1118"/>
        <v>0</v>
      </c>
      <c r="AG602" s="144">
        <f t="shared" si="1195"/>
        <v>0</v>
      </c>
      <c r="AH602" s="76" t="str">
        <f t="shared" si="1196"/>
        <v/>
      </c>
      <c r="AI602" s="143">
        <f> ( IF(ISNUMBER(G602), VLOOKUP(G602/$AH602,F!$A1:$B101,2,1)*G602*$H602*$I602,0)+IF(ISNUMBER(K602), VLOOKUP(K602/$AH602,F!$A1:$B101,2,1)*K602*$L602*$M602,0)+IF(ISNUMBER(O602), VLOOKUP(O602/$AH602,F!$A1:$B101,2,1)*O602*$P602*$Q602,0)+IF(ISNUMBER(S602), VLOOKUP(S602/$AH602,F!$A1:$B101,2,1)*S602*$T602*$U602,0)+IF(ISNUMBER(W602), VLOOKUP(W602/$AH602,F!$A1:$B101,2,1)*W602*$X602*$Y602,0)+IF(ISNUMBER(AA602), VLOOKUP(AA602/$AH602,F!$A1:$B101,2,1)*AA602*$AB602*$AC602,0))*IF(ISNUMBER(F602),F602,1)*IF(ISNUMBER(E602),E602,1)</f>
        <v>0</v>
      </c>
      <c r="AJ602" s="140">
        <f t="shared" si="1197"/>
        <v>0</v>
      </c>
      <c r="AK602" s="145">
        <f t="array" ref="AK602">IFERROR(I602*INDEX(F!$P$21:$AB$33, MATCH(G602/$AH602, F!$O$21:$O$33,1), MATCH(E602, F!$P$20:$AB$20,1)), 0 ) +IFERROR( M602*INDEX(F!$P$21:$AB$33, MATCH(K602/$AH602, F!$O$21:$O$33,1), MATCH(E602, F!$P$20:$AB$20,1)),0) +  IFERROR( Q602*INDEX(F!$P$21:$AB$33, MATCH(O602/$AH602, F!$O$21:$O$33,1), MATCH(E602, F!$P$20:$AB$20,1)), 0) + IFERROR( U602*INDEX(F!$P$21:$AB$33, MATCH(S602/$AH602, F!$O$21:$O$33,1), MATCH(E602, F!$P$20:$AB$20,1)),0)  + IFERROR(Y602*INDEX(F!$P$21:$AB$33, MATCH(W602/$AH602, F!$O$21:$O$33,1), MATCH(E602, F!$P$20:$AB$20,1)),0)  + IFERROR( AC602*INDEX(F!$P$21:$AB$33, MATCH(AA602/$AH602, F!$O$21:$O$33,1), MATCH(E602, F!$P$20:$AB$20,1)),)</f>
        <v>0</v>
      </c>
      <c r="AL602" s="59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ht="15.75" hidden="1" customHeight="1">
      <c r="A603" s="59"/>
      <c r="B603" s="126" t="str">
        <f t="shared" ref="B603:F603" si="1199">IF(B547="","",B547)</f>
        <v/>
      </c>
      <c r="C603" s="127" t="str">
        <f t="shared" si="1199"/>
        <v/>
      </c>
      <c r="D603" s="128" t="str">
        <f t="shared" si="1199"/>
        <v/>
      </c>
      <c r="E603" s="48" t="str">
        <f t="shared" si="1199"/>
        <v/>
      </c>
      <c r="F603" s="129" t="str">
        <f t="shared" si="1199"/>
        <v/>
      </c>
      <c r="G603" s="130" t="str">
        <f t="shared" si="1188"/>
        <v/>
      </c>
      <c r="H603" s="34"/>
      <c r="I603" s="34"/>
      <c r="J603" s="65"/>
      <c r="K603" s="130" t="str">
        <f t="shared" si="1189"/>
        <v/>
      </c>
      <c r="L603" s="34"/>
      <c r="M603" s="34"/>
      <c r="N603" s="65"/>
      <c r="O603" s="130" t="str">
        <f t="shared" si="1190"/>
        <v/>
      </c>
      <c r="P603" s="34"/>
      <c r="Q603" s="34"/>
      <c r="R603" s="65"/>
      <c r="S603" s="130" t="str">
        <f t="shared" si="1191"/>
        <v/>
      </c>
      <c r="T603" s="34"/>
      <c r="U603" s="34"/>
      <c r="V603" s="65"/>
      <c r="W603" s="130" t="str">
        <f t="shared" si="1192"/>
        <v/>
      </c>
      <c r="X603" s="34"/>
      <c r="Y603" s="34"/>
      <c r="Z603" s="65"/>
      <c r="AA603" s="130" t="str">
        <f t="shared" si="1193"/>
        <v/>
      </c>
      <c r="AB603" s="34"/>
      <c r="AC603" s="34"/>
      <c r="AD603" s="65"/>
      <c r="AE603" s="131">
        <f t="shared" si="1194"/>
        <v>0</v>
      </c>
      <c r="AF603" s="132">
        <f t="shared" si="1118"/>
        <v>0</v>
      </c>
      <c r="AG603" s="133">
        <f t="shared" si="1195"/>
        <v>0</v>
      </c>
      <c r="AH603" s="76" t="str">
        <f t="shared" si="1196"/>
        <v/>
      </c>
      <c r="AI603" s="132">
        <f> ( IF(ISNUMBER(G603), VLOOKUP(G603/$AH603,F!$A1:$B101,2,1)*G603*$H603*$I603,0)+IF(ISNUMBER(K603), VLOOKUP(K603/$AH603,F!$A1:$B101,2,1)*K603*$L603*$M603,0)+IF(ISNUMBER(O603), VLOOKUP(O603/$AH603,F!$A1:$B101,2,1)*O603*$P603*$Q603,0)+IF(ISNUMBER(S603), VLOOKUP(S603/$AH603,F!$A1:$B101,2,1)*S603*$T603*$U603,0)+IF(ISNUMBER(W603), VLOOKUP(W603/$AH603,F!$A1:$B101,2,1)*W603*$X603*$Y603,0)+IF(ISNUMBER(AA603), VLOOKUP(AA603/$AH603,F!$A1:$B101,2,1)*AA603*$AB603*$AC603,0))*IF(ISNUMBER(F603),F603,1)*IF(ISNUMBER(E603),E603,1)</f>
        <v>0</v>
      </c>
      <c r="AJ603" s="34">
        <f t="shared" si="1197"/>
        <v>0</v>
      </c>
      <c r="AK603" s="134">
        <f t="array" ref="AK603">IFERROR(I603*INDEX(F!$P$21:$AB$33, MATCH(G603/$AH603, F!$O$21:$O$33,1), MATCH(E603, F!$P$20:$AB$20,1)), 0 ) +IFERROR( M603*INDEX(F!$P$21:$AB$33, MATCH(K603/$AH603, F!$O$21:$O$33,1), MATCH(E603, F!$P$20:$AB$20,1)),0) +  IFERROR( Q603*INDEX(F!$P$21:$AB$33, MATCH(O603/$AH603, F!$O$21:$O$33,1), MATCH(E603, F!$P$20:$AB$20,1)), 0) + IFERROR( U603*INDEX(F!$P$21:$AB$33, MATCH(S603/$AH603, F!$O$21:$O$33,1), MATCH(E603, F!$P$20:$AB$20,1)),0)  + IFERROR(Y603*INDEX(F!$P$21:$AB$33, MATCH(W603/$AH603, F!$O$21:$O$33,1), MATCH(E603, F!$P$20:$AB$20,1)),0)  + IFERROR( AC603*INDEX(F!$P$21:$AB$33, MATCH(AA603/$AH603, F!$O$21:$O$33,1), MATCH(E603, F!$P$20:$AB$20,1)),)</f>
        <v>0</v>
      </c>
      <c r="AL603" s="59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ht="15.75" hidden="1" customHeight="1">
      <c r="A604" s="59"/>
      <c r="B604" s="135" t="str">
        <f t="shared" ref="B604:F604" si="1200">IF(B548="","",B548)</f>
        <v/>
      </c>
      <c r="C604" s="136" t="str">
        <f t="shared" si="1200"/>
        <v/>
      </c>
      <c r="D604" s="137" t="str">
        <f t="shared" si="1200"/>
        <v/>
      </c>
      <c r="E604" s="48" t="str">
        <f t="shared" si="1200"/>
        <v/>
      </c>
      <c r="F604" s="138" t="str">
        <f t="shared" si="1200"/>
        <v/>
      </c>
      <c r="G604" s="139" t="str">
        <f t="shared" si="1188"/>
        <v/>
      </c>
      <c r="H604" s="140"/>
      <c r="I604" s="140"/>
      <c r="J604" s="141"/>
      <c r="K604" s="139" t="str">
        <f t="shared" si="1189"/>
        <v/>
      </c>
      <c r="L604" s="140"/>
      <c r="M604" s="140"/>
      <c r="N604" s="141"/>
      <c r="O604" s="139" t="str">
        <f t="shared" si="1190"/>
        <v/>
      </c>
      <c r="P604" s="140"/>
      <c r="Q604" s="140"/>
      <c r="R604" s="141"/>
      <c r="S604" s="139" t="str">
        <f t="shared" si="1191"/>
        <v/>
      </c>
      <c r="T604" s="140"/>
      <c r="U604" s="140"/>
      <c r="V604" s="141"/>
      <c r="W604" s="139" t="str">
        <f t="shared" si="1192"/>
        <v/>
      </c>
      <c r="X604" s="140"/>
      <c r="Y604" s="140"/>
      <c r="Z604" s="141"/>
      <c r="AA604" s="139" t="str">
        <f t="shared" si="1193"/>
        <v/>
      </c>
      <c r="AB604" s="140"/>
      <c r="AC604" s="140"/>
      <c r="AD604" s="141"/>
      <c r="AE604" s="142">
        <f t="shared" si="1194"/>
        <v>0</v>
      </c>
      <c r="AF604" s="143">
        <f t="shared" si="1118"/>
        <v>0</v>
      </c>
      <c r="AG604" s="144">
        <f t="shared" si="1195"/>
        <v>0</v>
      </c>
      <c r="AH604" s="76" t="str">
        <f t="shared" si="1196"/>
        <v/>
      </c>
      <c r="AI604" s="143">
        <f> ( IF(ISNUMBER(G604), VLOOKUP(G604/$AH604,F!$A1:$B101,2,1)*G604*$H604*$I604,0)+IF(ISNUMBER(K604), VLOOKUP(K604/$AH604,F!$A1:$B101,2,1)*K604*$L604*$M604,0)+IF(ISNUMBER(O604), VLOOKUP(O604/$AH604,F!$A1:$B101,2,1)*O604*$P604*$Q604,0)+IF(ISNUMBER(S604), VLOOKUP(S604/$AH604,F!$A1:$B101,2,1)*S604*$T604*$U604,0)+IF(ISNUMBER(W604), VLOOKUP(W604/$AH604,F!$A1:$B101,2,1)*W604*$X604*$Y604,0)+IF(ISNUMBER(AA604), VLOOKUP(AA604/$AH604,F!$A1:$B101,2,1)*AA604*$AB604*$AC604,0))*IF(ISNUMBER(F604),F604,1)*IF(ISNUMBER(E604),E604,1)</f>
        <v>0</v>
      </c>
      <c r="AJ604" s="140">
        <f t="shared" si="1197"/>
        <v>0</v>
      </c>
      <c r="AK604" s="145">
        <f t="array" ref="AK604">IFERROR(I604*INDEX(F!$P$21:$AB$33, MATCH(G604/$AH604, F!$O$21:$O$33,1), MATCH(E604, F!$P$20:$AB$20,1)), 0 ) +IFERROR( M604*INDEX(F!$P$21:$AB$33, MATCH(K604/$AH604, F!$O$21:$O$33,1), MATCH(E604, F!$P$20:$AB$20,1)),0) +  IFERROR( Q604*INDEX(F!$P$21:$AB$33, MATCH(O604/$AH604, F!$O$21:$O$33,1), MATCH(E604, F!$P$20:$AB$20,1)), 0) + IFERROR( U604*INDEX(F!$P$21:$AB$33, MATCH(S604/$AH604, F!$O$21:$O$33,1), MATCH(E604, F!$P$20:$AB$20,1)),0)  + IFERROR(Y604*INDEX(F!$P$21:$AB$33, MATCH(W604/$AH604, F!$O$21:$O$33,1), MATCH(E604, F!$P$20:$AB$20,1)),0)  + IFERROR( AC604*INDEX(F!$P$21:$AB$33, MATCH(AA604/$AH604, F!$O$21:$O$33,1), MATCH(E604, F!$P$20:$AB$20,1)),)</f>
        <v>0</v>
      </c>
      <c r="AL604" s="59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ht="15.75" hidden="1" customHeight="1">
      <c r="A605" s="59"/>
      <c r="B605" s="126" t="str">
        <f t="shared" ref="B605:F605" si="1201">IF(B549="","",B549)</f>
        <v/>
      </c>
      <c r="C605" s="127" t="str">
        <f t="shared" si="1201"/>
        <v/>
      </c>
      <c r="D605" s="128" t="str">
        <f t="shared" si="1201"/>
        <v/>
      </c>
      <c r="E605" s="48" t="str">
        <f t="shared" si="1201"/>
        <v/>
      </c>
      <c r="F605" s="129" t="str">
        <f t="shared" si="1201"/>
        <v/>
      </c>
      <c r="G605" s="130" t="str">
        <f t="shared" si="1188"/>
        <v/>
      </c>
      <c r="H605" s="34"/>
      <c r="I605" s="34"/>
      <c r="J605" s="65"/>
      <c r="K605" s="130" t="str">
        <f t="shared" si="1189"/>
        <v/>
      </c>
      <c r="L605" s="34"/>
      <c r="M605" s="34"/>
      <c r="N605" s="65"/>
      <c r="O605" s="130" t="str">
        <f t="shared" si="1190"/>
        <v/>
      </c>
      <c r="P605" s="34"/>
      <c r="Q605" s="34"/>
      <c r="R605" s="65"/>
      <c r="S605" s="130" t="str">
        <f t="shared" si="1191"/>
        <v/>
      </c>
      <c r="T605" s="34"/>
      <c r="U605" s="34"/>
      <c r="V605" s="65"/>
      <c r="W605" s="130" t="str">
        <f t="shared" si="1192"/>
        <v/>
      </c>
      <c r="X605" s="34"/>
      <c r="Y605" s="34"/>
      <c r="Z605" s="65"/>
      <c r="AA605" s="130" t="str">
        <f t="shared" si="1193"/>
        <v/>
      </c>
      <c r="AB605" s="34"/>
      <c r="AC605" s="34"/>
      <c r="AD605" s="65"/>
      <c r="AE605" s="131">
        <f t="shared" si="1194"/>
        <v>0</v>
      </c>
      <c r="AF605" s="132">
        <f t="shared" si="1118"/>
        <v>0</v>
      </c>
      <c r="AG605" s="133">
        <f t="shared" si="1195"/>
        <v>0</v>
      </c>
      <c r="AH605" s="76" t="str">
        <f t="shared" si="1196"/>
        <v/>
      </c>
      <c r="AI605" s="132">
        <f> ( IF(ISNUMBER(G605), VLOOKUP(G605/$AH605,F!$A1:$B101,2,1)*G605*$H605*$I605,0)+IF(ISNUMBER(K605), VLOOKUP(K605/$AH605,F!$A1:$B101,2,1)*K605*$L605*$M605,0)+IF(ISNUMBER(O605), VLOOKUP(O605/$AH605,F!$A1:$B101,2,1)*O605*$P605*$Q605,0)+IF(ISNUMBER(S605), VLOOKUP(S605/$AH605,F!$A1:$B101,2,1)*S605*$T605*$U605,0)+IF(ISNUMBER(W605), VLOOKUP(W605/$AH605,F!$A1:$B101,2,1)*W605*$X605*$Y605,0)+IF(ISNUMBER(AA605), VLOOKUP(AA605/$AH605,F!$A1:$B101,2,1)*AA605*$AB605*$AC605,0))*IF(ISNUMBER(F605),F605,1)*IF(ISNUMBER(E605),E605,1)</f>
        <v>0</v>
      </c>
      <c r="AJ605" s="34">
        <f t="shared" si="1197"/>
        <v>0</v>
      </c>
      <c r="AK605" s="134">
        <f t="array" ref="AK605">IFERROR(I605*INDEX(F!$P$21:$AB$33, MATCH(G605/$AH605, F!$O$21:$O$33,1), MATCH(E605, F!$P$20:$AB$20,1)), 0 ) +IFERROR( M605*INDEX(F!$P$21:$AB$33, MATCH(K605/$AH605, F!$O$21:$O$33,1), MATCH(E605, F!$P$20:$AB$20,1)),0) +  IFERROR( Q605*INDEX(F!$P$21:$AB$33, MATCH(O605/$AH605, F!$O$21:$O$33,1), MATCH(E605, F!$P$20:$AB$20,1)), 0) + IFERROR( U605*INDEX(F!$P$21:$AB$33, MATCH(S605/$AH605, F!$O$21:$O$33,1), MATCH(E605, F!$P$20:$AB$20,1)),0)  + IFERROR(Y605*INDEX(F!$P$21:$AB$33, MATCH(W605/$AH605, F!$O$21:$O$33,1), MATCH(E605, F!$P$20:$AB$20,1)),0)  + IFERROR( AC605*INDEX(F!$P$21:$AB$33, MATCH(AA605/$AH605, F!$O$21:$O$33,1), MATCH(E605, F!$P$20:$AB$20,1)),)</f>
        <v>0</v>
      </c>
      <c r="AL605" s="59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ht="15.75" hidden="1" customHeight="1">
      <c r="A606" s="59"/>
      <c r="B606" s="135" t="str">
        <f t="shared" ref="B606:F606" si="1202">IF(B550="","",B550)</f>
        <v/>
      </c>
      <c r="C606" s="136" t="str">
        <f t="shared" si="1202"/>
        <v/>
      </c>
      <c r="D606" s="137" t="str">
        <f t="shared" si="1202"/>
        <v/>
      </c>
      <c r="E606" s="48" t="str">
        <f t="shared" si="1202"/>
        <v/>
      </c>
      <c r="F606" s="138" t="str">
        <f t="shared" si="1202"/>
        <v/>
      </c>
      <c r="G606" s="139" t="str">
        <f t="shared" si="1188"/>
        <v/>
      </c>
      <c r="H606" s="140"/>
      <c r="I606" s="140"/>
      <c r="J606" s="141"/>
      <c r="K606" s="139" t="str">
        <f t="shared" si="1189"/>
        <v/>
      </c>
      <c r="L606" s="140"/>
      <c r="M606" s="140"/>
      <c r="N606" s="141"/>
      <c r="O606" s="139" t="str">
        <f t="shared" si="1190"/>
        <v/>
      </c>
      <c r="P606" s="140"/>
      <c r="Q606" s="140"/>
      <c r="R606" s="141"/>
      <c r="S606" s="139" t="str">
        <f t="shared" si="1191"/>
        <v/>
      </c>
      <c r="T606" s="140"/>
      <c r="U606" s="140"/>
      <c r="V606" s="141"/>
      <c r="W606" s="139" t="str">
        <f t="shared" si="1192"/>
        <v/>
      </c>
      <c r="X606" s="140"/>
      <c r="Y606" s="140"/>
      <c r="Z606" s="141"/>
      <c r="AA606" s="139" t="str">
        <f t="shared" si="1193"/>
        <v/>
      </c>
      <c r="AB606" s="140"/>
      <c r="AC606" s="140"/>
      <c r="AD606" s="141"/>
      <c r="AE606" s="142">
        <f t="shared" si="1194"/>
        <v>0</v>
      </c>
      <c r="AF606" s="143">
        <f t="shared" si="1118"/>
        <v>0</v>
      </c>
      <c r="AG606" s="144">
        <f t="shared" si="1195"/>
        <v>0</v>
      </c>
      <c r="AH606" s="76" t="str">
        <f t="shared" si="1196"/>
        <v/>
      </c>
      <c r="AI606" s="143">
        <f> ( IF(ISNUMBER(G606), VLOOKUP(G606/$AH606,F!$A1:$B101,2,1)*G606*$H606*$I606,0)+IF(ISNUMBER(K606), VLOOKUP(K606/$AH606,F!$A1:$B101,2,1)*K606*$L606*$M606,0)+IF(ISNUMBER(O606), VLOOKUP(O606/$AH606,F!$A1:$B101,2,1)*O606*$P606*$Q606,0)+IF(ISNUMBER(S606), VLOOKUP(S606/$AH606,F!$A1:$B101,2,1)*S606*$T606*$U606,0)+IF(ISNUMBER(W606), VLOOKUP(W606/$AH606,F!$A1:$B101,2,1)*W606*$X606*$Y606,0)+IF(ISNUMBER(AA606), VLOOKUP(AA606/$AH606,F!$A1:$B101,2,1)*AA606*$AB606*$AC606,0))*IF(ISNUMBER(F606),F606,1)*IF(ISNUMBER(E606),E606,1)</f>
        <v>0</v>
      </c>
      <c r="AJ606" s="140">
        <f t="shared" si="1197"/>
        <v>0</v>
      </c>
      <c r="AK606" s="145">
        <f t="array" ref="AK606">IFERROR(I606*INDEX(F!$P$21:$AB$33, MATCH(G606/$AH606, F!$O$21:$O$33,1), MATCH(E606, F!$P$20:$AB$20,1)), 0 ) +IFERROR( M606*INDEX(F!$P$21:$AB$33, MATCH(K606/$AH606, F!$O$21:$O$33,1), MATCH(E606, F!$P$20:$AB$20,1)),0) +  IFERROR( Q606*INDEX(F!$P$21:$AB$33, MATCH(O606/$AH606, F!$O$21:$O$33,1), MATCH(E606, F!$P$20:$AB$20,1)), 0) + IFERROR( U606*INDEX(F!$P$21:$AB$33, MATCH(S606/$AH606, F!$O$21:$O$33,1), MATCH(E606, F!$P$20:$AB$20,1)),0)  + IFERROR(Y606*INDEX(F!$P$21:$AB$33, MATCH(W606/$AH606, F!$O$21:$O$33,1), MATCH(E606, F!$P$20:$AB$20,1)),0)  + IFERROR( AC606*INDEX(F!$P$21:$AB$33, MATCH(AA606/$AH606, F!$O$21:$O$33,1), MATCH(E606, F!$P$20:$AB$20,1)),)</f>
        <v>0</v>
      </c>
      <c r="AL606" s="59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ht="15.75" hidden="1" customHeight="1">
      <c r="A607" s="59"/>
      <c r="B607" s="126" t="str">
        <f t="shared" ref="B607:F607" si="1203">IF(B551="","",B551)</f>
        <v/>
      </c>
      <c r="C607" s="127" t="str">
        <f t="shared" si="1203"/>
        <v/>
      </c>
      <c r="D607" s="128" t="str">
        <f t="shared" si="1203"/>
        <v/>
      </c>
      <c r="E607" s="48" t="str">
        <f t="shared" si="1203"/>
        <v/>
      </c>
      <c r="F607" s="129" t="str">
        <f t="shared" si="1203"/>
        <v/>
      </c>
      <c r="G607" s="130" t="str">
        <f t="shared" si="1188"/>
        <v/>
      </c>
      <c r="H607" s="34"/>
      <c r="I607" s="34"/>
      <c r="J607" s="65"/>
      <c r="K607" s="130" t="str">
        <f t="shared" si="1189"/>
        <v/>
      </c>
      <c r="L607" s="34"/>
      <c r="M607" s="34"/>
      <c r="N607" s="65"/>
      <c r="O607" s="130" t="str">
        <f t="shared" si="1190"/>
        <v/>
      </c>
      <c r="P607" s="34"/>
      <c r="Q607" s="34"/>
      <c r="R607" s="65"/>
      <c r="S607" s="130" t="str">
        <f t="shared" si="1191"/>
        <v/>
      </c>
      <c r="T607" s="34"/>
      <c r="U607" s="34"/>
      <c r="V607" s="65"/>
      <c r="W607" s="130" t="str">
        <f t="shared" si="1192"/>
        <v/>
      </c>
      <c r="X607" s="34"/>
      <c r="Y607" s="34"/>
      <c r="Z607" s="65"/>
      <c r="AA607" s="130" t="str">
        <f t="shared" si="1193"/>
        <v/>
      </c>
      <c r="AB607" s="34"/>
      <c r="AC607" s="34"/>
      <c r="AD607" s="65"/>
      <c r="AE607" s="131">
        <f t="shared" si="1194"/>
        <v>0</v>
      </c>
      <c r="AF607" s="132">
        <f t="shared" si="1118"/>
        <v>0</v>
      </c>
      <c r="AG607" s="133">
        <f t="shared" si="1195"/>
        <v>0</v>
      </c>
      <c r="AH607" s="76" t="str">
        <f t="shared" si="1196"/>
        <v/>
      </c>
      <c r="AI607" s="132">
        <f> ( IF(ISNUMBER(G607), VLOOKUP(G607/$AH607,F!$A1:$B101,2,1)*G607*$H607*$I607,0)+IF(ISNUMBER(K607), VLOOKUP(K607/$AH607,F!$A1:$B101,2,1)*K607*$L607*$M607,0)+IF(ISNUMBER(O607), VLOOKUP(O607/$AH607,F!$A1:$B101,2,1)*O607*$P607*$Q607,0)+IF(ISNUMBER(S607), VLOOKUP(S607/$AH607,F!$A1:$B101,2,1)*S607*$T607*$U607,0)+IF(ISNUMBER(W607), VLOOKUP(W607/$AH607,F!$A1:$B101,2,1)*W607*$X607*$Y607,0)+IF(ISNUMBER(AA607), VLOOKUP(AA607/$AH607,F!$A1:$B101,2,1)*AA607*$AB607*$AC607,0))*IF(ISNUMBER(F607),F607,1)*IF(ISNUMBER(E607),E607,1)</f>
        <v>0</v>
      </c>
      <c r="AJ607" s="34">
        <f t="shared" si="1197"/>
        <v>0</v>
      </c>
      <c r="AK607" s="134">
        <f t="array" ref="AK607">IFERROR(I607*INDEX(F!$P$21:$AB$33, MATCH(G607/$AH607, F!$O$21:$O$33,1), MATCH(E607, F!$P$20:$AB$20,1)), 0 ) +IFERROR( M607*INDEX(F!$P$21:$AB$33, MATCH(K607/$AH607, F!$O$21:$O$33,1), MATCH(E607, F!$P$20:$AB$20,1)),0) +  IFERROR( Q607*INDEX(F!$P$21:$AB$33, MATCH(O607/$AH607, F!$O$21:$O$33,1), MATCH(E607, F!$P$20:$AB$20,1)), 0) + IFERROR( U607*INDEX(F!$P$21:$AB$33, MATCH(S607/$AH607, F!$O$21:$O$33,1), MATCH(E607, F!$P$20:$AB$20,1)),0)  + IFERROR(Y607*INDEX(F!$P$21:$AB$33, MATCH(W607/$AH607, F!$O$21:$O$33,1), MATCH(E607, F!$P$20:$AB$20,1)),0)  + IFERROR( AC607*INDEX(F!$P$21:$AB$33, MATCH(AA607/$AH607, F!$O$21:$O$33,1), MATCH(E607, F!$P$20:$AB$20,1)),)</f>
        <v>0</v>
      </c>
      <c r="AL607" s="59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ht="15.75" hidden="1" customHeight="1">
      <c r="A608" s="98"/>
      <c r="B608" s="150"/>
      <c r="C608" s="151"/>
      <c r="D608" s="152"/>
      <c r="E608" s="102">
        <f>ROUND(IFERROR(SUMPRODUCT(AJ600:AJ607,E600:E607)/AJ608,0),3)</f>
        <v>0</v>
      </c>
      <c r="F608" s="153"/>
      <c r="G608" s="154"/>
      <c r="H608" s="155"/>
      <c r="I608" s="155"/>
      <c r="J608" s="156"/>
      <c r="K608" s="154"/>
      <c r="L608" s="155"/>
      <c r="M608" s="155"/>
      <c r="N608" s="156"/>
      <c r="O608" s="154"/>
      <c r="P608" s="155"/>
      <c r="Q608" s="155"/>
      <c r="R608" s="156"/>
      <c r="S608" s="154"/>
      <c r="T608" s="155"/>
      <c r="U608" s="155"/>
      <c r="V608" s="156"/>
      <c r="W608" s="154"/>
      <c r="X608" s="155"/>
      <c r="Y608" s="155"/>
      <c r="Z608" s="156"/>
      <c r="AA608" s="154"/>
      <c r="AB608" s="155"/>
      <c r="AC608" s="155"/>
      <c r="AD608" s="156"/>
      <c r="AE608" s="107">
        <f>SUM(AE600:AE607)</f>
        <v>0</v>
      </c>
      <c r="AF608" s="108">
        <f t="shared" si="1118"/>
        <v>0</v>
      </c>
      <c r="AG608" s="109">
        <f>IFERROR(  SUMPRODUCT(AG600:AG607,AJ600:AJ607)/AJ608,0)</f>
        <v>0</v>
      </c>
      <c r="AH608" s="157"/>
      <c r="AI608" s="111">
        <f t="shared" ref="AI608:AJ608" si="1204">SUM(AI600:AI607)</f>
        <v>0</v>
      </c>
      <c r="AJ608" s="111">
        <f t="shared" si="1204"/>
        <v>0</v>
      </c>
      <c r="AK608" s="112">
        <f>IF(SUM(AK600:AK607)=0,TIME(,0,),TIME(,SUM(AK600:AK607)+F!$V$37,))</f>
        <v>0</v>
      </c>
      <c r="AL608" s="98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ht="15.75" hidden="1" customHeight="1">
      <c r="A609" s="158">
        <f>A610</f>
        <v>43857</v>
      </c>
      <c r="B609" s="159" t="str">
        <f t="shared" ref="B609:F609" si="1205">IF(B553="","",B553)</f>
        <v/>
      </c>
      <c r="C609" s="160" t="str">
        <f t="shared" si="1205"/>
        <v/>
      </c>
      <c r="D609" s="161" t="str">
        <f t="shared" si="1205"/>
        <v/>
      </c>
      <c r="E609" s="29" t="str">
        <f t="shared" si="1205"/>
        <v/>
      </c>
      <c r="F609" s="162" t="str">
        <f t="shared" si="1205"/>
        <v/>
      </c>
      <c r="G609" s="163" t="str">
        <f t="shared" ref="G609:G616" si="1207">IF(J609&lt;&gt;0, IFERROR(IF( $F609=2,  MROUND($AH609*J609,1),    IF( OR($F609="",$F609=1),   MROUND($AH609*J609,2.5),  MROUND($AH609*J609, 0.1))), "" ), "")</f>
        <v/>
      </c>
      <c r="H609" s="164"/>
      <c r="I609" s="164"/>
      <c r="J609" s="165"/>
      <c r="K609" s="163" t="str">
        <f t="shared" ref="K609:K616" si="1208">IF(N609&lt;&gt;0, IFERROR(IF( $F609=2,  MROUND($AH609*N609,1),    IF( OR($F609="",$F609=1),   MROUND($AH609*N609,2.5),  MROUND($AH609*N609, 0.1))), "" ), "")</f>
        <v/>
      </c>
      <c r="L609" s="164"/>
      <c r="M609" s="164"/>
      <c r="N609" s="165"/>
      <c r="O609" s="163" t="str">
        <f t="shared" ref="O609:O616" si="1209">IF(R609&lt;&gt;0, IFERROR(IF( $F609=2,  MROUND($AH609*R609,1),    IF( OR($F609="",$F609=1),   MROUND($AH609*R609,2.5),  MROUND($AH609*R609, 0.1))), "" ), "")</f>
        <v/>
      </c>
      <c r="P609" s="164"/>
      <c r="Q609" s="164"/>
      <c r="R609" s="165"/>
      <c r="S609" s="163" t="str">
        <f t="shared" ref="S609:S616" si="1210">IF(V609&lt;&gt;0, IFERROR(IF( $F609=2,  MROUND($AH609*V609,1),    IF( OR($F609="",$F609=1),   MROUND($AH609*V609,2.5),  MROUND($AH609*V609, 0.1))), "" ), "")</f>
        <v/>
      </c>
      <c r="T609" s="164"/>
      <c r="U609" s="164"/>
      <c r="V609" s="165"/>
      <c r="W609" s="163" t="str">
        <f t="shared" ref="W609:W616" si="1211">IF(Z609&lt;&gt;0, IFERROR(IF( $F609=2,  MROUND($AH609*Z609,1),    IF( OR($F609="",$F609=1),   MROUND($AH609*Z609,2.5),  MROUND($AH609*Z609, 0.1))), "" ), "")</f>
        <v/>
      </c>
      <c r="X609" s="164"/>
      <c r="Y609" s="164"/>
      <c r="Z609" s="165"/>
      <c r="AA609" s="163" t="str">
        <f t="shared" ref="AA609:AA616" si="1212">IF(AD609&lt;&gt;0, IFERROR(IF( $F609=2,  MROUND($AH609*AD609,1),    IF( OR($F609="",$F609=1),   MROUND($AH609*AD609,2.5),  MROUND($AH609*AD609, 0.1))), "" ), "")</f>
        <v/>
      </c>
      <c r="AB609" s="164"/>
      <c r="AC609" s="164"/>
      <c r="AD609" s="165"/>
      <c r="AE609" s="166">
        <f t="shared" ref="AE609:AE616" si="1213">(IF(ISNUMBER(G609),G609,0)*H609*I609+IF(ISNUMBER(K609),K609,1)*L609*M609+IF(ISNUMBER(O609),O609,1)*P609*Q609+IF(ISNUMBER(S609),S609,1)*T609*U609+IF(ISNUMBER(W609),W609,1)*X609*Y609+IF(ISNUMBER(AA609),AA609,1)*AB609*AC609)*IF(ISNUMBER(F609),F609,1)</f>
        <v>0</v>
      </c>
      <c r="AF609" s="167">
        <f t="shared" si="1118"/>
        <v>0</v>
      </c>
      <c r="AG609" s="168">
        <f t="shared" ref="AG609:AG616" si="1214">IFERROR((AF609/(AH609*IF(ISNUMBER(F609),F609,1))),0)</f>
        <v>0</v>
      </c>
      <c r="AH609" s="169" t="str">
        <f t="shared" ref="AH609:AH616" si="1215">IF(ISNUMBER(AH553), AH553+(AH553*$AH$562),"")</f>
        <v/>
      </c>
      <c r="AI609" s="167">
        <f> ( IF(ISNUMBER(G609), VLOOKUP(G609/$AH609,F!$A1:$B101,2,1)*G609*$H609*$I609,0)+IF(ISNUMBER(K609), VLOOKUP(K609/$AH609,F!$A1:$B101,2,1)*K609*$L609*$M609,0)+IF(ISNUMBER(O609), VLOOKUP(O609/$AH609,F!$A1:$B101,2,1)*O609*$P609*$Q609,0)+IF(ISNUMBER(S609), VLOOKUP(S609/$AH609,F!$A1:$B101,2,1)*S609*$T609*$U609,0)+IF(ISNUMBER(W609), VLOOKUP(W609/$AH609,F!$A1:$B101,2,1)*W609*$X609*$Y609,0)+IF(ISNUMBER(AA609), VLOOKUP(AA609/$AH609,F!$A1:$B101,2,1)*AA609*$AB609*$AC609,0))*IF(ISNUMBER(F609),F609,1)*IF(ISNUMBER(E609),E609,1)</f>
        <v>0</v>
      </c>
      <c r="AJ609" s="164">
        <f t="shared" ref="AJ609:AJ616" si="1216">H609*I609+L609*M609+P609*Q609+T609*U609+X609*Y609+AB609*AC609</f>
        <v>0</v>
      </c>
      <c r="AK609" s="170">
        <f t="array" ref="AK609">IFERROR(I609*INDEX(F!$P$21:$AB$33, MATCH(G609/$AH609, F!$O$21:$O$33,1), MATCH(E609, F!$P$20:$AB$20,1)), 0 ) +IFERROR( M609*INDEX(F!$P$21:$AB$33, MATCH(K609/$AH609, F!$O$21:$O$33,1), MATCH(E609, F!$P$20:$AB$20,1)),0) +  IFERROR( Q609*INDEX(F!$P$21:$AB$33, MATCH(O609/$AH609, F!$O$21:$O$33,1), MATCH(E609, F!$P$20:$AB$20,1)), 0) + IFERROR( U609*INDEX(F!$P$21:$AB$33, MATCH(S609/$AH609, F!$O$21:$O$33,1), MATCH(E609, F!$P$20:$AB$20,1)),0)  + IFERROR(Y609*INDEX(F!$P$21:$AB$33, MATCH(W609/$AH609, F!$O$21:$O$33,1), MATCH(E609, F!$P$20:$AB$20,1)),0)  + IFERROR( AC609*INDEX(F!$P$21:$AB$33, MATCH(AA609/$AH609, F!$O$21:$O$33,1), MATCH(E609, F!$P$20:$AB$20,1)),)</f>
        <v>0</v>
      </c>
      <c r="AL609" s="42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ht="15.75" hidden="1" customHeight="1">
      <c r="A610" s="44">
        <f>A554+A506</f>
        <v>43857</v>
      </c>
      <c r="B610" s="135" t="str">
        <f t="shared" ref="B610:F610" si="1206">IF(B554="","",B554)</f>
        <v/>
      </c>
      <c r="C610" s="136" t="str">
        <f t="shared" si="1206"/>
        <v/>
      </c>
      <c r="D610" s="137" t="str">
        <f t="shared" si="1206"/>
        <v/>
      </c>
      <c r="E610" s="48" t="str">
        <f t="shared" si="1206"/>
        <v/>
      </c>
      <c r="F610" s="138" t="str">
        <f t="shared" si="1206"/>
        <v/>
      </c>
      <c r="G610" s="139" t="str">
        <f t="shared" si="1207"/>
        <v/>
      </c>
      <c r="H610" s="140"/>
      <c r="I610" s="140"/>
      <c r="J610" s="141"/>
      <c r="K610" s="139" t="str">
        <f t="shared" si="1208"/>
        <v/>
      </c>
      <c r="L610" s="140"/>
      <c r="M610" s="140"/>
      <c r="N610" s="141"/>
      <c r="O610" s="139" t="str">
        <f t="shared" si="1209"/>
        <v/>
      </c>
      <c r="P610" s="140"/>
      <c r="Q610" s="140"/>
      <c r="R610" s="141"/>
      <c r="S610" s="139" t="str">
        <f t="shared" si="1210"/>
        <v/>
      </c>
      <c r="T610" s="140"/>
      <c r="U610" s="140"/>
      <c r="V610" s="141"/>
      <c r="W610" s="139" t="str">
        <f t="shared" si="1211"/>
        <v/>
      </c>
      <c r="X610" s="140"/>
      <c r="Y610" s="140"/>
      <c r="Z610" s="141"/>
      <c r="AA610" s="139" t="str">
        <f t="shared" si="1212"/>
        <v/>
      </c>
      <c r="AB610" s="140"/>
      <c r="AC610" s="140"/>
      <c r="AD610" s="141"/>
      <c r="AE610" s="142">
        <f t="shared" si="1213"/>
        <v>0</v>
      </c>
      <c r="AF610" s="143">
        <f t="shared" si="1118"/>
        <v>0</v>
      </c>
      <c r="AG610" s="144">
        <f t="shared" si="1214"/>
        <v>0</v>
      </c>
      <c r="AH610" s="76" t="str">
        <f t="shared" si="1215"/>
        <v/>
      </c>
      <c r="AI610" s="143">
        <f> ( IF(ISNUMBER(G610), VLOOKUP(G610/$AH610,F!$A1:$B101,2,1)*G610*$H610*$I610,0)+IF(ISNUMBER(K610), VLOOKUP(K610/$AH610,F!$A1:$B101,2,1)*K610*$L610*$M610,0)+IF(ISNUMBER(O610), VLOOKUP(O610/$AH610,F!$A1:$B101,2,1)*O610*$P610*$Q610,0)+IF(ISNUMBER(S610), VLOOKUP(S610/$AH610,F!$A1:$B101,2,1)*S610*$T610*$U610,0)+IF(ISNUMBER(W610), VLOOKUP(W610/$AH610,F!$A1:$B101,2,1)*W610*$X610*$Y610,0)+IF(ISNUMBER(AA610), VLOOKUP(AA610/$AH610,F!$A1:$B101,2,1)*AA610*$AB610*$AC610,0))*IF(ISNUMBER(F610),F610,1)*IF(ISNUMBER(E610),E610,1)</f>
        <v>0</v>
      </c>
      <c r="AJ610" s="140">
        <f t="shared" si="1216"/>
        <v>0</v>
      </c>
      <c r="AK610" s="145">
        <f t="array" ref="AK610">IFERROR(I610*INDEX(F!$P$21:$AB$33, MATCH(G610/$AH610, F!$O$21:$O$33,1), MATCH(E610, F!$P$20:$AB$20,1)), 0 ) +IFERROR( M610*INDEX(F!$P$21:$AB$33, MATCH(K610/$AH610, F!$O$21:$O$33,1), MATCH(E610, F!$P$20:$AB$20,1)),0) +  IFERROR( Q610*INDEX(F!$P$21:$AB$33, MATCH(O610/$AH610, F!$O$21:$O$33,1), MATCH(E610, F!$P$20:$AB$20,1)), 0) + IFERROR( U610*INDEX(F!$P$21:$AB$33, MATCH(S610/$AH610, F!$O$21:$O$33,1), MATCH(E610, F!$P$20:$AB$20,1)),0)  + IFERROR(Y610*INDEX(F!$P$21:$AB$33, MATCH(W610/$AH610, F!$O$21:$O$33,1), MATCH(E610, F!$P$20:$AB$20,1)),0)  + IFERROR( AC610*INDEX(F!$P$21:$AB$33, MATCH(AA610/$AH610, F!$O$21:$O$33,1), MATCH(E610, F!$P$20:$AB$20,1)),)</f>
        <v>0</v>
      </c>
      <c r="AL610" s="59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ht="15.75" hidden="1" customHeight="1">
      <c r="A611" s="59"/>
      <c r="B611" s="173" t="str">
        <f t="shared" ref="B611:F611" si="1217">IF(B555="","",B555)</f>
        <v/>
      </c>
      <c r="C611" s="174" t="str">
        <f t="shared" si="1217"/>
        <v/>
      </c>
      <c r="D611" s="175" t="str">
        <f t="shared" si="1217"/>
        <v/>
      </c>
      <c r="E611" s="48" t="str">
        <f t="shared" si="1217"/>
        <v/>
      </c>
      <c r="F611" s="176" t="str">
        <f t="shared" si="1217"/>
        <v/>
      </c>
      <c r="G611" s="177" t="str">
        <f t="shared" si="1207"/>
        <v/>
      </c>
      <c r="H611" s="178"/>
      <c r="I611" s="178"/>
      <c r="J611" s="179"/>
      <c r="K611" s="177" t="str">
        <f t="shared" si="1208"/>
        <v/>
      </c>
      <c r="L611" s="178"/>
      <c r="M611" s="178"/>
      <c r="N611" s="179"/>
      <c r="O611" s="177" t="str">
        <f t="shared" si="1209"/>
        <v/>
      </c>
      <c r="P611" s="178"/>
      <c r="Q611" s="178"/>
      <c r="R611" s="179"/>
      <c r="S611" s="177" t="str">
        <f t="shared" si="1210"/>
        <v/>
      </c>
      <c r="T611" s="178"/>
      <c r="U611" s="178"/>
      <c r="V611" s="179"/>
      <c r="W611" s="177" t="str">
        <f t="shared" si="1211"/>
        <v/>
      </c>
      <c r="X611" s="178"/>
      <c r="Y611" s="178"/>
      <c r="Z611" s="179"/>
      <c r="AA611" s="177" t="str">
        <f t="shared" si="1212"/>
        <v/>
      </c>
      <c r="AB611" s="178"/>
      <c r="AC611" s="178"/>
      <c r="AD611" s="179"/>
      <c r="AE611" s="180">
        <f t="shared" si="1213"/>
        <v>0</v>
      </c>
      <c r="AF611" s="181">
        <f t="shared" si="1118"/>
        <v>0</v>
      </c>
      <c r="AG611" s="182">
        <f t="shared" si="1214"/>
        <v>0</v>
      </c>
      <c r="AH611" s="76" t="str">
        <f t="shared" si="1215"/>
        <v/>
      </c>
      <c r="AI611" s="181">
        <f> ( IF(ISNUMBER(G611), VLOOKUP(G611/$AH611,F!$A1:$B101,2,1)*G611*$H611*$I611,0)+IF(ISNUMBER(K611), VLOOKUP(K611/$AH611,F!$A1:$B101,2,1)*K611*$L611*$M611,0)+IF(ISNUMBER(O611), VLOOKUP(O611/$AH611,F!$A1:$B101,2,1)*O611*$P611*$Q611,0)+IF(ISNUMBER(S611), VLOOKUP(S611/$AH611,F!$A1:$B101,2,1)*S611*$T611*$U611,0)+IF(ISNUMBER(W611), VLOOKUP(W611/$AH611,F!$A1:$B101,2,1)*W611*$X611*$Y611,0)+IF(ISNUMBER(AA611), VLOOKUP(AA611/$AH611,F!$A1:$B101,2,1)*AA611*$AB611*$AC611,0))*IF(ISNUMBER(F611),F611,1)*IF(ISNUMBER(E611),E611,1)</f>
        <v>0</v>
      </c>
      <c r="AJ611" s="178">
        <f t="shared" si="1216"/>
        <v>0</v>
      </c>
      <c r="AK611" s="183">
        <f t="array" ref="AK611">IFERROR(I611*INDEX(F!$P$21:$AB$33, MATCH(G611/$AH611, F!$O$21:$O$33,1), MATCH(E611, F!$P$20:$AB$20,1)), 0 ) +IFERROR( M611*INDEX(F!$P$21:$AB$33, MATCH(K611/$AH611, F!$O$21:$O$33,1), MATCH(E611, F!$P$20:$AB$20,1)),0) +  IFERROR( Q611*INDEX(F!$P$21:$AB$33, MATCH(O611/$AH611, F!$O$21:$O$33,1), MATCH(E611, F!$P$20:$AB$20,1)), 0) + IFERROR( U611*INDEX(F!$P$21:$AB$33, MATCH(S611/$AH611, F!$O$21:$O$33,1), MATCH(E611, F!$P$20:$AB$20,1)),0)  + IFERROR(Y611*INDEX(F!$P$21:$AB$33, MATCH(W611/$AH611, F!$O$21:$O$33,1), MATCH(E611, F!$P$20:$AB$20,1)),0)  + IFERROR( AC611*INDEX(F!$P$21:$AB$33, MATCH(AA611/$AH611, F!$O$21:$O$33,1), MATCH(E611, F!$P$20:$AB$20,1)),)</f>
        <v>0</v>
      </c>
      <c r="AL611" s="59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ht="15.75" hidden="1" customHeight="1">
      <c r="A612" s="59"/>
      <c r="B612" s="135" t="str">
        <f t="shared" ref="B612:F612" si="1218">IF(B556="","",B556)</f>
        <v/>
      </c>
      <c r="C612" s="136" t="str">
        <f t="shared" si="1218"/>
        <v/>
      </c>
      <c r="D612" s="137" t="str">
        <f t="shared" si="1218"/>
        <v/>
      </c>
      <c r="E612" s="48" t="str">
        <f t="shared" si="1218"/>
        <v/>
      </c>
      <c r="F612" s="138" t="str">
        <f t="shared" si="1218"/>
        <v/>
      </c>
      <c r="G612" s="139" t="str">
        <f t="shared" si="1207"/>
        <v/>
      </c>
      <c r="H612" s="140"/>
      <c r="I612" s="140"/>
      <c r="J612" s="141"/>
      <c r="K612" s="139" t="str">
        <f t="shared" si="1208"/>
        <v/>
      </c>
      <c r="L612" s="140"/>
      <c r="M612" s="140"/>
      <c r="N612" s="141"/>
      <c r="O612" s="139" t="str">
        <f t="shared" si="1209"/>
        <v/>
      </c>
      <c r="P612" s="140"/>
      <c r="Q612" s="140"/>
      <c r="R612" s="141"/>
      <c r="S612" s="139" t="str">
        <f t="shared" si="1210"/>
        <v/>
      </c>
      <c r="T612" s="140"/>
      <c r="U612" s="140"/>
      <c r="V612" s="141"/>
      <c r="W612" s="139" t="str">
        <f t="shared" si="1211"/>
        <v/>
      </c>
      <c r="X612" s="140"/>
      <c r="Y612" s="140"/>
      <c r="Z612" s="141"/>
      <c r="AA612" s="139" t="str">
        <f t="shared" si="1212"/>
        <v/>
      </c>
      <c r="AB612" s="140"/>
      <c r="AC612" s="140"/>
      <c r="AD612" s="141"/>
      <c r="AE612" s="142">
        <f t="shared" si="1213"/>
        <v>0</v>
      </c>
      <c r="AF612" s="143">
        <f t="shared" si="1118"/>
        <v>0</v>
      </c>
      <c r="AG612" s="144">
        <f t="shared" si="1214"/>
        <v>0</v>
      </c>
      <c r="AH612" s="76" t="str">
        <f t="shared" si="1215"/>
        <v/>
      </c>
      <c r="AI612" s="143">
        <f> ( IF(ISNUMBER(G612), VLOOKUP(G612/$AH612,F!$A1:$B101,2,1)*G612*$H612*$I612,0)+IF(ISNUMBER(K612), VLOOKUP(K612/$AH612,F!$A1:$B101,2,1)*K612*$L612*$M612,0)+IF(ISNUMBER(O612), VLOOKUP(O612/$AH612,F!$A1:$B101,2,1)*O612*$P612*$Q612,0)+IF(ISNUMBER(S612), VLOOKUP(S612/$AH612,F!$A1:$B101,2,1)*S612*$T612*$U612,0)+IF(ISNUMBER(W612), VLOOKUP(W612/$AH612,F!$A1:$B101,2,1)*W612*$X612*$Y612,0)+IF(ISNUMBER(AA612), VLOOKUP(AA612/$AH612,F!$A1:$B101,2,1)*AA612*$AB612*$AC612,0))*IF(ISNUMBER(F612),F612,1)*IF(ISNUMBER(E612),E612,1)</f>
        <v>0</v>
      </c>
      <c r="AJ612" s="140">
        <f t="shared" si="1216"/>
        <v>0</v>
      </c>
      <c r="AK612" s="145">
        <f t="array" ref="AK612">IFERROR(I612*INDEX(F!$P$21:$AB$33, MATCH(G612/$AH612, F!$O$21:$O$33,1), MATCH(E612, F!$P$20:$AB$20,1)), 0 ) +IFERROR( M612*INDEX(F!$P$21:$AB$33, MATCH(K612/$AH612, F!$O$21:$O$33,1), MATCH(E612, F!$P$20:$AB$20,1)),0) +  IFERROR( Q612*INDEX(F!$P$21:$AB$33, MATCH(O612/$AH612, F!$O$21:$O$33,1), MATCH(E612, F!$P$20:$AB$20,1)), 0) + IFERROR( U612*INDEX(F!$P$21:$AB$33, MATCH(S612/$AH612, F!$O$21:$O$33,1), MATCH(E612, F!$P$20:$AB$20,1)),0)  + IFERROR(Y612*INDEX(F!$P$21:$AB$33, MATCH(W612/$AH612, F!$O$21:$O$33,1), MATCH(E612, F!$P$20:$AB$20,1)),0)  + IFERROR( AC612*INDEX(F!$P$21:$AB$33, MATCH(AA612/$AH612, F!$O$21:$O$33,1), MATCH(E612, F!$P$20:$AB$20,1)),)</f>
        <v>0</v>
      </c>
      <c r="AL612" s="59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ht="15.75" hidden="1" customHeight="1">
      <c r="A613" s="59"/>
      <c r="B613" s="173" t="str">
        <f t="shared" ref="B613:F613" si="1219">IF(B557="","",B557)</f>
        <v/>
      </c>
      <c r="C613" s="174" t="str">
        <f t="shared" si="1219"/>
        <v/>
      </c>
      <c r="D613" s="175" t="str">
        <f t="shared" si="1219"/>
        <v/>
      </c>
      <c r="E613" s="48" t="str">
        <f t="shared" si="1219"/>
        <v/>
      </c>
      <c r="F613" s="176" t="str">
        <f t="shared" si="1219"/>
        <v/>
      </c>
      <c r="G613" s="177" t="str">
        <f t="shared" si="1207"/>
        <v/>
      </c>
      <c r="H613" s="178"/>
      <c r="I613" s="178"/>
      <c r="J613" s="179"/>
      <c r="K613" s="177" t="str">
        <f t="shared" si="1208"/>
        <v/>
      </c>
      <c r="L613" s="178"/>
      <c r="M613" s="178"/>
      <c r="N613" s="179"/>
      <c r="O613" s="177" t="str">
        <f t="shared" si="1209"/>
        <v/>
      </c>
      <c r="P613" s="178"/>
      <c r="Q613" s="178"/>
      <c r="R613" s="179"/>
      <c r="S613" s="177" t="str">
        <f t="shared" si="1210"/>
        <v/>
      </c>
      <c r="T613" s="178"/>
      <c r="U613" s="178"/>
      <c r="V613" s="179"/>
      <c r="W613" s="177" t="str">
        <f t="shared" si="1211"/>
        <v/>
      </c>
      <c r="X613" s="178"/>
      <c r="Y613" s="178"/>
      <c r="Z613" s="179"/>
      <c r="AA613" s="177" t="str">
        <f t="shared" si="1212"/>
        <v/>
      </c>
      <c r="AB613" s="178"/>
      <c r="AC613" s="178"/>
      <c r="AD613" s="179"/>
      <c r="AE613" s="180">
        <f t="shared" si="1213"/>
        <v>0</v>
      </c>
      <c r="AF613" s="181">
        <f t="shared" si="1118"/>
        <v>0</v>
      </c>
      <c r="AG613" s="182">
        <f t="shared" si="1214"/>
        <v>0</v>
      </c>
      <c r="AH613" s="76" t="str">
        <f t="shared" si="1215"/>
        <v/>
      </c>
      <c r="AI613" s="181">
        <f> ( IF(ISNUMBER(G613), VLOOKUP(G613/$AH613,F!$A1:$B101,2,1)*G613*$H613*$I613,0)+IF(ISNUMBER(K613), VLOOKUP(K613/$AH613,F!$A1:$B101,2,1)*K613*$L613*$M613,0)+IF(ISNUMBER(O613), VLOOKUP(O613/$AH613,F!$A1:$B101,2,1)*O613*$P613*$Q613,0)+IF(ISNUMBER(S613), VLOOKUP(S613/$AH613,F!$A1:$B101,2,1)*S613*$T613*$U613,0)+IF(ISNUMBER(W613), VLOOKUP(W613/$AH613,F!$A1:$B101,2,1)*W613*$X613*$Y613,0)+IF(ISNUMBER(AA613), VLOOKUP(AA613/$AH613,F!$A1:$B101,2,1)*AA613*$AB613*$AC613,0))*IF(ISNUMBER(F613),F613,1)*IF(ISNUMBER(E613),E613,1)</f>
        <v>0</v>
      </c>
      <c r="AJ613" s="178">
        <f t="shared" si="1216"/>
        <v>0</v>
      </c>
      <c r="AK613" s="183">
        <f t="array" ref="AK613">IFERROR(I613*INDEX(F!$P$21:$AB$33, MATCH(G613/$AH613, F!$O$21:$O$33,1), MATCH(E613, F!$P$20:$AB$20,1)), 0 ) +IFERROR( M613*INDEX(F!$P$21:$AB$33, MATCH(K613/$AH613, F!$O$21:$O$33,1), MATCH(E613, F!$P$20:$AB$20,1)),0) +  IFERROR( Q613*INDEX(F!$P$21:$AB$33, MATCH(O613/$AH613, F!$O$21:$O$33,1), MATCH(E613, F!$P$20:$AB$20,1)), 0) + IFERROR( U613*INDEX(F!$P$21:$AB$33, MATCH(S613/$AH613, F!$O$21:$O$33,1), MATCH(E613, F!$P$20:$AB$20,1)),0)  + IFERROR(Y613*INDEX(F!$P$21:$AB$33, MATCH(W613/$AH613, F!$O$21:$O$33,1), MATCH(E613, F!$P$20:$AB$20,1)),0)  + IFERROR( AC613*INDEX(F!$P$21:$AB$33, MATCH(AA613/$AH613, F!$O$21:$O$33,1), MATCH(E613, F!$P$20:$AB$20,1)),)</f>
        <v>0</v>
      </c>
      <c r="AL613" s="59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ht="15.75" hidden="1" customHeight="1">
      <c r="A614" s="59"/>
      <c r="B614" s="135" t="str">
        <f t="shared" ref="B614:F614" si="1220">IF(B558="","",B558)</f>
        <v/>
      </c>
      <c r="C614" s="136" t="str">
        <f t="shared" si="1220"/>
        <v/>
      </c>
      <c r="D614" s="137" t="str">
        <f t="shared" si="1220"/>
        <v/>
      </c>
      <c r="E614" s="48" t="str">
        <f t="shared" si="1220"/>
        <v/>
      </c>
      <c r="F614" s="138" t="str">
        <f t="shared" si="1220"/>
        <v/>
      </c>
      <c r="G614" s="139" t="str">
        <f t="shared" si="1207"/>
        <v/>
      </c>
      <c r="H614" s="140"/>
      <c r="I614" s="140"/>
      <c r="J614" s="141"/>
      <c r="K614" s="139" t="str">
        <f t="shared" si="1208"/>
        <v/>
      </c>
      <c r="L614" s="140"/>
      <c r="M614" s="140"/>
      <c r="N614" s="141"/>
      <c r="O614" s="139" t="str">
        <f t="shared" si="1209"/>
        <v/>
      </c>
      <c r="P614" s="140"/>
      <c r="Q614" s="140"/>
      <c r="R614" s="141"/>
      <c r="S614" s="139" t="str">
        <f t="shared" si="1210"/>
        <v/>
      </c>
      <c r="T614" s="140"/>
      <c r="U614" s="140"/>
      <c r="V614" s="141"/>
      <c r="W614" s="139" t="str">
        <f t="shared" si="1211"/>
        <v/>
      </c>
      <c r="X614" s="140"/>
      <c r="Y614" s="140"/>
      <c r="Z614" s="141"/>
      <c r="AA614" s="139" t="str">
        <f t="shared" si="1212"/>
        <v/>
      </c>
      <c r="AB614" s="140"/>
      <c r="AC614" s="140"/>
      <c r="AD614" s="141"/>
      <c r="AE614" s="142">
        <f t="shared" si="1213"/>
        <v>0</v>
      </c>
      <c r="AF614" s="143">
        <f t="shared" si="1118"/>
        <v>0</v>
      </c>
      <c r="AG614" s="144">
        <f t="shared" si="1214"/>
        <v>0</v>
      </c>
      <c r="AH614" s="76" t="str">
        <f t="shared" si="1215"/>
        <v/>
      </c>
      <c r="AI614" s="143">
        <f> ( IF(ISNUMBER(G614), VLOOKUP(G614/$AH614,F!$A1:$B101,2,1)*G614*$H614*$I614,0)+IF(ISNUMBER(K614), VLOOKUP(K614/$AH614,F!$A1:$B101,2,1)*K614*$L614*$M614,0)+IF(ISNUMBER(O614), VLOOKUP(O614/$AH614,F!$A1:$B101,2,1)*O614*$P614*$Q614,0)+IF(ISNUMBER(S614), VLOOKUP(S614/$AH614,F!$A1:$B101,2,1)*S614*$T614*$U614,0)+IF(ISNUMBER(W614), VLOOKUP(W614/$AH614,F!$A1:$B101,2,1)*W614*$X614*$Y614,0)+IF(ISNUMBER(AA614), VLOOKUP(AA614/$AH614,F!$A1:$B101,2,1)*AA614*$AB614*$AC614,0))*IF(ISNUMBER(F614),F614,1)*IF(ISNUMBER(E614),E614,1)</f>
        <v>0</v>
      </c>
      <c r="AJ614" s="140">
        <f t="shared" si="1216"/>
        <v>0</v>
      </c>
      <c r="AK614" s="145">
        <f t="array" ref="AK614">IFERROR(I614*INDEX(F!$P$21:$AB$33, MATCH(G614/$AH614, F!$O$21:$O$33,1), MATCH(E614, F!$P$20:$AB$20,1)), 0 ) +IFERROR( M614*INDEX(F!$P$21:$AB$33, MATCH(K614/$AH614, F!$O$21:$O$33,1), MATCH(E614, F!$P$20:$AB$20,1)),0) +  IFERROR( Q614*INDEX(F!$P$21:$AB$33, MATCH(O614/$AH614, F!$O$21:$O$33,1), MATCH(E614, F!$P$20:$AB$20,1)), 0) + IFERROR( U614*INDEX(F!$P$21:$AB$33, MATCH(S614/$AH614, F!$O$21:$O$33,1), MATCH(E614, F!$P$20:$AB$20,1)),0)  + IFERROR(Y614*INDEX(F!$P$21:$AB$33, MATCH(W614/$AH614, F!$O$21:$O$33,1), MATCH(E614, F!$P$20:$AB$20,1)),0)  + IFERROR( AC614*INDEX(F!$P$21:$AB$33, MATCH(AA614/$AH614, F!$O$21:$O$33,1), MATCH(E614, F!$P$20:$AB$20,1)),)</f>
        <v>0</v>
      </c>
      <c r="AL614" s="59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ht="15.75" hidden="1" customHeight="1">
      <c r="A615" s="59"/>
      <c r="B615" s="173" t="str">
        <f t="shared" ref="B615:F615" si="1221">IF(B559="","",B559)</f>
        <v/>
      </c>
      <c r="C615" s="174" t="str">
        <f t="shared" si="1221"/>
        <v/>
      </c>
      <c r="D615" s="175" t="str">
        <f t="shared" si="1221"/>
        <v/>
      </c>
      <c r="E615" s="48" t="str">
        <f t="shared" si="1221"/>
        <v/>
      </c>
      <c r="F615" s="176" t="str">
        <f t="shared" si="1221"/>
        <v/>
      </c>
      <c r="G615" s="177" t="str">
        <f t="shared" si="1207"/>
        <v/>
      </c>
      <c r="H615" s="178"/>
      <c r="I615" s="178"/>
      <c r="J615" s="179"/>
      <c r="K615" s="177" t="str">
        <f t="shared" si="1208"/>
        <v/>
      </c>
      <c r="L615" s="178"/>
      <c r="M615" s="178"/>
      <c r="N615" s="179"/>
      <c r="O615" s="177" t="str">
        <f t="shared" si="1209"/>
        <v/>
      </c>
      <c r="P615" s="178"/>
      <c r="Q615" s="178"/>
      <c r="R615" s="179"/>
      <c r="S615" s="177" t="str">
        <f t="shared" si="1210"/>
        <v/>
      </c>
      <c r="T615" s="178"/>
      <c r="U615" s="178"/>
      <c r="V615" s="179"/>
      <c r="W615" s="177" t="str">
        <f t="shared" si="1211"/>
        <v/>
      </c>
      <c r="X615" s="178"/>
      <c r="Y615" s="178"/>
      <c r="Z615" s="179"/>
      <c r="AA615" s="177" t="str">
        <f t="shared" si="1212"/>
        <v/>
      </c>
      <c r="AB615" s="178"/>
      <c r="AC615" s="178"/>
      <c r="AD615" s="179"/>
      <c r="AE615" s="180">
        <f t="shared" si="1213"/>
        <v>0</v>
      </c>
      <c r="AF615" s="181">
        <f t="shared" si="1118"/>
        <v>0</v>
      </c>
      <c r="AG615" s="182">
        <f t="shared" si="1214"/>
        <v>0</v>
      </c>
      <c r="AH615" s="76" t="str">
        <f t="shared" si="1215"/>
        <v/>
      </c>
      <c r="AI615" s="181">
        <f> ( IF(ISNUMBER(G615), VLOOKUP(G615/$AH615,F!$A1:$B101,2,1)*G615*$H615*$I615,0)+IF(ISNUMBER(K615), VLOOKUP(K615/$AH615,F!$A1:$B101,2,1)*K615*$L615*$M615,0)+IF(ISNUMBER(O615), VLOOKUP(O615/$AH615,F!$A1:$B101,2,1)*O615*$P615*$Q615,0)+IF(ISNUMBER(S615), VLOOKUP(S615/$AH615,F!$A1:$B101,2,1)*S615*$T615*$U615,0)+IF(ISNUMBER(W615), VLOOKUP(W615/$AH615,F!$A1:$B101,2,1)*W615*$X615*$Y615,0)+IF(ISNUMBER(AA615), VLOOKUP(AA615/$AH615,F!$A1:$B101,2,1)*AA615*$AB615*$AC615,0))*IF(ISNUMBER(F615),F615,1)*IF(ISNUMBER(E615),E615,1)</f>
        <v>0</v>
      </c>
      <c r="AJ615" s="178">
        <f t="shared" si="1216"/>
        <v>0</v>
      </c>
      <c r="AK615" s="183">
        <f t="array" ref="AK615">IFERROR(I615*INDEX(F!$P$21:$AB$33, MATCH(G615/$AH615, F!$O$21:$O$33,1), MATCH(E615, F!$P$20:$AB$20,1)), 0 ) +IFERROR( M615*INDEX(F!$P$21:$AB$33, MATCH(K615/$AH615, F!$O$21:$O$33,1), MATCH(E615, F!$P$20:$AB$20,1)),0) +  IFERROR( Q615*INDEX(F!$P$21:$AB$33, MATCH(O615/$AH615, F!$O$21:$O$33,1), MATCH(E615, F!$P$20:$AB$20,1)), 0) + IFERROR( U615*INDEX(F!$P$21:$AB$33, MATCH(S615/$AH615, F!$O$21:$O$33,1), MATCH(E615, F!$P$20:$AB$20,1)),0)  + IFERROR(Y615*INDEX(F!$P$21:$AB$33, MATCH(W615/$AH615, F!$O$21:$O$33,1), MATCH(E615, F!$P$20:$AB$20,1)),0)  + IFERROR( AC615*INDEX(F!$P$21:$AB$33, MATCH(AA615/$AH615, F!$O$21:$O$33,1), MATCH(E615, F!$P$20:$AB$20,1)),)</f>
        <v>0</v>
      </c>
      <c r="AL615" s="59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ht="15.75" hidden="1" customHeight="1">
      <c r="A616" s="59"/>
      <c r="B616" s="135" t="str">
        <f t="shared" ref="B616:F616" si="1222">IF(B560="","",B560)</f>
        <v/>
      </c>
      <c r="C616" s="136" t="str">
        <f t="shared" si="1222"/>
        <v/>
      </c>
      <c r="D616" s="137" t="str">
        <f t="shared" si="1222"/>
        <v/>
      </c>
      <c r="E616" s="48" t="str">
        <f t="shared" si="1222"/>
        <v/>
      </c>
      <c r="F616" s="138" t="str">
        <f t="shared" si="1222"/>
        <v/>
      </c>
      <c r="G616" s="139" t="str">
        <f t="shared" si="1207"/>
        <v/>
      </c>
      <c r="H616" s="140"/>
      <c r="I616" s="140"/>
      <c r="J616" s="141"/>
      <c r="K616" s="139" t="str">
        <f t="shared" si="1208"/>
        <v/>
      </c>
      <c r="L616" s="140"/>
      <c r="M616" s="140"/>
      <c r="N616" s="141"/>
      <c r="O616" s="139" t="str">
        <f t="shared" si="1209"/>
        <v/>
      </c>
      <c r="P616" s="140"/>
      <c r="Q616" s="140"/>
      <c r="R616" s="141"/>
      <c r="S616" s="139" t="str">
        <f t="shared" si="1210"/>
        <v/>
      </c>
      <c r="T616" s="140"/>
      <c r="U616" s="140"/>
      <c r="V616" s="141"/>
      <c r="W616" s="139" t="str">
        <f t="shared" si="1211"/>
        <v/>
      </c>
      <c r="X616" s="140"/>
      <c r="Y616" s="140"/>
      <c r="Z616" s="141"/>
      <c r="AA616" s="139" t="str">
        <f t="shared" si="1212"/>
        <v/>
      </c>
      <c r="AB616" s="140"/>
      <c r="AC616" s="140"/>
      <c r="AD616" s="141"/>
      <c r="AE616" s="142">
        <f t="shared" si="1213"/>
        <v>0</v>
      </c>
      <c r="AF616" s="143">
        <f t="shared" si="1118"/>
        <v>0</v>
      </c>
      <c r="AG616" s="144">
        <f t="shared" si="1214"/>
        <v>0</v>
      </c>
      <c r="AH616" s="76" t="str">
        <f t="shared" si="1215"/>
        <v/>
      </c>
      <c r="AI616" s="143">
        <f> ( IF(ISNUMBER(G616), VLOOKUP(G616/$AH616,F!$A1:$B101,2,1)*G616*$H616*$I616,0)+IF(ISNUMBER(K616), VLOOKUP(K616/$AH616,F!$A1:$B101,2,1)*K616*$L616*$M616,0)+IF(ISNUMBER(O616), VLOOKUP(O616/$AH616,F!$A1:$B101,2,1)*O616*$P616*$Q616,0)+IF(ISNUMBER(S616), VLOOKUP(S616/$AH616,F!$A1:$B101,2,1)*S616*$T616*$U616,0)+IF(ISNUMBER(W616), VLOOKUP(W616/$AH616,F!$A1:$B101,2,1)*W616*$X616*$Y616,0)+IF(ISNUMBER(AA616), VLOOKUP(AA616/$AH616,F!$A1:$B101,2,1)*AA616*$AB616*$AC616,0))*IF(ISNUMBER(F616),F616,1)*IF(ISNUMBER(E616),E616,1)</f>
        <v>0</v>
      </c>
      <c r="AJ616" s="140">
        <f t="shared" si="1216"/>
        <v>0</v>
      </c>
      <c r="AK616" s="145">
        <f t="array" ref="AK616">IFERROR(I616*INDEX(F!$P$21:$AB$33, MATCH(G616/$AH616, F!$O$21:$O$33,1), MATCH(E616, F!$P$20:$AB$20,1)), 0 ) +IFERROR( M616*INDEX(F!$P$21:$AB$33, MATCH(K616/$AH616, F!$O$21:$O$33,1), MATCH(E616, F!$P$20:$AB$20,1)),0) +  IFERROR( Q616*INDEX(F!$P$21:$AB$33, MATCH(O616/$AH616, F!$O$21:$O$33,1), MATCH(E616, F!$P$20:$AB$20,1)), 0) + IFERROR( U616*INDEX(F!$P$21:$AB$33, MATCH(S616/$AH616, F!$O$21:$O$33,1), MATCH(E616, F!$P$20:$AB$20,1)),0)  + IFERROR(Y616*INDEX(F!$P$21:$AB$33, MATCH(W616/$AH616, F!$O$21:$O$33,1), MATCH(E616, F!$P$20:$AB$20,1)),0)  + IFERROR( AC616*INDEX(F!$P$21:$AB$33, MATCH(AA616/$AH616, F!$O$21:$O$33,1), MATCH(E616, F!$P$20:$AB$20,1)),)</f>
        <v>0</v>
      </c>
      <c r="AL616" s="59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ht="15.75" hidden="1" customHeight="1">
      <c r="A617" s="98"/>
      <c r="B617" s="188"/>
      <c r="C617" s="189"/>
      <c r="D617" s="190"/>
      <c r="E617" s="102">
        <f>ROUND(IFERROR(SUMPRODUCT(AJ609:AJ616,E609:E616)/AJ617,0),3)</f>
        <v>0</v>
      </c>
      <c r="F617" s="191"/>
      <c r="G617" s="201"/>
      <c r="H617" s="193"/>
      <c r="I617" s="193"/>
      <c r="J617" s="194"/>
      <c r="K617" s="201"/>
      <c r="L617" s="193"/>
      <c r="M617" s="193"/>
      <c r="N617" s="194"/>
      <c r="O617" s="201"/>
      <c r="P617" s="193"/>
      <c r="Q617" s="193"/>
      <c r="R617" s="194"/>
      <c r="S617" s="201"/>
      <c r="T617" s="193"/>
      <c r="U617" s="193"/>
      <c r="V617" s="194"/>
      <c r="W617" s="201"/>
      <c r="X617" s="193"/>
      <c r="Y617" s="193"/>
      <c r="Z617" s="194"/>
      <c r="AA617" s="201"/>
      <c r="AB617" s="193"/>
      <c r="AC617" s="193"/>
      <c r="AD617" s="194"/>
      <c r="AE617" s="107">
        <f>SUM(AE609:AE616)</f>
        <v>0</v>
      </c>
      <c r="AF617" s="108">
        <f t="shared" si="1118"/>
        <v>0</v>
      </c>
      <c r="AG617" s="109">
        <f>IFERROR(  SUMPRODUCT(AG609:AG616,AJ609:AJ616)/AJ617,0)</f>
        <v>0</v>
      </c>
      <c r="AH617" s="157"/>
      <c r="AI617" s="111">
        <f t="shared" ref="AI617:AJ617" si="1223">SUM(AI609:AI616)</f>
        <v>0</v>
      </c>
      <c r="AJ617" s="111">
        <f t="shared" si="1223"/>
        <v>0</v>
      </c>
      <c r="AK617" s="112">
        <f>IF(SUM(AK609:AK616)=0,TIME(,0,),TIME(,SUM(AK609:AK616)+F!$V$37,))</f>
        <v>0</v>
      </c>
      <c r="AL617" s="98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ht="15.75" hidden="1" customHeight="1">
      <c r="A618" s="204">
        <f>A562</f>
        <v>7</v>
      </c>
      <c r="B618" s="205"/>
      <c r="C618" s="205"/>
      <c r="D618" s="205"/>
      <c r="E618" s="7">
        <f>IF(AJ618=0,0,(E628*AJ628 + E637*AJ637 + E646*AJ646 + E655*AJ655 + E664*AJ664 + E673*AJ673   ) /AJ618 )</f>
        <v>0</v>
      </c>
      <c r="F618" s="206" t="s">
        <v>0</v>
      </c>
      <c r="G618" s="9"/>
      <c r="H618" s="9"/>
      <c r="I618" s="9"/>
      <c r="J618" s="9"/>
      <c r="K618" s="9"/>
      <c r="L618" s="9"/>
      <c r="M618" s="10"/>
      <c r="N618" s="221">
        <f>N562+1</f>
        <v>12</v>
      </c>
      <c r="O618" s="222"/>
      <c r="P618" s="222"/>
      <c r="Q618" s="222"/>
      <c r="R618" s="222"/>
      <c r="S618" s="222"/>
      <c r="T618" s="222"/>
      <c r="U618" s="222"/>
      <c r="V618" s="222"/>
      <c r="W618" s="222"/>
      <c r="X618" s="222"/>
      <c r="Y618" s="222"/>
      <c r="Z618" s="222"/>
      <c r="AA618" s="222"/>
      <c r="AB618" s="222"/>
      <c r="AC618" s="222"/>
      <c r="AD618" s="223"/>
      <c r="AE618" s="224">
        <f>AE628+AE637+AE646+AE655+AE664+AE673</f>
        <v>0</v>
      </c>
      <c r="AF618" s="225">
        <f t="shared" si="1118"/>
        <v>0</v>
      </c>
      <c r="AG618" s="226">
        <f>IF(AJ618=0,0,(AG628*AJ628 + AG637*AJ637 + AG646*AJ646 + AG655*AJ655 + AG664*AJ664 + AG673*AJ673   ) /AJ618 )</f>
        <v>0</v>
      </c>
      <c r="AH618" s="210">
        <f>AH562</f>
        <v>0.02</v>
      </c>
      <c r="AI618" s="224">
        <f t="shared" ref="AI618:AK618" si="1224">AI628+AI637+AI646+AI655+AI664+AI673</f>
        <v>0</v>
      </c>
      <c r="AJ618" s="224">
        <f t="shared" si="1224"/>
        <v>0</v>
      </c>
      <c r="AK618" s="227">
        <f t="shared" si="1224"/>
        <v>0</v>
      </c>
      <c r="AL618" s="212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ht="15.75" hidden="1" customHeight="1">
      <c r="A619" s="19" t="s">
        <v>1</v>
      </c>
      <c r="B619" s="20" t="s">
        <v>2</v>
      </c>
      <c r="C619" s="20" t="s">
        <v>3</v>
      </c>
      <c r="D619" s="20" t="s">
        <v>4</v>
      </c>
      <c r="E619" s="20" t="s">
        <v>5</v>
      </c>
      <c r="F619" s="20" t="s">
        <v>6</v>
      </c>
      <c r="G619" s="20" t="s">
        <v>7</v>
      </c>
      <c r="H619" s="20" t="s">
        <v>8</v>
      </c>
      <c r="I619" s="20" t="s">
        <v>9</v>
      </c>
      <c r="J619" s="20" t="s">
        <v>10</v>
      </c>
      <c r="K619" s="20" t="s">
        <v>7</v>
      </c>
      <c r="L619" s="20" t="s">
        <v>8</v>
      </c>
      <c r="M619" s="20" t="s">
        <v>9</v>
      </c>
      <c r="N619" s="20" t="s">
        <v>10</v>
      </c>
      <c r="O619" s="20" t="s">
        <v>7</v>
      </c>
      <c r="P619" s="20" t="s">
        <v>8</v>
      </c>
      <c r="Q619" s="20" t="s">
        <v>9</v>
      </c>
      <c r="R619" s="20" t="s">
        <v>10</v>
      </c>
      <c r="S619" s="20" t="s">
        <v>7</v>
      </c>
      <c r="T619" s="20" t="s">
        <v>8</v>
      </c>
      <c r="U619" s="20" t="s">
        <v>9</v>
      </c>
      <c r="V619" s="20" t="s">
        <v>10</v>
      </c>
      <c r="W619" s="20" t="s">
        <v>7</v>
      </c>
      <c r="X619" s="20" t="s">
        <v>8</v>
      </c>
      <c r="Y619" s="20" t="s">
        <v>9</v>
      </c>
      <c r="Z619" s="20" t="s">
        <v>10</v>
      </c>
      <c r="AA619" s="20" t="s">
        <v>7</v>
      </c>
      <c r="AB619" s="20" t="s">
        <v>8</v>
      </c>
      <c r="AC619" s="20" t="s">
        <v>9</v>
      </c>
      <c r="AD619" s="21" t="s">
        <v>10</v>
      </c>
      <c r="AE619" s="20" t="s">
        <v>11</v>
      </c>
      <c r="AF619" s="20" t="s">
        <v>12</v>
      </c>
      <c r="AG619" s="20" t="s">
        <v>13</v>
      </c>
      <c r="AH619" s="213" t="s">
        <v>14</v>
      </c>
      <c r="AI619" s="23" t="s">
        <v>15</v>
      </c>
      <c r="AJ619" s="20" t="s">
        <v>16</v>
      </c>
      <c r="AK619" s="21" t="s">
        <v>17</v>
      </c>
      <c r="AL619" s="214" t="s">
        <v>18</v>
      </c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ht="15.75" hidden="1" customHeight="1">
      <c r="A620" s="25">
        <f>A621</f>
        <v>43857</v>
      </c>
      <c r="B620" s="26" t="str">
        <f t="shared" ref="B620:F620" si="1225">IF(B564="","",B564)</f>
        <v>Средняя</v>
      </c>
      <c r="C620" s="27" t="str">
        <f t="shared" si="1225"/>
        <v>ПР</v>
      </c>
      <c r="D620" s="28" t="str">
        <f t="shared" si="1225"/>
        <v>Присед</v>
      </c>
      <c r="E620" s="29">
        <f t="shared" si="1225"/>
        <v>1.2</v>
      </c>
      <c r="F620" s="30" t="str">
        <f t="shared" si="1225"/>
        <v/>
      </c>
      <c r="G620" s="31" t="str">
        <f t="shared" ref="G620:G627" si="1227">IF(J620&lt;&gt;0, IFERROR(IF( $F620=2,  MROUND($AH620*J620,1),    IF( OR($F620="",$F620=1),   MROUND($AH620*J620,2.5),  MROUND($AH620*J620, 0.1))), "" ), "")</f>
        <v/>
      </c>
      <c r="H620" s="32"/>
      <c r="I620" s="32"/>
      <c r="J620" s="33"/>
      <c r="K620" s="31" t="str">
        <f t="shared" ref="K620:K627" si="1228">IF(N620&lt;&gt;0, IFERROR(IF( $F620=2,  MROUND($AH620*N620,1),    IF( OR($F620="",$F620=1),   MROUND($AH620*N620,2.5),  MROUND($AH620*N620, 0.1))), "" ), "")</f>
        <v/>
      </c>
      <c r="L620" s="32"/>
      <c r="M620" s="32"/>
      <c r="N620" s="33"/>
      <c r="O620" s="31" t="str">
        <f t="shared" ref="O620:O627" si="1229">IF(R620&lt;&gt;0, IFERROR(IF( $F620=2,  MROUND($AH620*R620,1),    IF( OR($F620="",$F620=1),   MROUND($AH620*R620,2.5),  MROUND($AH620*R620, 0.1))), "" ), "")</f>
        <v/>
      </c>
      <c r="P620" s="32"/>
      <c r="Q620" s="32"/>
      <c r="R620" s="33"/>
      <c r="S620" s="31" t="str">
        <f t="shared" ref="S620:S627" si="1230">IF(V620&lt;&gt;0, IFERROR(IF( $F620=2,  MROUND($AH620*V620,1),    IF( OR($F620="",$F620=1),   MROUND($AH620*V620,2.5),  MROUND($AH620*V620, 0.1))), "" ), "")</f>
        <v/>
      </c>
      <c r="T620" s="32"/>
      <c r="U620" s="32"/>
      <c r="V620" s="33"/>
      <c r="W620" s="31" t="str">
        <f t="shared" ref="W620:W627" si="1231">IF(Z620&lt;&gt;0, IFERROR(IF( $F620=2,  MROUND($AH620*Z620,1),    IF( OR($F620="",$F620=1),   MROUND($AH620*Z620,2.5),  MROUND($AH620*Z620, 0.1))), "" ), "")</f>
        <v/>
      </c>
      <c r="X620" s="32"/>
      <c r="Y620" s="32"/>
      <c r="Z620" s="33"/>
      <c r="AA620" s="31" t="str">
        <f t="shared" ref="AA620:AA627" si="1232">IF(AD620&lt;&gt;0, IFERROR(IF( $F620=2,  MROUND($AH620*AD620,1),    IF( OR($F620="",$F620=1),   MROUND($AH620*AD620,2.5),  MROUND($AH620*AD620, 0.1))), "" ), "")</f>
        <v/>
      </c>
      <c r="AB620" s="32"/>
      <c r="AC620" s="32"/>
      <c r="AD620" s="33"/>
      <c r="AE620" s="35">
        <f t="shared" ref="AE620:AE627" si="1233">(IF(ISNUMBER(G620),G620,0)*H620*I620+IF(ISNUMBER(K620),K620,1)*L620*M620+IF(ISNUMBER(O620),O620,1)*P620*Q620+IF(ISNUMBER(S620),S620,1)*T620*U620+IF(ISNUMBER(W620),W620,1)*X620*Y620+IF(ISNUMBER(AA620),AA620,1)*AB620*AC620)*IF(ISNUMBER(F620),F620,1)</f>
        <v>0</v>
      </c>
      <c r="AF620" s="36">
        <f t="shared" ref="AF620:AF674" si="1234">IFERROR(AE620/AJ620,0)</f>
        <v>0</v>
      </c>
      <c r="AG620" s="195">
        <f t="shared" ref="AG620:AG627" si="1235">IFERROR((AF620/(AH620*IF(ISNUMBER(F620),F620,1))),0)</f>
        <v>0</v>
      </c>
      <c r="AH620" s="169">
        <f t="shared" ref="AH620:AH627" si="1236">IF(ISNUMBER(AH564), AH564+(AH564*$AH$618),"")</f>
        <v>167.8555316</v>
      </c>
      <c r="AI620" s="70">
        <f> ( IF(ISNUMBER(G620), VLOOKUP(G620/$AH620,F!$A1:$B101,2,1)*G620*$H620*$I620,0)+IF(ISNUMBER(K620), VLOOKUP(K620/$AH620,F!$A1:$B101,2,1)*K620*$L620*$M620,0)+IF(ISNUMBER(O620), VLOOKUP(O620/$AH620,F!$A1:$B101,2,1)*O620*$P620*$Q620,0)+IF(ISNUMBER(S620), VLOOKUP(S620/$AH620,F!$A1:$B101,2,1)*S620*$T620*$U620,0)+IF(ISNUMBER(W620), VLOOKUP(W620/$AH620,F!$A1:$B101,2,1)*W620*$X620*$Y620,0)+IF(ISNUMBER(AA620), VLOOKUP(AA620/$AH620,F!$A1:$B101,2,1)*AA620*$AB620*$AC620,0))*IF(ISNUMBER(F620),F620,1)*IF(ISNUMBER(E620),E620,1)</f>
        <v>0</v>
      </c>
      <c r="AJ620" s="40">
        <f t="shared" ref="AJ620:AJ627" si="1237">H620*I620+L620*M620+P620*Q620+T620*U620+X620*Y620+AB620*AC620</f>
        <v>0</v>
      </c>
      <c r="AK620" s="41">
        <f t="array" ref="AK620">IFERROR(I620*INDEX(F!$P$21:$AB$33, MATCH(G620/$AH620, F!$O$21:$O$33,1), MATCH(E620, F!$P$20:$AB$20,1)), 0 ) +IFERROR( M620*INDEX(F!$P$21:$AB$33, MATCH(K620/$AH620, F!$O$21:$O$33,1), MATCH(E620, F!$P$20:$AB$20,1)),0) +  IFERROR( Q620*INDEX(F!$P$21:$AB$33, MATCH(O620/$AH620, F!$O$21:$O$33,1), MATCH(E620, F!$P$20:$AB$20,1)), 0) + IFERROR( U620*INDEX(F!$P$21:$AB$33, MATCH(S620/$AH620, F!$O$21:$O$33,1), MATCH(E620, F!$P$20:$AB$20,1)),0)  + IFERROR(Y620*INDEX(F!$P$21:$AB$33, MATCH(W620/$AH620, F!$O$21:$O$33,1), MATCH(E620, F!$P$20:$AB$20,1)),0)  + IFERROR( AC620*INDEX(F!$P$21:$AB$33, MATCH(AA620/$AH620, F!$O$21:$O$33,1), MATCH(E620, F!$P$20:$AB$20,1)),)</f>
        <v>0</v>
      </c>
      <c r="AL620" s="42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ht="15.75" hidden="1" customHeight="1">
      <c r="A621" s="44">
        <f>A565+A562</f>
        <v>43857</v>
      </c>
      <c r="B621" s="45" t="str">
        <f t="shared" ref="B621:F621" si="1226">IF(B565="","",B565)</f>
        <v>Средняя</v>
      </c>
      <c r="C621" s="46" t="str">
        <f t="shared" si="1226"/>
        <v>ЖМ</v>
      </c>
      <c r="D621" s="47" t="str">
        <f t="shared" si="1226"/>
        <v>Жим лежа</v>
      </c>
      <c r="E621" s="48">
        <f t="shared" si="1226"/>
        <v>1</v>
      </c>
      <c r="F621" s="49" t="str">
        <f t="shared" si="1226"/>
        <v/>
      </c>
      <c r="G621" s="50" t="str">
        <f t="shared" si="1227"/>
        <v/>
      </c>
      <c r="H621" s="51"/>
      <c r="I621" s="51"/>
      <c r="J621" s="52"/>
      <c r="K621" s="50" t="str">
        <f t="shared" si="1228"/>
        <v/>
      </c>
      <c r="L621" s="51"/>
      <c r="M621" s="51"/>
      <c r="N621" s="52"/>
      <c r="O621" s="50" t="str">
        <f t="shared" si="1229"/>
        <v/>
      </c>
      <c r="P621" s="51"/>
      <c r="Q621" s="51"/>
      <c r="R621" s="52"/>
      <c r="S621" s="50" t="str">
        <f t="shared" si="1230"/>
        <v/>
      </c>
      <c r="T621" s="51"/>
      <c r="U621" s="51"/>
      <c r="V621" s="52"/>
      <c r="W621" s="50" t="str">
        <f t="shared" si="1231"/>
        <v/>
      </c>
      <c r="X621" s="51"/>
      <c r="Y621" s="51"/>
      <c r="Z621" s="52"/>
      <c r="AA621" s="50" t="str">
        <f t="shared" si="1232"/>
        <v/>
      </c>
      <c r="AB621" s="51"/>
      <c r="AC621" s="51"/>
      <c r="AD621" s="52"/>
      <c r="AE621" s="53">
        <f t="shared" si="1233"/>
        <v>0</v>
      </c>
      <c r="AF621" s="54">
        <f t="shared" si="1234"/>
        <v>0</v>
      </c>
      <c r="AG621" s="75">
        <f t="shared" si="1235"/>
        <v>0</v>
      </c>
      <c r="AH621" s="76">
        <f t="shared" si="1236"/>
        <v>118.1205593</v>
      </c>
      <c r="AI621" s="77">
        <f> ( IF(ISNUMBER(G621), VLOOKUP(G621/$AH621,F!$A1:$B101,2,1)*G621*$H621*$I621,0)+IF(ISNUMBER(K621), VLOOKUP(K621/$AH621,F!$A1:$B101,2,1)*K621*$L621*$M621,0)+IF(ISNUMBER(O621), VLOOKUP(O621/$AH621,F!$A1:$B101,2,1)*O621*$P621*$Q621,0)+IF(ISNUMBER(S621), VLOOKUP(S621/$AH621,F!$A1:$B101,2,1)*S621*$T621*$U621,0)+IF(ISNUMBER(W621), VLOOKUP(W621/$AH621,F!$A1:$B101,2,1)*W621*$X621*$Y621,0)+IF(ISNUMBER(AA621), VLOOKUP(AA621/$AH621,F!$A1:$B101,2,1)*AA621*$AB621*$AC621,0))*IF(ISNUMBER(F621),F621,1)*IF(ISNUMBER(E621),E621,1)</f>
        <v>0</v>
      </c>
      <c r="AJ621" s="57">
        <f t="shared" si="1237"/>
        <v>0</v>
      </c>
      <c r="AK621" s="58">
        <f t="array" ref="AK621">IFERROR(I621*INDEX(F!$P$21:$AB$33, MATCH(G621/$AH621, F!$O$21:$O$33,1), MATCH(E621, F!$P$20:$AB$20,1)), 0 ) +IFERROR( M621*INDEX(F!$P$21:$AB$33, MATCH(K621/$AH621, F!$O$21:$O$33,1), MATCH(E621, F!$P$20:$AB$20,1)),0) +  IFERROR( Q621*INDEX(F!$P$21:$AB$33, MATCH(O621/$AH621, F!$O$21:$O$33,1), MATCH(E621, F!$P$20:$AB$20,1)), 0) + IFERROR( U621*INDEX(F!$P$21:$AB$33, MATCH(S621/$AH621, F!$O$21:$O$33,1), MATCH(E621, F!$P$20:$AB$20,1)),0)  + IFERROR(Y621*INDEX(F!$P$21:$AB$33, MATCH(W621/$AH621, F!$O$21:$O$33,1), MATCH(E621, F!$P$20:$AB$20,1)),0)  + IFERROR( AC621*INDEX(F!$P$21:$AB$33, MATCH(AA621/$AH621, F!$O$21:$O$33,1), MATCH(E621, F!$P$20:$AB$20,1)),)</f>
        <v>0</v>
      </c>
      <c r="AL621" s="59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ht="15.75" hidden="1" customHeight="1">
      <c r="A622" s="59"/>
      <c r="B622" s="60" t="str">
        <f t="shared" ref="B622:F622" si="1238">IF(B566="","",B566)</f>
        <v>Тяжелая</v>
      </c>
      <c r="C622" s="61" t="str">
        <f t="shared" si="1238"/>
        <v>ПР</v>
      </c>
      <c r="D622" s="62" t="str">
        <f t="shared" si="1238"/>
        <v>Присед</v>
      </c>
      <c r="E622" s="48">
        <f t="shared" si="1238"/>
        <v>1.2</v>
      </c>
      <c r="F622" s="63" t="str">
        <f t="shared" si="1238"/>
        <v/>
      </c>
      <c r="G622" s="64" t="str">
        <f t="shared" si="1227"/>
        <v/>
      </c>
      <c r="H622" s="34"/>
      <c r="I622" s="34"/>
      <c r="J622" s="65"/>
      <c r="K622" s="64" t="str">
        <f t="shared" si="1228"/>
        <v/>
      </c>
      <c r="L622" s="34"/>
      <c r="M622" s="34"/>
      <c r="N622" s="65"/>
      <c r="O622" s="64" t="str">
        <f t="shared" si="1229"/>
        <v/>
      </c>
      <c r="P622" s="34"/>
      <c r="Q622" s="34"/>
      <c r="R622" s="65"/>
      <c r="S622" s="64" t="str">
        <f t="shared" si="1230"/>
        <v/>
      </c>
      <c r="T622" s="34"/>
      <c r="U622" s="34"/>
      <c r="V622" s="65"/>
      <c r="W622" s="64" t="str">
        <f t="shared" si="1231"/>
        <v/>
      </c>
      <c r="X622" s="34"/>
      <c r="Y622" s="34"/>
      <c r="Z622" s="65"/>
      <c r="AA622" s="64" t="str">
        <f t="shared" si="1232"/>
        <v/>
      </c>
      <c r="AB622" s="34"/>
      <c r="AC622" s="34"/>
      <c r="AD622" s="65"/>
      <c r="AE622" s="66">
        <f t="shared" si="1233"/>
        <v>0</v>
      </c>
      <c r="AF622" s="67">
        <f t="shared" si="1234"/>
        <v>0</v>
      </c>
      <c r="AG622" s="68">
        <f t="shared" si="1235"/>
        <v>0</v>
      </c>
      <c r="AH622" s="76">
        <f t="shared" si="1236"/>
        <v>167.8555316</v>
      </c>
      <c r="AI622" s="70">
        <f> ( IF(ISNUMBER(G622), VLOOKUP(G622/$AH622,F!$A1:$B101,2,1)*G622*$H622*$I622,0)+IF(ISNUMBER(K622), VLOOKUP(K622/$AH622,F!$A1:$B101,2,1)*K622*$L622*$M622,0)+IF(ISNUMBER(O622), VLOOKUP(O622/$AH622,F!$A1:$B101,2,1)*O622*$P622*$Q622,0)+IF(ISNUMBER(S622), VLOOKUP(S622/$AH622,F!$A1:$B101,2,1)*S622*$T622*$U622,0)+IF(ISNUMBER(W622), VLOOKUP(W622/$AH622,F!$A1:$B101,2,1)*W622*$X622*$Y622,0)+IF(ISNUMBER(AA622), VLOOKUP(AA622/$AH622,F!$A1:$B101,2,1)*AA622*$AB622*$AC622,0))*IF(ISNUMBER(F622),F622,1)*IF(ISNUMBER(E622),E622,1)</f>
        <v>0</v>
      </c>
      <c r="AJ622" s="71">
        <f t="shared" si="1237"/>
        <v>0</v>
      </c>
      <c r="AK622" s="72">
        <f t="array" ref="AK622">IFERROR(I622*INDEX(F!$P$21:$AB$33, MATCH(G622/$AH622, F!$O$21:$O$33,1), MATCH(E622, F!$P$20:$AB$20,1)), 0 ) +IFERROR( M622*INDEX(F!$P$21:$AB$33, MATCH(K622/$AH622, F!$O$21:$O$33,1), MATCH(E622, F!$P$20:$AB$20,1)),0) +  IFERROR( Q622*INDEX(F!$P$21:$AB$33, MATCH(O622/$AH622, F!$O$21:$O$33,1), MATCH(E622, F!$P$20:$AB$20,1)), 0) + IFERROR( U622*INDEX(F!$P$21:$AB$33, MATCH(S622/$AH622, F!$O$21:$O$33,1), MATCH(E622, F!$P$20:$AB$20,1)),0)  + IFERROR(Y622*INDEX(F!$P$21:$AB$33, MATCH(W622/$AH622, F!$O$21:$O$33,1), MATCH(E622, F!$P$20:$AB$20,1)),0)  + IFERROR( AC622*INDEX(F!$P$21:$AB$33, MATCH(AA622/$AH622, F!$O$21:$O$33,1), MATCH(E622, F!$P$20:$AB$20,1)),)</f>
        <v>0</v>
      </c>
      <c r="AL622" s="59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ht="15.75" hidden="1" customHeight="1">
      <c r="A623" s="59"/>
      <c r="B623" s="215" t="str">
        <f t="shared" ref="B623:F623" si="1239">IF(B567="","",B567)</f>
        <v>Средняя</v>
      </c>
      <c r="C623" s="73" t="str">
        <f t="shared" si="1239"/>
        <v>ЖМ</v>
      </c>
      <c r="D623" s="47" t="str">
        <f t="shared" si="1239"/>
        <v>Жим гантелей</v>
      </c>
      <c r="E623" s="48">
        <f t="shared" si="1239"/>
        <v>1</v>
      </c>
      <c r="F623" s="74">
        <f t="shared" si="1239"/>
        <v>2</v>
      </c>
      <c r="G623" s="50" t="str">
        <f t="shared" si="1227"/>
        <v/>
      </c>
      <c r="H623" s="51"/>
      <c r="I623" s="51"/>
      <c r="J623" s="52"/>
      <c r="K623" s="50" t="str">
        <f t="shared" si="1228"/>
        <v/>
      </c>
      <c r="L623" s="51"/>
      <c r="M623" s="51"/>
      <c r="N623" s="52"/>
      <c r="O623" s="50" t="str">
        <f t="shared" si="1229"/>
        <v/>
      </c>
      <c r="P623" s="51"/>
      <c r="Q623" s="51"/>
      <c r="R623" s="52"/>
      <c r="S623" s="50" t="str">
        <f t="shared" si="1230"/>
        <v/>
      </c>
      <c r="T623" s="51"/>
      <c r="U623" s="51"/>
      <c r="V623" s="52"/>
      <c r="W623" s="50" t="str">
        <f t="shared" si="1231"/>
        <v/>
      </c>
      <c r="X623" s="51"/>
      <c r="Y623" s="51"/>
      <c r="Z623" s="52"/>
      <c r="AA623" s="50" t="str">
        <f t="shared" si="1232"/>
        <v/>
      </c>
      <c r="AB623" s="51"/>
      <c r="AC623" s="51"/>
      <c r="AD623" s="52"/>
      <c r="AE623" s="53">
        <f t="shared" si="1233"/>
        <v>0</v>
      </c>
      <c r="AF623" s="54">
        <f t="shared" si="1234"/>
        <v>0</v>
      </c>
      <c r="AG623" s="75">
        <f t="shared" si="1235"/>
        <v>0</v>
      </c>
      <c r="AH623" s="76">
        <f t="shared" si="1236"/>
        <v>37.79857898</v>
      </c>
      <c r="AI623" s="77">
        <f> ( IF(ISNUMBER(G623), VLOOKUP(G623/$AH623,F!$A1:$B101,2,1)*G623*$H623*$I623,0)+IF(ISNUMBER(K623), VLOOKUP(K623/$AH623,F!$A1:$B101,2,1)*K623*$L623*$M623,0)+IF(ISNUMBER(O623), VLOOKUP(O623/$AH623,F!$A1:$B101,2,1)*O623*$P623*$Q623,0)+IF(ISNUMBER(S623), VLOOKUP(S623/$AH623,F!$A1:$B101,2,1)*S623*$T623*$U623,0)+IF(ISNUMBER(W623), VLOOKUP(W623/$AH623,F!$A1:$B101,2,1)*W623*$X623*$Y623,0)+IF(ISNUMBER(AA623), VLOOKUP(AA623/$AH623,F!$A1:$B101,2,1)*AA623*$AB623*$AC623,0))*IF(ISNUMBER(F623),F623,1)*IF(ISNUMBER(E623),E623,1)</f>
        <v>0</v>
      </c>
      <c r="AJ623" s="57">
        <f t="shared" si="1237"/>
        <v>0</v>
      </c>
      <c r="AK623" s="58">
        <f t="array" ref="AK623">IFERROR(I623*INDEX(F!$P$21:$AB$33, MATCH(G623/$AH623, F!$O$21:$O$33,1), MATCH(E623, F!$P$20:$AB$20,1)), 0 ) +IFERROR( M623*INDEX(F!$P$21:$AB$33, MATCH(K623/$AH623, F!$O$21:$O$33,1), MATCH(E623, F!$P$20:$AB$20,1)),0) +  IFERROR( Q623*INDEX(F!$P$21:$AB$33, MATCH(O623/$AH623, F!$O$21:$O$33,1), MATCH(E623, F!$P$20:$AB$20,1)), 0) + IFERROR( U623*INDEX(F!$P$21:$AB$33, MATCH(S623/$AH623, F!$O$21:$O$33,1), MATCH(E623, F!$P$20:$AB$20,1)),0)  + IFERROR(Y623*INDEX(F!$P$21:$AB$33, MATCH(W623/$AH623, F!$O$21:$O$33,1), MATCH(E623, F!$P$20:$AB$20,1)),0)  + IFERROR( AC623*INDEX(F!$P$21:$AB$33, MATCH(AA623/$AH623, F!$O$21:$O$33,1), MATCH(E623, F!$P$20:$AB$20,1)),)</f>
        <v>0</v>
      </c>
      <c r="AL623" s="59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ht="15.75" hidden="1" customHeight="1">
      <c r="A624" s="59"/>
      <c r="B624" s="216" t="str">
        <f t="shared" ref="B624:F624" si="1240">IF(B568="","",B568)</f>
        <v>Средняя</v>
      </c>
      <c r="C624" s="78" t="str">
        <f t="shared" si="1240"/>
        <v>ОФП</v>
      </c>
      <c r="D624" s="62" t="str">
        <f t="shared" si="1240"/>
        <v>Французский жим</v>
      </c>
      <c r="E624" s="48">
        <f t="shared" si="1240"/>
        <v>0.4</v>
      </c>
      <c r="F624" s="79" t="str">
        <f t="shared" si="1240"/>
        <v/>
      </c>
      <c r="G624" s="64" t="str">
        <f t="shared" si="1227"/>
        <v/>
      </c>
      <c r="H624" s="34"/>
      <c r="I624" s="34"/>
      <c r="J624" s="65"/>
      <c r="K624" s="64" t="str">
        <f t="shared" si="1228"/>
        <v/>
      </c>
      <c r="L624" s="34"/>
      <c r="M624" s="34"/>
      <c r="N624" s="65"/>
      <c r="O624" s="64" t="str">
        <f t="shared" si="1229"/>
        <v/>
      </c>
      <c r="P624" s="34"/>
      <c r="Q624" s="34"/>
      <c r="R624" s="65"/>
      <c r="S624" s="64" t="str">
        <f t="shared" si="1230"/>
        <v/>
      </c>
      <c r="T624" s="34"/>
      <c r="U624" s="34"/>
      <c r="V624" s="65"/>
      <c r="W624" s="64" t="str">
        <f t="shared" si="1231"/>
        <v/>
      </c>
      <c r="X624" s="34"/>
      <c r="Y624" s="34"/>
      <c r="Z624" s="65"/>
      <c r="AA624" s="64" t="str">
        <f t="shared" si="1232"/>
        <v/>
      </c>
      <c r="AB624" s="34"/>
      <c r="AC624" s="34"/>
      <c r="AD624" s="65"/>
      <c r="AE624" s="66">
        <f t="shared" si="1233"/>
        <v>0</v>
      </c>
      <c r="AF624" s="67">
        <f t="shared" si="1234"/>
        <v>0</v>
      </c>
      <c r="AG624" s="68">
        <f t="shared" si="1235"/>
        <v>0</v>
      </c>
      <c r="AH624" s="76">
        <f t="shared" si="1236"/>
        <v>54.33545728</v>
      </c>
      <c r="AI624" s="70">
        <f> ( IF(ISNUMBER(G624), VLOOKUP(G624/$AH624,F!$A1:$B101,2,1)*G624*$H624*$I624,0)+IF(ISNUMBER(K624), VLOOKUP(K624/$AH624,F!$A1:$B101,2,1)*K624*$L624*$M624,0)+IF(ISNUMBER(O624), VLOOKUP(O624/$AH624,F!$A1:$B101,2,1)*O624*$P624*$Q624,0)+IF(ISNUMBER(S624), VLOOKUP(S624/$AH624,F!$A1:$B101,2,1)*S624*$T624*$U624,0)+IF(ISNUMBER(W624), VLOOKUP(W624/$AH624,F!$A1:$B101,2,1)*W624*$X624*$Y624,0)+IF(ISNUMBER(AA624), VLOOKUP(AA624/$AH624,F!$A1:$B101,2,1)*AA624*$AB624*$AC624,0))*IF(ISNUMBER(F624),F624,1)*IF(ISNUMBER(E624),E624,1)</f>
        <v>0</v>
      </c>
      <c r="AJ624" s="71">
        <f t="shared" si="1237"/>
        <v>0</v>
      </c>
      <c r="AK624" s="72">
        <f t="array" ref="AK624">IFERROR(I624*INDEX(F!$P$21:$AB$33, MATCH(G624/$AH624, F!$O$21:$O$33,1), MATCH(E624, F!$P$20:$AB$20,1)), 0 ) +IFERROR( M624*INDEX(F!$P$21:$AB$33, MATCH(K624/$AH624, F!$O$21:$O$33,1), MATCH(E624, F!$P$20:$AB$20,1)),0) +  IFERROR( Q624*INDEX(F!$P$21:$AB$33, MATCH(O624/$AH624, F!$O$21:$O$33,1), MATCH(E624, F!$P$20:$AB$20,1)), 0) + IFERROR( U624*INDEX(F!$P$21:$AB$33, MATCH(S624/$AH624, F!$O$21:$O$33,1), MATCH(E624, F!$P$20:$AB$20,1)),0)  + IFERROR(Y624*INDEX(F!$P$21:$AB$33, MATCH(W624/$AH624, F!$O$21:$O$33,1), MATCH(E624, F!$P$20:$AB$20,1)),0)  + IFERROR( AC624*INDEX(F!$P$21:$AB$33, MATCH(AA624/$AH624, F!$O$21:$O$33,1), MATCH(E624, F!$P$20:$AB$20,1)),)</f>
        <v>0</v>
      </c>
      <c r="AL624" s="59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ht="15.75" hidden="1" customHeight="1">
      <c r="A625" s="59"/>
      <c r="B625" s="45" t="str">
        <f t="shared" ref="B625:F625" si="1241">IF(B569="","",B569)</f>
        <v/>
      </c>
      <c r="C625" s="46" t="str">
        <f t="shared" si="1241"/>
        <v/>
      </c>
      <c r="D625" s="197" t="str">
        <f t="shared" si="1241"/>
        <v/>
      </c>
      <c r="E625" s="48" t="str">
        <f t="shared" si="1241"/>
        <v/>
      </c>
      <c r="F625" s="83" t="str">
        <f t="shared" si="1241"/>
        <v/>
      </c>
      <c r="G625" s="50" t="str">
        <f t="shared" si="1227"/>
        <v/>
      </c>
      <c r="H625" s="51"/>
      <c r="I625" s="51"/>
      <c r="J625" s="52"/>
      <c r="K625" s="50" t="str">
        <f t="shared" si="1228"/>
        <v/>
      </c>
      <c r="L625" s="51"/>
      <c r="M625" s="51"/>
      <c r="N625" s="52"/>
      <c r="O625" s="50" t="str">
        <f t="shared" si="1229"/>
        <v/>
      </c>
      <c r="P625" s="51"/>
      <c r="Q625" s="51"/>
      <c r="R625" s="52"/>
      <c r="S625" s="50" t="str">
        <f t="shared" si="1230"/>
        <v/>
      </c>
      <c r="T625" s="51"/>
      <c r="U625" s="51"/>
      <c r="V625" s="52"/>
      <c r="W625" s="50" t="str">
        <f t="shared" si="1231"/>
        <v/>
      </c>
      <c r="X625" s="51"/>
      <c r="Y625" s="51"/>
      <c r="Z625" s="52"/>
      <c r="AA625" s="50" t="str">
        <f t="shared" si="1232"/>
        <v/>
      </c>
      <c r="AB625" s="51"/>
      <c r="AC625" s="51"/>
      <c r="AD625" s="52"/>
      <c r="AE625" s="53">
        <f t="shared" si="1233"/>
        <v>0</v>
      </c>
      <c r="AF625" s="54">
        <f t="shared" si="1234"/>
        <v>0</v>
      </c>
      <c r="AG625" s="75">
        <f t="shared" si="1235"/>
        <v>0</v>
      </c>
      <c r="AH625" s="76" t="str">
        <f t="shared" si="1236"/>
        <v/>
      </c>
      <c r="AI625" s="77">
        <f> ( IF(ISNUMBER(G625), VLOOKUP(G625/$AH625,F!$A1:$B101,2,1)*G625*$H625*$I625,0)+IF(ISNUMBER(K625), VLOOKUP(K625/$AH625,F!$A1:$B101,2,1)*K625*$L625*$M625,0)+IF(ISNUMBER(O625), VLOOKUP(O625/$AH625,F!$A1:$B101,2,1)*O625*$P625*$Q625,0)+IF(ISNUMBER(S625), VLOOKUP(S625/$AH625,F!$A1:$B101,2,1)*S625*$T625*$U625,0)+IF(ISNUMBER(W625), VLOOKUP(W625/$AH625,F!$A1:$B101,2,1)*W625*$X625*$Y625,0)+IF(ISNUMBER(AA625), VLOOKUP(AA625/$AH625,F!$A1:$B101,2,1)*AA625*$AB625*$AC625,0))*IF(ISNUMBER(F625),F625,1)*IF(ISNUMBER(E625),E625,1)</f>
        <v>0</v>
      </c>
      <c r="AJ625" s="86">
        <f t="shared" si="1237"/>
        <v>0</v>
      </c>
      <c r="AK625" s="58">
        <f t="array" ref="AK625">IFERROR(I625*INDEX(F!$P$21:$AB$33, MATCH(G625/$AH625, F!$O$21:$O$33,1), MATCH(E625, F!$P$20:$AB$20,1)), 0 ) +IFERROR( M625*INDEX(F!$P$21:$AB$33, MATCH(K625/$AH625, F!$O$21:$O$33,1), MATCH(E625, F!$P$20:$AB$20,1)),0) +  IFERROR( Q625*INDEX(F!$P$21:$AB$33, MATCH(O625/$AH625, F!$O$21:$O$33,1), MATCH(E625, F!$P$20:$AB$20,1)), 0) + IFERROR( U625*INDEX(F!$P$21:$AB$33, MATCH(S625/$AH625, F!$O$21:$O$33,1), MATCH(E625, F!$P$20:$AB$20,1)),0)  + IFERROR(Y625*INDEX(F!$P$21:$AB$33, MATCH(W625/$AH625, F!$O$21:$O$33,1), MATCH(E625, F!$P$20:$AB$20,1)),0)  + IFERROR( AC625*INDEX(F!$P$21:$AB$33, MATCH(AA625/$AH625, F!$O$21:$O$33,1), MATCH(E625, F!$P$20:$AB$20,1)),)</f>
        <v>0</v>
      </c>
      <c r="AL625" s="59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ht="15.0" hidden="1" customHeight="1">
      <c r="A626" s="59"/>
      <c r="B626" s="60" t="str">
        <f t="shared" ref="B626:F626" si="1242">IF(B570="","",B570)</f>
        <v/>
      </c>
      <c r="C626" s="61" t="str">
        <f t="shared" si="1242"/>
        <v/>
      </c>
      <c r="D626" s="198" t="str">
        <f t="shared" si="1242"/>
        <v/>
      </c>
      <c r="E626" s="48" t="str">
        <f t="shared" si="1242"/>
        <v/>
      </c>
      <c r="F626" s="79" t="str">
        <f t="shared" si="1242"/>
        <v/>
      </c>
      <c r="G626" s="64" t="str">
        <f t="shared" si="1227"/>
        <v/>
      </c>
      <c r="H626" s="34"/>
      <c r="I626" s="34"/>
      <c r="J626" s="65"/>
      <c r="K626" s="64" t="str">
        <f t="shared" si="1228"/>
        <v/>
      </c>
      <c r="L626" s="34"/>
      <c r="M626" s="34"/>
      <c r="N626" s="65"/>
      <c r="O626" s="64" t="str">
        <f t="shared" si="1229"/>
        <v/>
      </c>
      <c r="P626" s="34"/>
      <c r="Q626" s="34"/>
      <c r="R626" s="65"/>
      <c r="S626" s="64" t="str">
        <f t="shared" si="1230"/>
        <v/>
      </c>
      <c r="T626" s="34"/>
      <c r="U626" s="34"/>
      <c r="V626" s="65"/>
      <c r="W626" s="64" t="str">
        <f t="shared" si="1231"/>
        <v/>
      </c>
      <c r="X626" s="34"/>
      <c r="Y626" s="34"/>
      <c r="Z626" s="65"/>
      <c r="AA626" s="64" t="str">
        <f t="shared" si="1232"/>
        <v/>
      </c>
      <c r="AB626" s="34"/>
      <c r="AC626" s="34"/>
      <c r="AD626" s="65"/>
      <c r="AE626" s="66">
        <f t="shared" si="1233"/>
        <v>0</v>
      </c>
      <c r="AF626" s="67">
        <f t="shared" si="1234"/>
        <v>0</v>
      </c>
      <c r="AG626" s="68">
        <f t="shared" si="1235"/>
        <v>0</v>
      </c>
      <c r="AH626" s="76" t="str">
        <f t="shared" si="1236"/>
        <v/>
      </c>
      <c r="AI626" s="90">
        <f> ( IF(ISNUMBER(G626), VLOOKUP(G626/$AH626,F!$A1:$B101,2,1)*G626*$H626*$I626,0)+IF(ISNUMBER(K626), VLOOKUP(K626/$AH626,F!$A1:$B101,2,1)*K626*$L626*$M626,0)+IF(ISNUMBER(O626), VLOOKUP(O626/$AH626,F!$A1:$B101,2,1)*O626*$P626*$Q626,0)+IF(ISNUMBER(S626), VLOOKUP(S626/$AH626,F!$A1:$B101,2,1)*S626*$T626*$U626,0)+IF(ISNUMBER(W626), VLOOKUP(W626/$AH626,F!$A1:$B101,2,1)*W626*$X626*$Y626,0)+IF(ISNUMBER(AA626), VLOOKUP(AA626/$AH626,F!$A1:$B101,2,1)*AA626*$AB626*$AC626,0))*IF(ISNUMBER(F626),F626,1)*IF(ISNUMBER(E626),E626,1)</f>
        <v>0</v>
      </c>
      <c r="AJ626" s="34">
        <f t="shared" si="1237"/>
        <v>0</v>
      </c>
      <c r="AK626" s="91">
        <f t="array" ref="AK626">IFERROR(I626*INDEX(F!$P$21:$AB$33, MATCH(G626/$AH626, F!$O$21:$O$33,1), MATCH(E626, F!$P$20:$AB$20,1)), 0 ) +IFERROR( M626*INDEX(F!$P$21:$AB$33, MATCH(K626/$AH626, F!$O$21:$O$33,1), MATCH(E626, F!$P$20:$AB$20,1)),0) +  IFERROR( Q626*INDEX(F!$P$21:$AB$33, MATCH(O626/$AH626, F!$O$21:$O$33,1), MATCH(E626, F!$P$20:$AB$20,1)), 0) + IFERROR( U626*INDEX(F!$P$21:$AB$33, MATCH(S626/$AH626, F!$O$21:$O$33,1), MATCH(E626, F!$P$20:$AB$20,1)),0)  + IFERROR(Y626*INDEX(F!$P$21:$AB$33, MATCH(W626/$AH626, F!$O$21:$O$33,1), MATCH(E626, F!$P$20:$AB$20,1)),0)  + IFERROR( AC626*INDEX(F!$P$21:$AB$33, MATCH(AA626/$AH626, F!$O$21:$O$33,1), MATCH(E626, F!$P$20:$AB$20,1)),)</f>
        <v>0</v>
      </c>
      <c r="AL626" s="59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ht="15.0" hidden="1" customHeight="1">
      <c r="A627" s="59"/>
      <c r="B627" s="45" t="str">
        <f t="shared" ref="B627:F627" si="1243">IF(B571="","",B571)</f>
        <v/>
      </c>
      <c r="C627" s="46" t="str">
        <f t="shared" si="1243"/>
        <v/>
      </c>
      <c r="D627" s="92" t="str">
        <f t="shared" si="1243"/>
        <v/>
      </c>
      <c r="E627" s="48" t="str">
        <f t="shared" si="1243"/>
        <v/>
      </c>
      <c r="F627" s="74" t="str">
        <f t="shared" si="1243"/>
        <v/>
      </c>
      <c r="G627" s="50" t="str">
        <f t="shared" si="1227"/>
        <v/>
      </c>
      <c r="H627" s="51"/>
      <c r="I627" s="51"/>
      <c r="J627" s="52"/>
      <c r="K627" s="50" t="str">
        <f t="shared" si="1228"/>
        <v/>
      </c>
      <c r="L627" s="51"/>
      <c r="M627" s="51"/>
      <c r="N627" s="52"/>
      <c r="O627" s="50" t="str">
        <f t="shared" si="1229"/>
        <v/>
      </c>
      <c r="P627" s="51"/>
      <c r="Q627" s="51"/>
      <c r="R627" s="52"/>
      <c r="S627" s="50" t="str">
        <f t="shared" si="1230"/>
        <v/>
      </c>
      <c r="T627" s="51"/>
      <c r="U627" s="51"/>
      <c r="V627" s="52"/>
      <c r="W627" s="50" t="str">
        <f t="shared" si="1231"/>
        <v/>
      </c>
      <c r="X627" s="51"/>
      <c r="Y627" s="51"/>
      <c r="Z627" s="52"/>
      <c r="AA627" s="50" t="str">
        <f t="shared" si="1232"/>
        <v/>
      </c>
      <c r="AB627" s="51"/>
      <c r="AC627" s="51"/>
      <c r="AD627" s="52"/>
      <c r="AE627" s="53">
        <f t="shared" si="1233"/>
        <v>0</v>
      </c>
      <c r="AF627" s="93">
        <f t="shared" si="1234"/>
        <v>0</v>
      </c>
      <c r="AG627" s="94">
        <f t="shared" si="1235"/>
        <v>0</v>
      </c>
      <c r="AH627" s="76" t="str">
        <f t="shared" si="1236"/>
        <v/>
      </c>
      <c r="AI627" s="95">
        <f> ( IF(ISNUMBER(G627), VLOOKUP(G627/$AH627,F!$A1:$B101,2,1)*G627*$H627*$I627,0)+IF(ISNUMBER(K627), VLOOKUP(K627/$AH627,F!$A1:$B101,2,1)*K627*$L627*$M627,0)+IF(ISNUMBER(O627), VLOOKUP(O627/$AH627,F!$A1:$B101,2,1)*O627*$P627*$Q627,0)+IF(ISNUMBER(S627), VLOOKUP(S627/$AH627,F!$A1:$B101,2,1)*S627*$T627*$U627,0)+IF(ISNUMBER(W627), VLOOKUP(W627/$AH627,F!$A1:$B101,2,1)*W627*$X627*$Y627,0)+IF(ISNUMBER(AA627), VLOOKUP(AA627/$AH627,F!$A1:$B101,2,1)*AA627*$AB627*$AC627,0))*IF(ISNUMBER(F627),F627,1)*IF(ISNUMBER(E627),E627,1)</f>
        <v>0</v>
      </c>
      <c r="AJ627" s="96">
        <f t="shared" si="1237"/>
        <v>0</v>
      </c>
      <c r="AK627" s="97">
        <f t="array" ref="AK627">IFERROR(I627*INDEX(F!$P$21:$AB$33, MATCH(G627/$AH627, F!$O$21:$O$33,1), MATCH(E627, F!$P$20:$AB$20,1)), 0 ) +IFERROR( M627*INDEX(F!$P$21:$AB$33, MATCH(K627/$AH627, F!$O$21:$O$33,1), MATCH(E627, F!$P$20:$AB$20,1)),0) +  IFERROR( Q627*INDEX(F!$P$21:$AB$33, MATCH(O627/$AH627, F!$O$21:$O$33,1), MATCH(E627, F!$P$20:$AB$20,1)), 0) + IFERROR( U627*INDEX(F!$P$21:$AB$33, MATCH(S627/$AH627, F!$O$21:$O$33,1), MATCH(E627, F!$P$20:$AB$20,1)),0)  + IFERROR(Y627*INDEX(F!$P$21:$AB$33, MATCH(W627/$AH627, F!$O$21:$O$33,1), MATCH(E627, F!$P$20:$AB$20,1)),0)  + IFERROR( AC627*INDEX(F!$P$21:$AB$33, MATCH(AA627/$AH627, F!$O$21:$O$33,1), MATCH(E627, F!$P$20:$AB$20,1)),)</f>
        <v>0</v>
      </c>
      <c r="AL627" s="59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ht="15.75" hidden="1" customHeight="1">
      <c r="A628" s="98"/>
      <c r="B628" s="99"/>
      <c r="C628" s="100"/>
      <c r="D628" s="101"/>
      <c r="E628" s="102">
        <f>ROUND(IFERROR(SUMPRODUCT(AJ620:AJ627,E620:E627)/AJ628,0),3)</f>
        <v>0</v>
      </c>
      <c r="F628" s="199"/>
      <c r="G628" s="104"/>
      <c r="H628" s="105"/>
      <c r="I628" s="105"/>
      <c r="J628" s="106"/>
      <c r="K628" s="104"/>
      <c r="L628" s="105"/>
      <c r="M628" s="105"/>
      <c r="N628" s="106"/>
      <c r="O628" s="104"/>
      <c r="P628" s="105"/>
      <c r="Q628" s="105"/>
      <c r="R628" s="106"/>
      <c r="S628" s="104"/>
      <c r="T628" s="105"/>
      <c r="U628" s="105"/>
      <c r="V628" s="106"/>
      <c r="W628" s="104"/>
      <c r="X628" s="105"/>
      <c r="Y628" s="105"/>
      <c r="Z628" s="106"/>
      <c r="AA628" s="104"/>
      <c r="AB628" s="105"/>
      <c r="AC628" s="105"/>
      <c r="AD628" s="106"/>
      <c r="AE628" s="107">
        <f>SUM(AE620:AE627)</f>
        <v>0</v>
      </c>
      <c r="AF628" s="108">
        <f t="shared" si="1234"/>
        <v>0</v>
      </c>
      <c r="AG628" s="109">
        <f>IFERROR(  SUMPRODUCT(AG620:AG627,AJ620:AJ627)/AJ628,0)</f>
        <v>0</v>
      </c>
      <c r="AH628" s="157"/>
      <c r="AI628" s="111">
        <f t="shared" ref="AI628:AJ628" si="1244">SUM(AI620:AI627)</f>
        <v>0</v>
      </c>
      <c r="AJ628" s="111">
        <f t="shared" si="1244"/>
        <v>0</v>
      </c>
      <c r="AK628" s="112">
        <f>IF(SUM(AK620:AK627)=0,TIME(,0,),TIME(,SUM(AK620:AK627)+F!$V$37,))</f>
        <v>0</v>
      </c>
      <c r="AL628" s="98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ht="15.75" hidden="1" customHeight="1">
      <c r="A629" s="113">
        <f>A630</f>
        <v>43859</v>
      </c>
      <c r="B629" s="114" t="str">
        <f t="shared" ref="B629:F629" si="1245">IF(B573="","",B573)</f>
        <v>Тяжелая</v>
      </c>
      <c r="C629" s="115" t="str">
        <f t="shared" si="1245"/>
        <v>ТГ</v>
      </c>
      <c r="D629" s="116" t="str">
        <f t="shared" si="1245"/>
        <v>Становая тяга</v>
      </c>
      <c r="E629" s="29">
        <f t="shared" si="1245"/>
        <v>1.4</v>
      </c>
      <c r="F629" s="117" t="str">
        <f t="shared" si="1245"/>
        <v/>
      </c>
      <c r="G629" s="118" t="str">
        <f t="shared" ref="G629:G636" si="1247">IF(J629&lt;&gt;0, IFERROR(IF( $F629=2,  MROUND($AH629*J629,1),    IF( OR($F629="",$F629=1),   MROUND($AH629*J629,2.5),  MROUND($AH629*J629, 0.1))), "" ), "")</f>
        <v/>
      </c>
      <c r="H629" s="119"/>
      <c r="I629" s="119"/>
      <c r="J629" s="120"/>
      <c r="K629" s="118" t="str">
        <f t="shared" ref="K629:K636" si="1248">IF(N629&lt;&gt;0, IFERROR(IF( $F629=2,  MROUND($AH629*N629,1),    IF( OR($F629="",$F629=1),   MROUND($AH629*N629,2.5),  MROUND($AH629*N629, 0.1))), "" ), "")</f>
        <v/>
      </c>
      <c r="L629" s="119"/>
      <c r="M629" s="119"/>
      <c r="N629" s="120"/>
      <c r="O629" s="118" t="str">
        <f t="shared" ref="O629:O636" si="1249">IF(R629&lt;&gt;0, IFERROR(IF( $F629=2,  MROUND($AH629*R629,1),    IF( OR($F629="",$F629=1),   MROUND($AH629*R629,2.5),  MROUND($AH629*R629, 0.1))), "" ), "")</f>
        <v/>
      </c>
      <c r="P629" s="119"/>
      <c r="Q629" s="119"/>
      <c r="R629" s="120"/>
      <c r="S629" s="118" t="str">
        <f t="shared" ref="S629:S636" si="1250">IF(V629&lt;&gt;0, IFERROR(IF( $F629=2,  MROUND($AH629*V629,1),    IF( OR($F629="",$F629=1),   MROUND($AH629*V629,2.5),  MROUND($AH629*V629, 0.1))), "" ), "")</f>
        <v/>
      </c>
      <c r="T629" s="119"/>
      <c r="U629" s="119"/>
      <c r="V629" s="120"/>
      <c r="W629" s="118" t="str">
        <f t="shared" ref="W629:W636" si="1251">IF(Z629&lt;&gt;0, IFERROR(IF( $F629=2,  MROUND($AH629*Z629,1),    IF( OR($F629="",$F629=1),   MROUND($AH629*Z629,2.5),  MROUND($AH629*Z629, 0.1))), "" ), "")</f>
        <v/>
      </c>
      <c r="X629" s="119"/>
      <c r="Y629" s="119"/>
      <c r="Z629" s="120"/>
      <c r="AA629" s="118" t="str">
        <f t="shared" ref="AA629:AA636" si="1252">IF(AD629&lt;&gt;0, IFERROR(IF( $F629=2,  MROUND($AH629*AD629,1),    IF( OR($F629="",$F629=1),   MROUND($AH629*AD629,2.5),  MROUND($AH629*AD629, 0.1))), "" ), "")</f>
        <v/>
      </c>
      <c r="AB629" s="119"/>
      <c r="AC629" s="119"/>
      <c r="AD629" s="120"/>
      <c r="AE629" s="121">
        <f t="shared" ref="AE629:AE636" si="1253">(IF(ISNUMBER(G629),G629,0)*H629*I629+IF(ISNUMBER(K629),K629,1)*L629*M629+IF(ISNUMBER(O629),O629,1)*P629*Q629+IF(ISNUMBER(S629),S629,1)*T629*U629+IF(ISNUMBER(W629),W629,1)*X629*Y629+IF(ISNUMBER(AA629),AA629,1)*AB629*AC629)*IF(ISNUMBER(F629),F629,1)</f>
        <v>0</v>
      </c>
      <c r="AF629" s="122">
        <f t="shared" si="1234"/>
        <v>0</v>
      </c>
      <c r="AG629" s="200">
        <f t="shared" ref="AG629:AG636" si="1254">IFERROR((AF629/(AH629*IF(ISNUMBER(F629),F629,1))),0)</f>
        <v>0</v>
      </c>
      <c r="AH629" s="169">
        <f t="shared" ref="AH629:AH636" si="1255">IF(ISNUMBER(AH573), AH573+(AH573*$AH$618),"")</f>
        <v>230.0242471</v>
      </c>
      <c r="AI629" s="122">
        <f> ( IF(ISNUMBER(G629), VLOOKUP(G629/$AH629,F!$A1:$B101,2,1)*G629*$H629*$I629,0)+IF(ISNUMBER(K629), VLOOKUP(K629/$AH629,F!$A1:$B101,2,1)*K629*$L629*$M629,0)+IF(ISNUMBER(O629), VLOOKUP(O629/$AH629,F!$A1:$B101,2,1)*O629*$P629*$Q629,0)+IF(ISNUMBER(S629), VLOOKUP(S629/$AH629,F!$A1:$B101,2,1)*S629*$T629*$U629,0)+IF(ISNUMBER(W629), VLOOKUP(W629/$AH629,F!$A1:$B101,2,1)*W629*$X629*$Y629,0)+IF(ISNUMBER(AA629), VLOOKUP(AA629/$AH629,F!$A1:$B101,2,1)*AA629*$AB629*$AC629,0))*IF(ISNUMBER(F629),F629,1)*IF(ISNUMBER(E629),E629,1)</f>
        <v>0</v>
      </c>
      <c r="AJ629" s="119">
        <f t="shared" ref="AJ629:AJ636" si="1256">H629*I629+L629*M629+P629*Q629+T629*U629+X629*Y629+AB629*AC629</f>
        <v>0</v>
      </c>
      <c r="AK629" s="125">
        <f t="array" ref="AK629">IFERROR(I629*INDEX(F!$P$21:$AB$33, MATCH(G629/$AH629, F!$O$21:$O$33,1), MATCH(E629, F!$P$20:$AB$20,1)), 0 ) +IFERROR( M629*INDEX(F!$P$21:$AB$33, MATCH(K629/$AH629, F!$O$21:$O$33,1), MATCH(E629, F!$P$20:$AB$20,1)),0) +  IFERROR( Q629*INDEX(F!$P$21:$AB$33, MATCH(O629/$AH629, F!$O$21:$O$33,1), MATCH(E629, F!$P$20:$AB$20,1)), 0) + IFERROR( U629*INDEX(F!$P$21:$AB$33, MATCH(S629/$AH629, F!$O$21:$O$33,1), MATCH(E629, F!$P$20:$AB$20,1)),0)  + IFERROR(Y629*INDEX(F!$P$21:$AB$33, MATCH(W629/$AH629, F!$O$21:$O$33,1), MATCH(E629, F!$P$20:$AB$20,1)),0)  + IFERROR( AC629*INDEX(F!$P$21:$AB$33, MATCH(AA629/$AH629, F!$O$21:$O$33,1), MATCH(E629, F!$P$20:$AB$20,1)),)</f>
        <v>0</v>
      </c>
      <c r="AL629" s="42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ht="15.75" hidden="1" customHeight="1">
      <c r="A630" s="44">
        <f>A574+A562</f>
        <v>43859</v>
      </c>
      <c r="B630" s="126" t="str">
        <f t="shared" ref="B630:F630" si="1246">IF(B574="","",B574)</f>
        <v>Средняя</v>
      </c>
      <c r="C630" s="127" t="str">
        <f t="shared" si="1246"/>
        <v>ЖМ</v>
      </c>
      <c r="D630" s="128" t="str">
        <f t="shared" si="1246"/>
        <v>Жим лежа</v>
      </c>
      <c r="E630" s="48">
        <f t="shared" si="1246"/>
        <v>1</v>
      </c>
      <c r="F630" s="129" t="str">
        <f t="shared" si="1246"/>
        <v/>
      </c>
      <c r="G630" s="130" t="str">
        <f t="shared" si="1247"/>
        <v/>
      </c>
      <c r="H630" s="34"/>
      <c r="I630" s="34"/>
      <c r="J630" s="65"/>
      <c r="K630" s="130" t="str">
        <f t="shared" si="1248"/>
        <v/>
      </c>
      <c r="L630" s="34"/>
      <c r="M630" s="34"/>
      <c r="N630" s="65"/>
      <c r="O630" s="130" t="str">
        <f t="shared" si="1249"/>
        <v/>
      </c>
      <c r="P630" s="34"/>
      <c r="Q630" s="34"/>
      <c r="R630" s="65"/>
      <c r="S630" s="130" t="str">
        <f t="shared" si="1250"/>
        <v/>
      </c>
      <c r="T630" s="34"/>
      <c r="U630" s="34"/>
      <c r="V630" s="65"/>
      <c r="W630" s="130" t="str">
        <f t="shared" si="1251"/>
        <v/>
      </c>
      <c r="X630" s="34"/>
      <c r="Y630" s="34"/>
      <c r="Z630" s="65"/>
      <c r="AA630" s="130" t="str">
        <f t="shared" si="1252"/>
        <v/>
      </c>
      <c r="AB630" s="34"/>
      <c r="AC630" s="34"/>
      <c r="AD630" s="65"/>
      <c r="AE630" s="131">
        <f t="shared" si="1253"/>
        <v>0</v>
      </c>
      <c r="AF630" s="132">
        <f t="shared" si="1234"/>
        <v>0</v>
      </c>
      <c r="AG630" s="133">
        <f t="shared" si="1254"/>
        <v>0</v>
      </c>
      <c r="AH630" s="76">
        <f t="shared" si="1255"/>
        <v>118.1205593</v>
      </c>
      <c r="AI630" s="132">
        <f> ( IF(ISNUMBER(G630), VLOOKUP(G630/$AH630,F!$A1:$B101,2,1)*G630*$H630*$I630,0)+IF(ISNUMBER(K630), VLOOKUP(K630/$AH630,F!$A1:$B101,2,1)*K630*$L630*$M630,0)+IF(ISNUMBER(O630), VLOOKUP(O630/$AH630,F!$A1:$B101,2,1)*O630*$P630*$Q630,0)+IF(ISNUMBER(S630), VLOOKUP(S630/$AH630,F!$A1:$B101,2,1)*S630*$T630*$U630,0)+IF(ISNUMBER(W630), VLOOKUP(W630/$AH630,F!$A1:$B101,2,1)*W630*$X630*$Y630,0)+IF(ISNUMBER(AA630), VLOOKUP(AA630/$AH630,F!$A1:$B101,2,1)*AA630*$AB630*$AC630,0))*IF(ISNUMBER(F630),F630,1)*IF(ISNUMBER(E630),E630,1)</f>
        <v>0</v>
      </c>
      <c r="AJ630" s="34">
        <f t="shared" si="1256"/>
        <v>0</v>
      </c>
      <c r="AK630" s="134">
        <f t="array" ref="AK630">IFERROR(I630*INDEX(F!$P$21:$AB$33, MATCH(G630/$AH630, F!$O$21:$O$33,1), MATCH(E630, F!$P$20:$AB$20,1)), 0 ) +IFERROR( M630*INDEX(F!$P$21:$AB$33, MATCH(K630/$AH630, F!$O$21:$O$33,1), MATCH(E630, F!$P$20:$AB$20,1)),0) +  IFERROR( Q630*INDEX(F!$P$21:$AB$33, MATCH(O630/$AH630, F!$O$21:$O$33,1), MATCH(E630, F!$P$20:$AB$20,1)), 0) + IFERROR( U630*INDEX(F!$P$21:$AB$33, MATCH(S630/$AH630, F!$O$21:$O$33,1), MATCH(E630, F!$P$20:$AB$20,1)),0)  + IFERROR(Y630*INDEX(F!$P$21:$AB$33, MATCH(W630/$AH630, F!$O$21:$O$33,1), MATCH(E630, F!$P$20:$AB$20,1)),0)  + IFERROR( AC630*INDEX(F!$P$21:$AB$33, MATCH(AA630/$AH630, F!$O$21:$O$33,1), MATCH(E630, F!$P$20:$AB$20,1)),)</f>
        <v>0</v>
      </c>
      <c r="AL630" s="59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ht="15.75" hidden="1" customHeight="1">
      <c r="A631" s="59"/>
      <c r="B631" s="135" t="str">
        <f t="shared" ref="B631:F631" si="1257">IF(B575="","",B575)</f>
        <v>Легкая</v>
      </c>
      <c r="C631" s="136" t="str">
        <f t="shared" si="1257"/>
        <v>ОФП</v>
      </c>
      <c r="D631" s="137" t="str">
        <f t="shared" si="1257"/>
        <v>Наклоны со штангой</v>
      </c>
      <c r="E631" s="48">
        <f t="shared" si="1257"/>
        <v>0.8</v>
      </c>
      <c r="F631" s="138" t="str">
        <f t="shared" si="1257"/>
        <v/>
      </c>
      <c r="G631" s="139" t="str">
        <f t="shared" si="1247"/>
        <v/>
      </c>
      <c r="H631" s="140"/>
      <c r="I631" s="140"/>
      <c r="J631" s="141"/>
      <c r="K631" s="139" t="str">
        <f t="shared" si="1248"/>
        <v/>
      </c>
      <c r="L631" s="140"/>
      <c r="M631" s="140"/>
      <c r="N631" s="141"/>
      <c r="O631" s="139" t="str">
        <f t="shared" si="1249"/>
        <v/>
      </c>
      <c r="P631" s="140"/>
      <c r="Q631" s="140"/>
      <c r="R631" s="141"/>
      <c r="S631" s="139" t="str">
        <f t="shared" si="1250"/>
        <v/>
      </c>
      <c r="T631" s="140"/>
      <c r="U631" s="140"/>
      <c r="V631" s="141"/>
      <c r="W631" s="139" t="str">
        <f t="shared" si="1251"/>
        <v/>
      </c>
      <c r="X631" s="140"/>
      <c r="Y631" s="140"/>
      <c r="Z631" s="141"/>
      <c r="AA631" s="139" t="str">
        <f t="shared" si="1252"/>
        <v/>
      </c>
      <c r="AB631" s="140"/>
      <c r="AC631" s="140"/>
      <c r="AD631" s="141"/>
      <c r="AE631" s="142">
        <f t="shared" si="1253"/>
        <v>0</v>
      </c>
      <c r="AF631" s="143">
        <f t="shared" si="1234"/>
        <v>0</v>
      </c>
      <c r="AG631" s="144">
        <f t="shared" si="1254"/>
        <v>0</v>
      </c>
      <c r="AH631" s="76">
        <f t="shared" si="1255"/>
        <v>126.5133359</v>
      </c>
      <c r="AI631" s="143">
        <f> ( IF(ISNUMBER(G631), VLOOKUP(G631/$AH631,F!$A1:$B101,2,1)*G631*$H631*$I631,0)+IF(ISNUMBER(K631), VLOOKUP(K631/$AH631,F!$A1:$B101,2,1)*K631*$L631*$M631,0)+IF(ISNUMBER(O631), VLOOKUP(O631/$AH631,F!$A1:$B101,2,1)*O631*$P631*$Q631,0)+IF(ISNUMBER(S631), VLOOKUP(S631/$AH631,F!$A1:$B101,2,1)*S631*$T631*$U631,0)+IF(ISNUMBER(W631), VLOOKUP(W631/$AH631,F!$A1:$B101,2,1)*W631*$X631*$Y631,0)+IF(ISNUMBER(AA631), VLOOKUP(AA631/$AH631,F!$A1:$B101,2,1)*AA631*$AB631*$AC631,0))*IF(ISNUMBER(F631),F631,1)*IF(ISNUMBER(E631),E631,1)</f>
        <v>0</v>
      </c>
      <c r="AJ631" s="140">
        <f t="shared" si="1256"/>
        <v>0</v>
      </c>
      <c r="AK631" s="145">
        <f t="array" ref="AK631">IFERROR(I631*INDEX(F!$P$21:$AB$33, MATCH(G631/$AH631, F!$O$21:$O$33,1), MATCH(E631, F!$P$20:$AB$20,1)), 0 ) +IFERROR( M631*INDEX(F!$P$21:$AB$33, MATCH(K631/$AH631, F!$O$21:$O$33,1), MATCH(E631, F!$P$20:$AB$20,1)),0) +  IFERROR( Q631*INDEX(F!$P$21:$AB$33, MATCH(O631/$AH631, F!$O$21:$O$33,1), MATCH(E631, F!$P$20:$AB$20,1)), 0) + IFERROR( U631*INDEX(F!$P$21:$AB$33, MATCH(S631/$AH631, F!$O$21:$O$33,1), MATCH(E631, F!$P$20:$AB$20,1)),0)  + IFERROR(Y631*INDEX(F!$P$21:$AB$33, MATCH(W631/$AH631, F!$O$21:$O$33,1), MATCH(E631, F!$P$20:$AB$20,1)),0)  + IFERROR( AC631*INDEX(F!$P$21:$AB$33, MATCH(AA631/$AH631, F!$O$21:$O$33,1), MATCH(E631, F!$P$20:$AB$20,1)),)</f>
        <v>0</v>
      </c>
      <c r="AL631" s="59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ht="15.75" hidden="1" customHeight="1">
      <c r="A632" s="59"/>
      <c r="B632" s="126" t="str">
        <f t="shared" ref="B632:F632" si="1258">IF(B576="","",B576)</f>
        <v>Средняя</v>
      </c>
      <c r="C632" s="127" t="str">
        <f t="shared" si="1258"/>
        <v>ОФП</v>
      </c>
      <c r="D632" s="128" t="str">
        <f t="shared" si="1258"/>
        <v>Жим стоя</v>
      </c>
      <c r="E632" s="48">
        <f t="shared" si="1258"/>
        <v>1</v>
      </c>
      <c r="F632" s="129" t="str">
        <f t="shared" si="1258"/>
        <v/>
      </c>
      <c r="G632" s="130" t="str">
        <f t="shared" si="1247"/>
        <v/>
      </c>
      <c r="H632" s="34"/>
      <c r="I632" s="34"/>
      <c r="J632" s="65"/>
      <c r="K632" s="130" t="str">
        <f t="shared" si="1248"/>
        <v/>
      </c>
      <c r="L632" s="34"/>
      <c r="M632" s="34"/>
      <c r="N632" s="65"/>
      <c r="O632" s="130" t="str">
        <f t="shared" si="1249"/>
        <v/>
      </c>
      <c r="P632" s="34"/>
      <c r="Q632" s="34"/>
      <c r="R632" s="65"/>
      <c r="S632" s="130" t="str">
        <f t="shared" si="1250"/>
        <v/>
      </c>
      <c r="T632" s="34"/>
      <c r="U632" s="34"/>
      <c r="V632" s="65"/>
      <c r="W632" s="130" t="str">
        <f t="shared" si="1251"/>
        <v/>
      </c>
      <c r="X632" s="34"/>
      <c r="Y632" s="34"/>
      <c r="Z632" s="65"/>
      <c r="AA632" s="130" t="str">
        <f t="shared" si="1252"/>
        <v/>
      </c>
      <c r="AB632" s="34"/>
      <c r="AC632" s="34"/>
      <c r="AD632" s="65"/>
      <c r="AE632" s="131">
        <f t="shared" si="1253"/>
        <v>0</v>
      </c>
      <c r="AF632" s="132">
        <f t="shared" si="1234"/>
        <v>0</v>
      </c>
      <c r="AG632" s="133">
        <f t="shared" si="1254"/>
        <v>0</v>
      </c>
      <c r="AH632" s="76">
        <f t="shared" si="1255"/>
        <v>70.87233558</v>
      </c>
      <c r="AI632" s="132">
        <f> ( IF(ISNUMBER(G632), VLOOKUP(G632/$AH632,F!$A1:$B101,2,1)*G632*$H632*$I632,0)+IF(ISNUMBER(K632), VLOOKUP(K632/$AH632,F!$A1:$B101,2,1)*K632*$L632*$M632,0)+IF(ISNUMBER(O632), VLOOKUP(O632/$AH632,F!$A1:$B101,2,1)*O632*$P632*$Q632,0)+IF(ISNUMBER(S632), VLOOKUP(S632/$AH632,F!$A1:$B101,2,1)*S632*$T632*$U632,0)+IF(ISNUMBER(W632), VLOOKUP(W632/$AH632,F!$A1:$B101,2,1)*W632*$X632*$Y632,0)+IF(ISNUMBER(AA632), VLOOKUP(AA632/$AH632,F!$A1:$B101,2,1)*AA632*$AB632*$AC632,0))*IF(ISNUMBER(F632),F632,1)*IF(ISNUMBER(E632),E632,1)</f>
        <v>0</v>
      </c>
      <c r="AJ632" s="34">
        <f t="shared" si="1256"/>
        <v>0</v>
      </c>
      <c r="AK632" s="134">
        <f t="array" ref="AK632">IFERROR(I632*INDEX(F!$P$21:$AB$33, MATCH(G632/$AH632, F!$O$21:$O$33,1), MATCH(E632, F!$P$20:$AB$20,1)), 0 ) +IFERROR( M632*INDEX(F!$P$21:$AB$33, MATCH(K632/$AH632, F!$O$21:$O$33,1), MATCH(E632, F!$P$20:$AB$20,1)),0) +  IFERROR( Q632*INDEX(F!$P$21:$AB$33, MATCH(O632/$AH632, F!$O$21:$O$33,1), MATCH(E632, F!$P$20:$AB$20,1)), 0) + IFERROR( U632*INDEX(F!$P$21:$AB$33, MATCH(S632/$AH632, F!$O$21:$O$33,1), MATCH(E632, F!$P$20:$AB$20,1)),0)  + IFERROR(Y632*INDEX(F!$P$21:$AB$33, MATCH(W632/$AH632, F!$O$21:$O$33,1), MATCH(E632, F!$P$20:$AB$20,1)),0)  + IFERROR( AC632*INDEX(F!$P$21:$AB$33, MATCH(AA632/$AH632, F!$O$21:$O$33,1), MATCH(E632, F!$P$20:$AB$20,1)),)</f>
        <v>0</v>
      </c>
      <c r="AL632" s="59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ht="15.75" hidden="1" customHeight="1">
      <c r="A633" s="59"/>
      <c r="B633" s="135" t="str">
        <f t="shared" ref="B633:F633" si="1259">IF(B577="","",B577)</f>
        <v>Средняя</v>
      </c>
      <c r="C633" s="136" t="str">
        <f t="shared" si="1259"/>
        <v>ЖМ</v>
      </c>
      <c r="D633" s="137" t="str">
        <f t="shared" si="1259"/>
        <v>Жим средним хватом</v>
      </c>
      <c r="E633" s="48">
        <f t="shared" si="1259"/>
        <v>1</v>
      </c>
      <c r="F633" s="138" t="str">
        <f t="shared" si="1259"/>
        <v/>
      </c>
      <c r="G633" s="139" t="str">
        <f t="shared" si="1247"/>
        <v/>
      </c>
      <c r="H633" s="140"/>
      <c r="I633" s="140"/>
      <c r="J633" s="141"/>
      <c r="K633" s="139" t="str">
        <f t="shared" si="1248"/>
        <v/>
      </c>
      <c r="L633" s="140"/>
      <c r="M633" s="140"/>
      <c r="N633" s="141"/>
      <c r="O633" s="139" t="str">
        <f t="shared" si="1249"/>
        <v/>
      </c>
      <c r="P633" s="140"/>
      <c r="Q633" s="140"/>
      <c r="R633" s="141"/>
      <c r="S633" s="139" t="str">
        <f t="shared" si="1250"/>
        <v/>
      </c>
      <c r="T633" s="140"/>
      <c r="U633" s="140"/>
      <c r="V633" s="141"/>
      <c r="W633" s="139" t="str">
        <f t="shared" si="1251"/>
        <v/>
      </c>
      <c r="X633" s="140"/>
      <c r="Y633" s="140"/>
      <c r="Z633" s="141"/>
      <c r="AA633" s="139" t="str">
        <f t="shared" si="1252"/>
        <v/>
      </c>
      <c r="AB633" s="140"/>
      <c r="AC633" s="140"/>
      <c r="AD633" s="141"/>
      <c r="AE633" s="142">
        <f t="shared" si="1253"/>
        <v>0</v>
      </c>
      <c r="AF633" s="143">
        <f t="shared" si="1234"/>
        <v>0</v>
      </c>
      <c r="AG633" s="144">
        <f t="shared" si="1254"/>
        <v>0</v>
      </c>
      <c r="AH633" s="76">
        <f t="shared" si="1255"/>
        <v>100.4024754</v>
      </c>
      <c r="AI633" s="143">
        <f> ( IF(ISNUMBER(G633), VLOOKUP(G633/$AH633,F!$A1:$B101,2,1)*G633*$H633*$I633,0)+IF(ISNUMBER(K633), VLOOKUP(K633/$AH633,F!$A1:$B101,2,1)*K633*$L633*$M633,0)+IF(ISNUMBER(O633), VLOOKUP(O633/$AH633,F!$A1:$B101,2,1)*O633*$P633*$Q633,0)+IF(ISNUMBER(S633), VLOOKUP(S633/$AH633,F!$A1:$B101,2,1)*S633*$T633*$U633,0)+IF(ISNUMBER(W633), VLOOKUP(W633/$AH633,F!$A1:$B101,2,1)*W633*$X633*$Y633,0)+IF(ISNUMBER(AA633), VLOOKUP(AA633/$AH633,F!$A1:$B101,2,1)*AA633*$AB633*$AC633,0))*IF(ISNUMBER(F633),F633,1)*IF(ISNUMBER(E633),E633,1)</f>
        <v>0</v>
      </c>
      <c r="AJ633" s="140">
        <f t="shared" si="1256"/>
        <v>0</v>
      </c>
      <c r="AK633" s="145">
        <f t="array" ref="AK633">IFERROR(I633*INDEX(F!$P$21:$AB$33, MATCH(G633/$AH633, F!$O$21:$O$33,1), MATCH(E633, F!$P$20:$AB$20,1)), 0 ) +IFERROR( M633*INDEX(F!$P$21:$AB$33, MATCH(K633/$AH633, F!$O$21:$O$33,1), MATCH(E633, F!$P$20:$AB$20,1)),0) +  IFERROR( Q633*INDEX(F!$P$21:$AB$33, MATCH(O633/$AH633, F!$O$21:$O$33,1), MATCH(E633, F!$P$20:$AB$20,1)), 0) + IFERROR( U633*INDEX(F!$P$21:$AB$33, MATCH(S633/$AH633, F!$O$21:$O$33,1), MATCH(E633, F!$P$20:$AB$20,1)),0)  + IFERROR(Y633*INDEX(F!$P$21:$AB$33, MATCH(W633/$AH633, F!$O$21:$O$33,1), MATCH(E633, F!$P$20:$AB$20,1)),0)  + IFERROR( AC633*INDEX(F!$P$21:$AB$33, MATCH(AA633/$AH633, F!$O$21:$O$33,1), MATCH(E633, F!$P$20:$AB$20,1)),)</f>
        <v>0</v>
      </c>
      <c r="AL633" s="59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ht="15.75" hidden="1" customHeight="1">
      <c r="A634" s="59"/>
      <c r="B634" s="126" t="str">
        <f t="shared" ref="B634:F634" si="1260">IF(B578="","",B578)</f>
        <v/>
      </c>
      <c r="C634" s="127" t="str">
        <f t="shared" si="1260"/>
        <v/>
      </c>
      <c r="D634" s="128" t="str">
        <f t="shared" si="1260"/>
        <v/>
      </c>
      <c r="E634" s="48" t="str">
        <f t="shared" si="1260"/>
        <v/>
      </c>
      <c r="F634" s="129" t="str">
        <f t="shared" si="1260"/>
        <v/>
      </c>
      <c r="G634" s="130" t="str">
        <f t="shared" si="1247"/>
        <v/>
      </c>
      <c r="H634" s="34"/>
      <c r="I634" s="34"/>
      <c r="J634" s="65"/>
      <c r="K634" s="130" t="str">
        <f t="shared" si="1248"/>
        <v/>
      </c>
      <c r="L634" s="34"/>
      <c r="M634" s="34"/>
      <c r="N634" s="65"/>
      <c r="O634" s="130" t="str">
        <f t="shared" si="1249"/>
        <v/>
      </c>
      <c r="P634" s="34"/>
      <c r="Q634" s="34"/>
      <c r="R634" s="65"/>
      <c r="S634" s="130" t="str">
        <f t="shared" si="1250"/>
        <v/>
      </c>
      <c r="T634" s="34"/>
      <c r="U634" s="34"/>
      <c r="V634" s="65"/>
      <c r="W634" s="130" t="str">
        <f t="shared" si="1251"/>
        <v/>
      </c>
      <c r="X634" s="34"/>
      <c r="Y634" s="34"/>
      <c r="Z634" s="65"/>
      <c r="AA634" s="130" t="str">
        <f t="shared" si="1252"/>
        <v/>
      </c>
      <c r="AB634" s="34"/>
      <c r="AC634" s="34"/>
      <c r="AD634" s="65"/>
      <c r="AE634" s="131">
        <f t="shared" si="1253"/>
        <v>0</v>
      </c>
      <c r="AF634" s="132">
        <f t="shared" si="1234"/>
        <v>0</v>
      </c>
      <c r="AG634" s="133">
        <f t="shared" si="1254"/>
        <v>0</v>
      </c>
      <c r="AH634" s="76" t="str">
        <f t="shared" si="1255"/>
        <v/>
      </c>
      <c r="AI634" s="132">
        <f> ( IF(ISNUMBER(G634), VLOOKUP(G634/$AH634,F!$A1:$B101,2,1)*G634*$H634*$I634,0)+IF(ISNUMBER(K634), VLOOKUP(K634/$AH634,F!$A1:$B101,2,1)*K634*$L634*$M634,0)+IF(ISNUMBER(O634), VLOOKUP(O634/$AH634,F!$A1:$B101,2,1)*O634*$P634*$Q634,0)+IF(ISNUMBER(S634), VLOOKUP(S634/$AH634,F!$A1:$B101,2,1)*S634*$T634*$U634,0)+IF(ISNUMBER(W634), VLOOKUP(W634/$AH634,F!$A1:$B101,2,1)*W634*$X634*$Y634,0)+IF(ISNUMBER(AA634), VLOOKUP(AA634/$AH634,F!$A1:$B101,2,1)*AA634*$AB634*$AC634,0))*IF(ISNUMBER(F634),F634,1)*IF(ISNUMBER(E634),E634,1)</f>
        <v>0</v>
      </c>
      <c r="AJ634" s="34">
        <f t="shared" si="1256"/>
        <v>0</v>
      </c>
      <c r="AK634" s="134">
        <f t="array" ref="AK634">IFERROR(I634*INDEX(F!$P$21:$AB$33, MATCH(G634/$AH634, F!$O$21:$O$33,1), MATCH(E634, F!$P$20:$AB$20,1)), 0 ) +IFERROR( M634*INDEX(F!$P$21:$AB$33, MATCH(K634/$AH634, F!$O$21:$O$33,1), MATCH(E634, F!$P$20:$AB$20,1)),0) +  IFERROR( Q634*INDEX(F!$P$21:$AB$33, MATCH(O634/$AH634, F!$O$21:$O$33,1), MATCH(E634, F!$P$20:$AB$20,1)), 0) + IFERROR( U634*INDEX(F!$P$21:$AB$33, MATCH(S634/$AH634, F!$O$21:$O$33,1), MATCH(E634, F!$P$20:$AB$20,1)),0)  + IFERROR(Y634*INDEX(F!$P$21:$AB$33, MATCH(W634/$AH634, F!$O$21:$O$33,1), MATCH(E634, F!$P$20:$AB$20,1)),0)  + IFERROR( AC634*INDEX(F!$P$21:$AB$33, MATCH(AA634/$AH634, F!$O$21:$O$33,1), MATCH(E634, F!$P$20:$AB$20,1)),)</f>
        <v>0</v>
      </c>
      <c r="AL634" s="59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ht="15.75" hidden="1" customHeight="1">
      <c r="A635" s="59"/>
      <c r="B635" s="135" t="str">
        <f t="shared" ref="B635:F635" si="1261">IF(B579="","",B579)</f>
        <v/>
      </c>
      <c r="C635" s="136" t="str">
        <f t="shared" si="1261"/>
        <v/>
      </c>
      <c r="D635" s="137" t="str">
        <f t="shared" si="1261"/>
        <v/>
      </c>
      <c r="E635" s="48" t="str">
        <f t="shared" si="1261"/>
        <v/>
      </c>
      <c r="F635" s="138" t="str">
        <f t="shared" si="1261"/>
        <v/>
      </c>
      <c r="G635" s="139" t="str">
        <f t="shared" si="1247"/>
        <v/>
      </c>
      <c r="H635" s="140"/>
      <c r="I635" s="140"/>
      <c r="J635" s="141"/>
      <c r="K635" s="139" t="str">
        <f t="shared" si="1248"/>
        <v/>
      </c>
      <c r="L635" s="140"/>
      <c r="M635" s="140"/>
      <c r="N635" s="141"/>
      <c r="O635" s="139" t="str">
        <f t="shared" si="1249"/>
        <v/>
      </c>
      <c r="P635" s="140"/>
      <c r="Q635" s="140"/>
      <c r="R635" s="141"/>
      <c r="S635" s="139" t="str">
        <f t="shared" si="1250"/>
        <v/>
      </c>
      <c r="T635" s="140"/>
      <c r="U635" s="140"/>
      <c r="V635" s="141"/>
      <c r="W635" s="139" t="str">
        <f t="shared" si="1251"/>
        <v/>
      </c>
      <c r="X635" s="140"/>
      <c r="Y635" s="140"/>
      <c r="Z635" s="141"/>
      <c r="AA635" s="139" t="str">
        <f t="shared" si="1252"/>
        <v/>
      </c>
      <c r="AB635" s="140"/>
      <c r="AC635" s="140"/>
      <c r="AD635" s="141"/>
      <c r="AE635" s="142">
        <f t="shared" si="1253"/>
        <v>0</v>
      </c>
      <c r="AF635" s="143">
        <f t="shared" si="1234"/>
        <v>0</v>
      </c>
      <c r="AG635" s="144">
        <f t="shared" si="1254"/>
        <v>0</v>
      </c>
      <c r="AH635" s="76" t="str">
        <f t="shared" si="1255"/>
        <v/>
      </c>
      <c r="AI635" s="143">
        <f> ( IF(ISNUMBER(G635), VLOOKUP(G635/$AH635,F!$A1:$B101,2,1)*G635*$H635*$I635,0)+IF(ISNUMBER(K635), VLOOKUP(K635/$AH635,F!$A1:$B101,2,1)*K635*$L635*$M635,0)+IF(ISNUMBER(O635), VLOOKUP(O635/$AH635,F!$A1:$B101,2,1)*O635*$P635*$Q635,0)+IF(ISNUMBER(S635), VLOOKUP(S635/$AH635,F!$A1:$B101,2,1)*S635*$T635*$U635,0)+IF(ISNUMBER(W635), VLOOKUP(W635/$AH635,F!$A1:$B101,2,1)*W635*$X635*$Y635,0)+IF(ISNUMBER(AA635), VLOOKUP(AA635/$AH635,F!$A1:$B101,2,1)*AA635*$AB635*$AC635,0))*IF(ISNUMBER(F635),F635,1)*IF(ISNUMBER(E635),E635,1)</f>
        <v>0</v>
      </c>
      <c r="AJ635" s="140">
        <f t="shared" si="1256"/>
        <v>0</v>
      </c>
      <c r="AK635" s="145">
        <f t="array" ref="AK635">IFERROR(I635*INDEX(F!$P$21:$AB$33, MATCH(G635/$AH635, F!$O$21:$O$33,1), MATCH(E635, F!$P$20:$AB$20,1)), 0 ) +IFERROR( M635*INDEX(F!$P$21:$AB$33, MATCH(K635/$AH635, F!$O$21:$O$33,1), MATCH(E635, F!$P$20:$AB$20,1)),0) +  IFERROR( Q635*INDEX(F!$P$21:$AB$33, MATCH(O635/$AH635, F!$O$21:$O$33,1), MATCH(E635, F!$P$20:$AB$20,1)), 0) + IFERROR( U635*INDEX(F!$P$21:$AB$33, MATCH(S635/$AH635, F!$O$21:$O$33,1), MATCH(E635, F!$P$20:$AB$20,1)),0)  + IFERROR(Y635*INDEX(F!$P$21:$AB$33, MATCH(W635/$AH635, F!$O$21:$O$33,1), MATCH(E635, F!$P$20:$AB$20,1)),0)  + IFERROR( AC635*INDEX(F!$P$21:$AB$33, MATCH(AA635/$AH635, F!$O$21:$O$33,1), MATCH(E635, F!$P$20:$AB$20,1)),)</f>
        <v>0</v>
      </c>
      <c r="AL635" s="59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ht="15.75" hidden="1" customHeight="1">
      <c r="A636" s="59"/>
      <c r="B636" s="126" t="str">
        <f t="shared" ref="B636:F636" si="1262">IF(B580="","",B580)</f>
        <v/>
      </c>
      <c r="C636" s="127" t="str">
        <f t="shared" si="1262"/>
        <v/>
      </c>
      <c r="D636" s="128" t="str">
        <f t="shared" si="1262"/>
        <v/>
      </c>
      <c r="E636" s="48" t="str">
        <f t="shared" si="1262"/>
        <v/>
      </c>
      <c r="F636" s="129" t="str">
        <f t="shared" si="1262"/>
        <v/>
      </c>
      <c r="G636" s="130" t="str">
        <f t="shared" si="1247"/>
        <v/>
      </c>
      <c r="H636" s="34"/>
      <c r="I636" s="34"/>
      <c r="J636" s="65"/>
      <c r="K636" s="130" t="str">
        <f t="shared" si="1248"/>
        <v/>
      </c>
      <c r="L636" s="34"/>
      <c r="M636" s="34"/>
      <c r="N636" s="65"/>
      <c r="O636" s="130" t="str">
        <f t="shared" si="1249"/>
        <v/>
      </c>
      <c r="P636" s="34"/>
      <c r="Q636" s="34"/>
      <c r="R636" s="65"/>
      <c r="S636" s="130" t="str">
        <f t="shared" si="1250"/>
        <v/>
      </c>
      <c r="T636" s="34"/>
      <c r="U636" s="34"/>
      <c r="V636" s="65"/>
      <c r="W636" s="130" t="str">
        <f t="shared" si="1251"/>
        <v/>
      </c>
      <c r="X636" s="34"/>
      <c r="Y636" s="34"/>
      <c r="Z636" s="65"/>
      <c r="AA636" s="130" t="str">
        <f t="shared" si="1252"/>
        <v/>
      </c>
      <c r="AB636" s="34"/>
      <c r="AC636" s="34"/>
      <c r="AD636" s="65"/>
      <c r="AE636" s="131">
        <f t="shared" si="1253"/>
        <v>0</v>
      </c>
      <c r="AF636" s="132">
        <f t="shared" si="1234"/>
        <v>0</v>
      </c>
      <c r="AG636" s="133">
        <f t="shared" si="1254"/>
        <v>0</v>
      </c>
      <c r="AH636" s="76" t="str">
        <f t="shared" si="1255"/>
        <v/>
      </c>
      <c r="AI636" s="132">
        <f> ( IF(ISNUMBER(G636), VLOOKUP(G636/$AH636,F!$A1:$B101,2,1)*G636*$H636*$I636,0)+IF(ISNUMBER(K636), VLOOKUP(K636/$AH636,F!$A1:$B101,2,1)*K636*$L636*$M636,0)+IF(ISNUMBER(O636), VLOOKUP(O636/$AH636,F!$A1:$B101,2,1)*O636*$P636*$Q636,0)+IF(ISNUMBER(S636), VLOOKUP(S636/$AH636,F!$A1:$B101,2,1)*S636*$T636*$U636,0)+IF(ISNUMBER(W636), VLOOKUP(W636/$AH636,F!$A1:$B101,2,1)*W636*$X636*$Y636,0)+IF(ISNUMBER(AA636), VLOOKUP(AA636/$AH636,F!$A1:$B101,2,1)*AA636*$AB636*$AC636,0))*IF(ISNUMBER(F636),F636,1)*IF(ISNUMBER(E636),E636,1)</f>
        <v>0</v>
      </c>
      <c r="AJ636" s="34">
        <f t="shared" si="1256"/>
        <v>0</v>
      </c>
      <c r="AK636" s="134">
        <f t="array" ref="AK636">IFERROR(I636*INDEX(F!$P$21:$AB$33, MATCH(G636/$AH636, F!$O$21:$O$33,1), MATCH(E636, F!$P$20:$AB$20,1)), 0 ) +IFERROR( M636*INDEX(F!$P$21:$AB$33, MATCH(K636/$AH636, F!$O$21:$O$33,1), MATCH(E636, F!$P$20:$AB$20,1)),0) +  IFERROR( Q636*INDEX(F!$P$21:$AB$33, MATCH(O636/$AH636, F!$O$21:$O$33,1), MATCH(E636, F!$P$20:$AB$20,1)), 0) + IFERROR( U636*INDEX(F!$P$21:$AB$33, MATCH(S636/$AH636, F!$O$21:$O$33,1), MATCH(E636, F!$P$20:$AB$20,1)),0)  + IFERROR(Y636*INDEX(F!$P$21:$AB$33, MATCH(W636/$AH636, F!$O$21:$O$33,1), MATCH(E636, F!$P$20:$AB$20,1)),0)  + IFERROR( AC636*INDEX(F!$P$21:$AB$33, MATCH(AA636/$AH636, F!$O$21:$O$33,1), MATCH(E636, F!$P$20:$AB$20,1)),)</f>
        <v>0</v>
      </c>
      <c r="AL636" s="59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ht="15.75" hidden="1" customHeight="1">
      <c r="A637" s="98"/>
      <c r="B637" s="150"/>
      <c r="C637" s="151"/>
      <c r="D637" s="152"/>
      <c r="E637" s="102">
        <f>ROUND(IFERROR(SUMPRODUCT(AJ629:AJ636,E629:E636)/AJ637,0),3)</f>
        <v>0</v>
      </c>
      <c r="F637" s="153"/>
      <c r="G637" s="154"/>
      <c r="H637" s="155"/>
      <c r="I637" s="155"/>
      <c r="J637" s="156"/>
      <c r="K637" s="154"/>
      <c r="L637" s="155"/>
      <c r="M637" s="155"/>
      <c r="N637" s="156"/>
      <c r="O637" s="154"/>
      <c r="P637" s="155"/>
      <c r="Q637" s="155"/>
      <c r="R637" s="156"/>
      <c r="S637" s="154"/>
      <c r="T637" s="155"/>
      <c r="U637" s="155"/>
      <c r="V637" s="156"/>
      <c r="W637" s="154"/>
      <c r="X637" s="155"/>
      <c r="Y637" s="155"/>
      <c r="Z637" s="156"/>
      <c r="AA637" s="154"/>
      <c r="AB637" s="155"/>
      <c r="AC637" s="155"/>
      <c r="AD637" s="156"/>
      <c r="AE637" s="107">
        <f>SUM(AE629:AE636)</f>
        <v>0</v>
      </c>
      <c r="AF637" s="108">
        <f t="shared" si="1234"/>
        <v>0</v>
      </c>
      <c r="AG637" s="109">
        <f>IFERROR(  SUMPRODUCT(AG629:AG636,AJ629:AJ636)/AJ637,0)</f>
        <v>0</v>
      </c>
      <c r="AH637" s="157"/>
      <c r="AI637" s="111">
        <f t="shared" ref="AI637:AJ637" si="1263">SUM(AI629:AI636)</f>
        <v>0</v>
      </c>
      <c r="AJ637" s="111">
        <f t="shared" si="1263"/>
        <v>0</v>
      </c>
      <c r="AK637" s="112">
        <f>IF(SUM(AK629:AK636)=0,TIME(,0,),TIME(,SUM(AK629:AK636)+F!$V$37,))</f>
        <v>0</v>
      </c>
      <c r="AL637" s="98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ht="15.75" hidden="1" customHeight="1">
      <c r="A638" s="158">
        <f>A639</f>
        <v>43861</v>
      </c>
      <c r="B638" s="159" t="str">
        <f t="shared" ref="B638:F638" si="1264">IF(B582="","",B582)</f>
        <v>Тяжелая</v>
      </c>
      <c r="C638" s="160" t="str">
        <f t="shared" si="1264"/>
        <v>ПР</v>
      </c>
      <c r="D638" s="161" t="str">
        <f t="shared" si="1264"/>
        <v>Присед</v>
      </c>
      <c r="E638" s="29">
        <f t="shared" si="1264"/>
        <v>1.2</v>
      </c>
      <c r="F638" s="162" t="str">
        <f t="shared" si="1264"/>
        <v/>
      </c>
      <c r="G638" s="163" t="str">
        <f t="shared" ref="G638:G645" si="1266">IF(J638&lt;&gt;0, IFERROR(IF( $F638=2,  MROUND($AH638*J638,1),    IF( OR($F638="",$F638=1),   MROUND($AH638*J638,2.5),  MROUND($AH638*J638, 0.1))), "" ), "")</f>
        <v/>
      </c>
      <c r="H638" s="164"/>
      <c r="I638" s="164"/>
      <c r="J638" s="165"/>
      <c r="K638" s="163" t="str">
        <f t="shared" ref="K638:K645" si="1267">IF(N638&lt;&gt;0, IFERROR(IF( $F638=2,  MROUND($AH638*N638,1),    IF( OR($F638="",$F638=1),   MROUND($AH638*N638,2.5),  MROUND($AH638*N638, 0.1))), "" ), "")</f>
        <v/>
      </c>
      <c r="L638" s="164"/>
      <c r="M638" s="164"/>
      <c r="N638" s="165"/>
      <c r="O638" s="163" t="str">
        <f t="shared" ref="O638:O645" si="1268">IF(R638&lt;&gt;0, IFERROR(IF( $F638=2,  MROUND($AH638*R638,1),    IF( OR($F638="",$F638=1),   MROUND($AH638*R638,2.5),  MROUND($AH638*R638, 0.1))), "" ), "")</f>
        <v/>
      </c>
      <c r="P638" s="164"/>
      <c r="Q638" s="164"/>
      <c r="R638" s="165"/>
      <c r="S638" s="163" t="str">
        <f t="shared" ref="S638:S645" si="1269">IF(V638&lt;&gt;0, IFERROR(IF( $F638=2,  MROUND($AH638*V638,1),    IF( OR($F638="",$F638=1),   MROUND($AH638*V638,2.5),  MROUND($AH638*V638, 0.1))), "" ), "")</f>
        <v/>
      </c>
      <c r="T638" s="164"/>
      <c r="U638" s="164"/>
      <c r="V638" s="165"/>
      <c r="W638" s="163" t="str">
        <f t="shared" ref="W638:W645" si="1270">IF(Z638&lt;&gt;0, IFERROR(IF( $F638=2,  MROUND($AH638*Z638,1),    IF( OR($F638="",$F638=1),   MROUND($AH638*Z638,2.5),  MROUND($AH638*Z638, 0.1))), "" ), "")</f>
        <v/>
      </c>
      <c r="X638" s="164"/>
      <c r="Y638" s="164"/>
      <c r="Z638" s="165"/>
      <c r="AA638" s="163" t="str">
        <f t="shared" ref="AA638:AA645" si="1271">IF(AD638&lt;&gt;0, IFERROR(IF( $F638=2,  MROUND($AH638*AD638,1),    IF( OR($F638="",$F638=1),   MROUND($AH638*AD638,2.5),  MROUND($AH638*AD638, 0.1))), "" ), "")</f>
        <v/>
      </c>
      <c r="AB638" s="164"/>
      <c r="AC638" s="164"/>
      <c r="AD638" s="165"/>
      <c r="AE638" s="166">
        <f t="shared" ref="AE638:AE645" si="1272">(IF(ISNUMBER(G638),G638,0)*H638*I638+IF(ISNUMBER(K638),K638,1)*L638*M638+IF(ISNUMBER(O638),O638,1)*P638*Q638+IF(ISNUMBER(S638),S638,1)*T638*U638+IF(ISNUMBER(W638),W638,1)*X638*Y638+IF(ISNUMBER(AA638),AA638,1)*AB638*AC638)*IF(ISNUMBER(F638),F638,1)</f>
        <v>0</v>
      </c>
      <c r="AF638" s="167">
        <f t="shared" si="1234"/>
        <v>0</v>
      </c>
      <c r="AG638" s="168">
        <f t="shared" ref="AG638:AG645" si="1273">IFERROR((AF638/(AH638*IF(ISNUMBER(F638),F638,1))),0)</f>
        <v>0</v>
      </c>
      <c r="AH638" s="169">
        <f t="shared" ref="AH638:AH645" si="1274">IF(ISNUMBER(AH582), AH582+(AH582*$AH$618),"")</f>
        <v>167.8555316</v>
      </c>
      <c r="AI638" s="167">
        <f> ( IF(ISNUMBER(G638), VLOOKUP(G638/$AH638,F!$A1:$B101,2,1)*G638*$H638*$I638,0)+IF(ISNUMBER(K638), VLOOKUP(K638/$AH638,F!$A1:$B101,2,1)*K638*$L638*$M638,0)+IF(ISNUMBER(O638), VLOOKUP(O638/$AH638,F!$A1:$B101,2,1)*O638*$P638*$Q638,0)+IF(ISNUMBER(S638), VLOOKUP(S638/$AH638,F!$A1:$B101,2,1)*S638*$T638*$U638,0)+IF(ISNUMBER(W638), VLOOKUP(W638/$AH638,F!$A1:$B101,2,1)*W638*$X638*$Y638,0)+IF(ISNUMBER(AA638), VLOOKUP(AA638/$AH638,F!$A1:$B101,2,1)*AA638*$AB638*$AC638,0))*IF(ISNUMBER(F638),F638,1)*IF(ISNUMBER(E638),E638,1)</f>
        <v>0</v>
      </c>
      <c r="AJ638" s="164">
        <f t="shared" ref="AJ638:AJ645" si="1275">H638*I638+L638*M638+P638*Q638+T638*U638+X638*Y638+AB638*AC638</f>
        <v>0</v>
      </c>
      <c r="AK638" s="170">
        <f t="array" ref="AK638">IFERROR(I638*INDEX(F!$P$21:$AB$33, MATCH(G638/$AH638, F!$O$21:$O$33,1), MATCH(E638, F!$P$20:$AB$20,1)), 0 ) +IFERROR( M638*INDEX(F!$P$21:$AB$33, MATCH(K638/$AH638, F!$O$21:$O$33,1), MATCH(E638, F!$P$20:$AB$20,1)),0) +  IFERROR( Q638*INDEX(F!$P$21:$AB$33, MATCH(O638/$AH638, F!$O$21:$O$33,1), MATCH(E638, F!$P$20:$AB$20,1)), 0) + IFERROR( U638*INDEX(F!$P$21:$AB$33, MATCH(S638/$AH638, F!$O$21:$O$33,1), MATCH(E638, F!$P$20:$AB$20,1)),0)  + IFERROR(Y638*INDEX(F!$P$21:$AB$33, MATCH(W638/$AH638, F!$O$21:$O$33,1), MATCH(E638, F!$P$20:$AB$20,1)),0)  + IFERROR( AC638*INDEX(F!$P$21:$AB$33, MATCH(AA638/$AH638, F!$O$21:$O$33,1), MATCH(E638, F!$P$20:$AB$20,1)),)</f>
        <v>0</v>
      </c>
      <c r="AL638" s="42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ht="15.75" hidden="1" customHeight="1">
      <c r="A639" s="44">
        <f>A583+A562</f>
        <v>43861</v>
      </c>
      <c r="B639" s="135" t="str">
        <f t="shared" ref="B639:F639" si="1265">IF(B583="","",B583)</f>
        <v>Тяжелая</v>
      </c>
      <c r="C639" s="136" t="str">
        <f t="shared" si="1265"/>
        <v>ЖМ</v>
      </c>
      <c r="D639" s="137" t="str">
        <f t="shared" si="1265"/>
        <v>Жим лежа</v>
      </c>
      <c r="E639" s="48">
        <f t="shared" si="1265"/>
        <v>1</v>
      </c>
      <c r="F639" s="138" t="str">
        <f t="shared" si="1265"/>
        <v/>
      </c>
      <c r="G639" s="139" t="str">
        <f t="shared" si="1266"/>
        <v/>
      </c>
      <c r="H639" s="140"/>
      <c r="I639" s="140"/>
      <c r="J639" s="141"/>
      <c r="K639" s="139" t="str">
        <f t="shared" si="1267"/>
        <v/>
      </c>
      <c r="L639" s="140"/>
      <c r="M639" s="140"/>
      <c r="N639" s="141"/>
      <c r="O639" s="139" t="str">
        <f t="shared" si="1268"/>
        <v/>
      </c>
      <c r="P639" s="140"/>
      <c r="Q639" s="140"/>
      <c r="R639" s="141"/>
      <c r="S639" s="139" t="str">
        <f t="shared" si="1269"/>
        <v/>
      </c>
      <c r="T639" s="140"/>
      <c r="U639" s="140"/>
      <c r="V639" s="141"/>
      <c r="W639" s="139" t="str">
        <f t="shared" si="1270"/>
        <v/>
      </c>
      <c r="X639" s="140"/>
      <c r="Y639" s="140"/>
      <c r="Z639" s="141"/>
      <c r="AA639" s="139" t="str">
        <f t="shared" si="1271"/>
        <v/>
      </c>
      <c r="AB639" s="140"/>
      <c r="AC639" s="140"/>
      <c r="AD639" s="141"/>
      <c r="AE639" s="142">
        <f t="shared" si="1272"/>
        <v>0</v>
      </c>
      <c r="AF639" s="143">
        <f t="shared" si="1234"/>
        <v>0</v>
      </c>
      <c r="AG639" s="144">
        <f t="shared" si="1273"/>
        <v>0</v>
      </c>
      <c r="AH639" s="76">
        <f t="shared" si="1274"/>
        <v>118.1205593</v>
      </c>
      <c r="AI639" s="143">
        <f> ( IF(ISNUMBER(G639), VLOOKUP(G639/$AH639,F!$A1:$B101,2,1)*G639*$H639*$I639,0)+IF(ISNUMBER(K639), VLOOKUP(K639/$AH639,F!$A1:$B101,2,1)*K639*$L639*$M639,0)+IF(ISNUMBER(O639), VLOOKUP(O639/$AH639,F!$A1:$B101,2,1)*O639*$P639*$Q639,0)+IF(ISNUMBER(S639), VLOOKUP(S639/$AH639,F!$A1:$B101,2,1)*S639*$T639*$U639,0)+IF(ISNUMBER(W639), VLOOKUP(W639/$AH639,F!$A1:$B101,2,1)*W639*$X639*$Y639,0)+IF(ISNUMBER(AA639), VLOOKUP(AA639/$AH639,F!$A1:$B101,2,1)*AA639*$AB639*$AC639,0))*IF(ISNUMBER(F639),F639,1)*IF(ISNUMBER(E639),E639,1)</f>
        <v>0</v>
      </c>
      <c r="AJ639" s="140">
        <f t="shared" si="1275"/>
        <v>0</v>
      </c>
      <c r="AK639" s="145">
        <f t="array" ref="AK639">IFERROR(I639*INDEX(F!$P$21:$AB$33, MATCH(G639/$AH639, F!$O$21:$O$33,1), MATCH(E639, F!$P$20:$AB$20,1)), 0 ) +IFERROR( M639*INDEX(F!$P$21:$AB$33, MATCH(K639/$AH639, F!$O$21:$O$33,1), MATCH(E639, F!$P$20:$AB$20,1)),0) +  IFERROR( Q639*INDEX(F!$P$21:$AB$33, MATCH(O639/$AH639, F!$O$21:$O$33,1), MATCH(E639, F!$P$20:$AB$20,1)), 0) + IFERROR( U639*INDEX(F!$P$21:$AB$33, MATCH(S639/$AH639, F!$O$21:$O$33,1), MATCH(E639, F!$P$20:$AB$20,1)),0)  + IFERROR(Y639*INDEX(F!$P$21:$AB$33, MATCH(W639/$AH639, F!$O$21:$O$33,1), MATCH(E639, F!$P$20:$AB$20,1)),0)  + IFERROR( AC639*INDEX(F!$P$21:$AB$33, MATCH(AA639/$AH639, F!$O$21:$O$33,1), MATCH(E639, F!$P$20:$AB$20,1)),)</f>
        <v>0</v>
      </c>
      <c r="AL639" s="59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ht="15.75" hidden="1" customHeight="1">
      <c r="A640" s="59"/>
      <c r="B640" s="173" t="str">
        <f t="shared" ref="B640:F640" si="1276">IF(B584="","",B584)</f>
        <v>Средняя</v>
      </c>
      <c r="C640" s="174" t="str">
        <f t="shared" si="1276"/>
        <v>ПР</v>
      </c>
      <c r="D640" s="175" t="str">
        <f t="shared" si="1276"/>
        <v>Присед</v>
      </c>
      <c r="E640" s="48">
        <f t="shared" si="1276"/>
        <v>1.2</v>
      </c>
      <c r="F640" s="176" t="str">
        <f t="shared" si="1276"/>
        <v/>
      </c>
      <c r="G640" s="177" t="str">
        <f t="shared" si="1266"/>
        <v/>
      </c>
      <c r="H640" s="178"/>
      <c r="I640" s="178"/>
      <c r="J640" s="179"/>
      <c r="K640" s="177" t="str">
        <f t="shared" si="1267"/>
        <v/>
      </c>
      <c r="L640" s="178"/>
      <c r="M640" s="178"/>
      <c r="N640" s="179"/>
      <c r="O640" s="177" t="str">
        <f t="shared" si="1268"/>
        <v/>
      </c>
      <c r="P640" s="178"/>
      <c r="Q640" s="178"/>
      <c r="R640" s="179"/>
      <c r="S640" s="177" t="str">
        <f t="shared" si="1269"/>
        <v/>
      </c>
      <c r="T640" s="178"/>
      <c r="U640" s="178"/>
      <c r="V640" s="179"/>
      <c r="W640" s="177" t="str">
        <f t="shared" si="1270"/>
        <v/>
      </c>
      <c r="X640" s="178"/>
      <c r="Y640" s="178"/>
      <c r="Z640" s="179"/>
      <c r="AA640" s="177" t="str">
        <f t="shared" si="1271"/>
        <v/>
      </c>
      <c r="AB640" s="178"/>
      <c r="AC640" s="178"/>
      <c r="AD640" s="179"/>
      <c r="AE640" s="180">
        <f t="shared" si="1272"/>
        <v>0</v>
      </c>
      <c r="AF640" s="181">
        <f t="shared" si="1234"/>
        <v>0</v>
      </c>
      <c r="AG640" s="182">
        <f t="shared" si="1273"/>
        <v>0</v>
      </c>
      <c r="AH640" s="76">
        <f t="shared" si="1274"/>
        <v>167.8555316</v>
      </c>
      <c r="AI640" s="181">
        <f> ( IF(ISNUMBER(G640), VLOOKUP(G640/$AH640,F!$A1:$B101,2,1)*G640*$H640*$I640,0)+IF(ISNUMBER(K640), VLOOKUP(K640/$AH640,F!$A1:$B101,2,1)*K640*$L640*$M640,0)+IF(ISNUMBER(O640), VLOOKUP(O640/$AH640,F!$A1:$B101,2,1)*O640*$P640*$Q640,0)+IF(ISNUMBER(S640), VLOOKUP(S640/$AH640,F!$A1:$B101,2,1)*S640*$T640*$U640,0)+IF(ISNUMBER(W640), VLOOKUP(W640/$AH640,F!$A1:$B101,2,1)*W640*$X640*$Y640,0)+IF(ISNUMBER(AA640), VLOOKUP(AA640/$AH640,F!$A1:$B101,2,1)*AA640*$AB640*$AC640,0))*IF(ISNUMBER(F640),F640,1)*IF(ISNUMBER(E640),E640,1)</f>
        <v>0</v>
      </c>
      <c r="AJ640" s="178">
        <f t="shared" si="1275"/>
        <v>0</v>
      </c>
      <c r="AK640" s="183">
        <f t="array" ref="AK640">IFERROR(I640*INDEX(F!$P$21:$AB$33, MATCH(G640/$AH640, F!$O$21:$O$33,1), MATCH(E640, F!$P$20:$AB$20,1)), 0 ) +IFERROR( M640*INDEX(F!$P$21:$AB$33, MATCH(K640/$AH640, F!$O$21:$O$33,1), MATCH(E640, F!$P$20:$AB$20,1)),0) +  IFERROR( Q640*INDEX(F!$P$21:$AB$33, MATCH(O640/$AH640, F!$O$21:$O$33,1), MATCH(E640, F!$P$20:$AB$20,1)), 0) + IFERROR( U640*INDEX(F!$P$21:$AB$33, MATCH(S640/$AH640, F!$O$21:$O$33,1), MATCH(E640, F!$P$20:$AB$20,1)),0)  + IFERROR(Y640*INDEX(F!$P$21:$AB$33, MATCH(W640/$AH640, F!$O$21:$O$33,1), MATCH(E640, F!$P$20:$AB$20,1)),0)  + IFERROR( AC640*INDEX(F!$P$21:$AB$33, MATCH(AA640/$AH640, F!$O$21:$O$33,1), MATCH(E640, F!$P$20:$AB$20,1)),)</f>
        <v>0</v>
      </c>
      <c r="AL640" s="59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ht="15.75" hidden="1" customHeight="1">
      <c r="A641" s="59"/>
      <c r="B641" s="135" t="str">
        <f t="shared" ref="B641:F641" si="1277">IF(B585="","",B585)</f>
        <v>Средняя</v>
      </c>
      <c r="C641" s="136" t="str">
        <f t="shared" si="1277"/>
        <v>ЖМ</v>
      </c>
      <c r="D641" s="137" t="str">
        <f t="shared" si="1277"/>
        <v>Жим на наклонной скамье</v>
      </c>
      <c r="E641" s="48">
        <f t="shared" si="1277"/>
        <v>1</v>
      </c>
      <c r="F641" s="138" t="str">
        <f t="shared" si="1277"/>
        <v/>
      </c>
      <c r="G641" s="139" t="str">
        <f t="shared" si="1266"/>
        <v/>
      </c>
      <c r="H641" s="140"/>
      <c r="I641" s="140"/>
      <c r="J641" s="141"/>
      <c r="K641" s="139" t="str">
        <f t="shared" si="1267"/>
        <v/>
      </c>
      <c r="L641" s="140"/>
      <c r="M641" s="140"/>
      <c r="N641" s="141"/>
      <c r="O641" s="139" t="str">
        <f t="shared" si="1268"/>
        <v/>
      </c>
      <c r="P641" s="140"/>
      <c r="Q641" s="140"/>
      <c r="R641" s="141"/>
      <c r="S641" s="139" t="str">
        <f t="shared" si="1269"/>
        <v/>
      </c>
      <c r="T641" s="140"/>
      <c r="U641" s="140"/>
      <c r="V641" s="141"/>
      <c r="W641" s="139" t="str">
        <f t="shared" si="1270"/>
        <v/>
      </c>
      <c r="X641" s="140"/>
      <c r="Y641" s="140"/>
      <c r="Z641" s="141"/>
      <c r="AA641" s="139" t="str">
        <f t="shared" si="1271"/>
        <v/>
      </c>
      <c r="AB641" s="140"/>
      <c r="AC641" s="140"/>
      <c r="AD641" s="141"/>
      <c r="AE641" s="142">
        <f t="shared" si="1272"/>
        <v>0</v>
      </c>
      <c r="AF641" s="143">
        <f t="shared" si="1234"/>
        <v>0</v>
      </c>
      <c r="AG641" s="144">
        <f t="shared" si="1273"/>
        <v>0</v>
      </c>
      <c r="AH641" s="76">
        <f t="shared" si="1274"/>
        <v>94.49644744</v>
      </c>
      <c r="AI641" s="143">
        <f> ( IF(ISNUMBER(G641), VLOOKUP(G641/$AH641,F!$A1:$B101,2,1)*G641*$H641*$I641,0)+IF(ISNUMBER(K641), VLOOKUP(K641/$AH641,F!$A1:$B101,2,1)*K641*$L641*$M641,0)+IF(ISNUMBER(O641), VLOOKUP(O641/$AH641,F!$A1:$B101,2,1)*O641*$P641*$Q641,0)+IF(ISNUMBER(S641), VLOOKUP(S641/$AH641,F!$A1:$B101,2,1)*S641*$T641*$U641,0)+IF(ISNUMBER(W641), VLOOKUP(W641/$AH641,F!$A1:$B101,2,1)*W641*$X641*$Y641,0)+IF(ISNUMBER(AA641), VLOOKUP(AA641/$AH641,F!$A1:$B101,2,1)*AA641*$AB641*$AC641,0))*IF(ISNUMBER(F641),F641,1)*IF(ISNUMBER(E641),E641,1)</f>
        <v>0</v>
      </c>
      <c r="AJ641" s="140">
        <f t="shared" si="1275"/>
        <v>0</v>
      </c>
      <c r="AK641" s="145">
        <f t="array" ref="AK641">IFERROR(I641*INDEX(F!$P$21:$AB$33, MATCH(G641/$AH641, F!$O$21:$O$33,1), MATCH(E641, F!$P$20:$AB$20,1)), 0 ) +IFERROR( M641*INDEX(F!$P$21:$AB$33, MATCH(K641/$AH641, F!$O$21:$O$33,1), MATCH(E641, F!$P$20:$AB$20,1)),0) +  IFERROR( Q641*INDEX(F!$P$21:$AB$33, MATCH(O641/$AH641, F!$O$21:$O$33,1), MATCH(E641, F!$P$20:$AB$20,1)), 0) + IFERROR( U641*INDEX(F!$P$21:$AB$33, MATCH(S641/$AH641, F!$O$21:$O$33,1), MATCH(E641, F!$P$20:$AB$20,1)),0)  + IFERROR(Y641*INDEX(F!$P$21:$AB$33, MATCH(W641/$AH641, F!$O$21:$O$33,1), MATCH(E641, F!$P$20:$AB$20,1)),0)  + IFERROR( AC641*INDEX(F!$P$21:$AB$33, MATCH(AA641/$AH641, F!$O$21:$O$33,1), MATCH(E641, F!$P$20:$AB$20,1)),)</f>
        <v>0</v>
      </c>
      <c r="AL641" s="59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ht="15.75" hidden="1" customHeight="1">
      <c r="A642" s="59"/>
      <c r="B642" s="173" t="str">
        <f t="shared" ref="B642:F642" si="1278">IF(B586="","",B586)</f>
        <v>Средняя</v>
      </c>
      <c r="C642" s="174" t="str">
        <f t="shared" si="1278"/>
        <v>ОФП</v>
      </c>
      <c r="D642" s="175" t="str">
        <f t="shared" si="1278"/>
        <v>Бицепс стоя</v>
      </c>
      <c r="E642" s="48">
        <f t="shared" si="1278"/>
        <v>0.5</v>
      </c>
      <c r="F642" s="176" t="str">
        <f t="shared" si="1278"/>
        <v/>
      </c>
      <c r="G642" s="177" t="str">
        <f t="shared" si="1266"/>
        <v/>
      </c>
      <c r="H642" s="178"/>
      <c r="I642" s="178"/>
      <c r="J642" s="179"/>
      <c r="K642" s="177" t="str">
        <f t="shared" si="1267"/>
        <v/>
      </c>
      <c r="L642" s="178"/>
      <c r="M642" s="178"/>
      <c r="N642" s="179"/>
      <c r="O642" s="177" t="str">
        <f t="shared" si="1268"/>
        <v/>
      </c>
      <c r="P642" s="178"/>
      <c r="Q642" s="178"/>
      <c r="R642" s="179"/>
      <c r="S642" s="177" t="str">
        <f t="shared" si="1269"/>
        <v/>
      </c>
      <c r="T642" s="178"/>
      <c r="U642" s="178"/>
      <c r="V642" s="179"/>
      <c r="W642" s="177" t="str">
        <f t="shared" si="1270"/>
        <v/>
      </c>
      <c r="X642" s="178"/>
      <c r="Y642" s="178"/>
      <c r="Z642" s="179"/>
      <c r="AA642" s="177" t="str">
        <f t="shared" si="1271"/>
        <v/>
      </c>
      <c r="AB642" s="178"/>
      <c r="AC642" s="178"/>
      <c r="AD642" s="179"/>
      <c r="AE642" s="180">
        <f t="shared" si="1272"/>
        <v>0</v>
      </c>
      <c r="AF642" s="181">
        <f t="shared" si="1234"/>
        <v>0</v>
      </c>
      <c r="AG642" s="182">
        <f t="shared" si="1273"/>
        <v>0</v>
      </c>
      <c r="AH642" s="76" t="str">
        <f t="shared" si="1274"/>
        <v/>
      </c>
      <c r="AI642" s="181">
        <f> ( IF(ISNUMBER(G642), VLOOKUP(G642/$AH642,F!$A1:$B101,2,1)*G642*$H642*$I642,0)+IF(ISNUMBER(K642), VLOOKUP(K642/$AH642,F!$A1:$B101,2,1)*K642*$L642*$M642,0)+IF(ISNUMBER(O642), VLOOKUP(O642/$AH642,F!$A1:$B101,2,1)*O642*$P642*$Q642,0)+IF(ISNUMBER(S642), VLOOKUP(S642/$AH642,F!$A1:$B101,2,1)*S642*$T642*$U642,0)+IF(ISNUMBER(W642), VLOOKUP(W642/$AH642,F!$A1:$B101,2,1)*W642*$X642*$Y642,0)+IF(ISNUMBER(AA642), VLOOKUP(AA642/$AH642,F!$A1:$B101,2,1)*AA642*$AB642*$AC642,0))*IF(ISNUMBER(F642),F642,1)*IF(ISNUMBER(E642),E642,1)</f>
        <v>0</v>
      </c>
      <c r="AJ642" s="178">
        <f t="shared" si="1275"/>
        <v>0</v>
      </c>
      <c r="AK642" s="183">
        <f t="array" ref="AK642">IFERROR(I642*INDEX(F!$P$21:$AB$33, MATCH(G642/$AH642, F!$O$21:$O$33,1), MATCH(E642, F!$P$20:$AB$20,1)), 0 ) +IFERROR( M642*INDEX(F!$P$21:$AB$33, MATCH(K642/$AH642, F!$O$21:$O$33,1), MATCH(E642, F!$P$20:$AB$20,1)),0) +  IFERROR( Q642*INDEX(F!$P$21:$AB$33, MATCH(O642/$AH642, F!$O$21:$O$33,1), MATCH(E642, F!$P$20:$AB$20,1)), 0) + IFERROR( U642*INDEX(F!$P$21:$AB$33, MATCH(S642/$AH642, F!$O$21:$O$33,1), MATCH(E642, F!$P$20:$AB$20,1)),0)  + IFERROR(Y642*INDEX(F!$P$21:$AB$33, MATCH(W642/$AH642, F!$O$21:$O$33,1), MATCH(E642, F!$P$20:$AB$20,1)),0)  + IFERROR( AC642*INDEX(F!$P$21:$AB$33, MATCH(AA642/$AH642, F!$O$21:$O$33,1), MATCH(E642, F!$P$20:$AB$20,1)),)</f>
        <v>0</v>
      </c>
      <c r="AL642" s="59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ht="15.75" hidden="1" customHeight="1">
      <c r="A643" s="59"/>
      <c r="B643" s="135" t="str">
        <f t="shared" ref="B643:F643" si="1279">IF(B587="","",B587)</f>
        <v/>
      </c>
      <c r="C643" s="136" t="str">
        <f t="shared" si="1279"/>
        <v/>
      </c>
      <c r="D643" s="137" t="str">
        <f t="shared" si="1279"/>
        <v/>
      </c>
      <c r="E643" s="48" t="str">
        <f t="shared" si="1279"/>
        <v/>
      </c>
      <c r="F643" s="138" t="str">
        <f t="shared" si="1279"/>
        <v/>
      </c>
      <c r="G643" s="139" t="str">
        <f t="shared" si="1266"/>
        <v/>
      </c>
      <c r="H643" s="140"/>
      <c r="I643" s="140"/>
      <c r="J643" s="141"/>
      <c r="K643" s="139" t="str">
        <f t="shared" si="1267"/>
        <v/>
      </c>
      <c r="L643" s="140"/>
      <c r="M643" s="140"/>
      <c r="N643" s="141"/>
      <c r="O643" s="139" t="str">
        <f t="shared" si="1268"/>
        <v/>
      </c>
      <c r="P643" s="140"/>
      <c r="Q643" s="140"/>
      <c r="R643" s="141"/>
      <c r="S643" s="139" t="str">
        <f t="shared" si="1269"/>
        <v/>
      </c>
      <c r="T643" s="140"/>
      <c r="U643" s="140"/>
      <c r="V643" s="141"/>
      <c r="W643" s="139" t="str">
        <f t="shared" si="1270"/>
        <v/>
      </c>
      <c r="X643" s="140"/>
      <c r="Y643" s="140"/>
      <c r="Z643" s="141"/>
      <c r="AA643" s="139" t="str">
        <f t="shared" si="1271"/>
        <v/>
      </c>
      <c r="AB643" s="140"/>
      <c r="AC643" s="140"/>
      <c r="AD643" s="141"/>
      <c r="AE643" s="142">
        <f t="shared" si="1272"/>
        <v>0</v>
      </c>
      <c r="AF643" s="143">
        <f t="shared" si="1234"/>
        <v>0</v>
      </c>
      <c r="AG643" s="144">
        <f t="shared" si="1273"/>
        <v>0</v>
      </c>
      <c r="AH643" s="76" t="str">
        <f t="shared" si="1274"/>
        <v/>
      </c>
      <c r="AI643" s="143">
        <f> ( IF(ISNUMBER(G643), VLOOKUP(G643/$AH643,F!$A1:$B101,2,1)*G643*$H643*$I643,0)+IF(ISNUMBER(K643), VLOOKUP(K643/$AH643,F!$A1:$B101,2,1)*K643*$L643*$M643,0)+IF(ISNUMBER(O643), VLOOKUP(O643/$AH643,F!$A1:$B101,2,1)*O643*$P643*$Q643,0)+IF(ISNUMBER(S643), VLOOKUP(S643/$AH643,F!$A1:$B101,2,1)*S643*$T643*$U643,0)+IF(ISNUMBER(W643), VLOOKUP(W643/$AH643,F!$A1:$B101,2,1)*W643*$X643*$Y643,0)+IF(ISNUMBER(AA643), VLOOKUP(AA643/$AH643,F!$A1:$B101,2,1)*AA643*$AB643*$AC643,0))*IF(ISNUMBER(F643),F643,1)*IF(ISNUMBER(E643),E643,1)</f>
        <v>0</v>
      </c>
      <c r="AJ643" s="140">
        <f t="shared" si="1275"/>
        <v>0</v>
      </c>
      <c r="AK643" s="145">
        <f t="array" ref="AK643">IFERROR(I643*INDEX(F!$P$21:$AB$33, MATCH(G643/$AH643, F!$O$21:$O$33,1), MATCH(E643, F!$P$20:$AB$20,1)), 0 ) +IFERROR( M643*INDEX(F!$P$21:$AB$33, MATCH(K643/$AH643, F!$O$21:$O$33,1), MATCH(E643, F!$P$20:$AB$20,1)),0) +  IFERROR( Q643*INDEX(F!$P$21:$AB$33, MATCH(O643/$AH643, F!$O$21:$O$33,1), MATCH(E643, F!$P$20:$AB$20,1)), 0) + IFERROR( U643*INDEX(F!$P$21:$AB$33, MATCH(S643/$AH643, F!$O$21:$O$33,1), MATCH(E643, F!$P$20:$AB$20,1)),0)  + IFERROR(Y643*INDEX(F!$P$21:$AB$33, MATCH(W643/$AH643, F!$O$21:$O$33,1), MATCH(E643, F!$P$20:$AB$20,1)),0)  + IFERROR( AC643*INDEX(F!$P$21:$AB$33, MATCH(AA643/$AH643, F!$O$21:$O$33,1), MATCH(E643, F!$P$20:$AB$20,1)),)</f>
        <v>0</v>
      </c>
      <c r="AL643" s="59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ht="15.75" hidden="1" customHeight="1">
      <c r="A644" s="59"/>
      <c r="B644" s="173" t="str">
        <f t="shared" ref="B644:F644" si="1280">IF(B588="","",B588)</f>
        <v/>
      </c>
      <c r="C644" s="174" t="str">
        <f t="shared" si="1280"/>
        <v/>
      </c>
      <c r="D644" s="175" t="str">
        <f t="shared" si="1280"/>
        <v/>
      </c>
      <c r="E644" s="48" t="str">
        <f t="shared" si="1280"/>
        <v/>
      </c>
      <c r="F644" s="176" t="str">
        <f t="shared" si="1280"/>
        <v/>
      </c>
      <c r="G644" s="177" t="str">
        <f t="shared" si="1266"/>
        <v/>
      </c>
      <c r="H644" s="178"/>
      <c r="I644" s="178"/>
      <c r="J644" s="179"/>
      <c r="K644" s="177" t="str">
        <f t="shared" si="1267"/>
        <v/>
      </c>
      <c r="L644" s="178"/>
      <c r="M644" s="178"/>
      <c r="N644" s="179"/>
      <c r="O644" s="177" t="str">
        <f t="shared" si="1268"/>
        <v/>
      </c>
      <c r="P644" s="178"/>
      <c r="Q644" s="178"/>
      <c r="R644" s="179"/>
      <c r="S644" s="177" t="str">
        <f t="shared" si="1269"/>
        <v/>
      </c>
      <c r="T644" s="178"/>
      <c r="U644" s="178"/>
      <c r="V644" s="179"/>
      <c r="W644" s="177" t="str">
        <f t="shared" si="1270"/>
        <v/>
      </c>
      <c r="X644" s="178"/>
      <c r="Y644" s="178"/>
      <c r="Z644" s="179"/>
      <c r="AA644" s="177" t="str">
        <f t="shared" si="1271"/>
        <v/>
      </c>
      <c r="AB644" s="178"/>
      <c r="AC644" s="178"/>
      <c r="AD644" s="179"/>
      <c r="AE644" s="180">
        <f t="shared" si="1272"/>
        <v>0</v>
      </c>
      <c r="AF644" s="181">
        <f t="shared" si="1234"/>
        <v>0</v>
      </c>
      <c r="AG644" s="182">
        <f t="shared" si="1273"/>
        <v>0</v>
      </c>
      <c r="AH644" s="76" t="str">
        <f t="shared" si="1274"/>
        <v/>
      </c>
      <c r="AI644" s="181">
        <f> ( IF(ISNUMBER(G644), VLOOKUP(G644/$AH644,F!$A1:$B101,2,1)*G644*$H644*$I644,0)+IF(ISNUMBER(K644), VLOOKUP(K644/$AH644,F!$A1:$B101,2,1)*K644*$L644*$M644,0)+IF(ISNUMBER(O644), VLOOKUP(O644/$AH644,F!$A1:$B101,2,1)*O644*$P644*$Q644,0)+IF(ISNUMBER(S644), VLOOKUP(S644/$AH644,F!$A1:$B101,2,1)*S644*$T644*$U644,0)+IF(ISNUMBER(W644), VLOOKUP(W644/$AH644,F!$A1:$B101,2,1)*W644*$X644*$Y644,0)+IF(ISNUMBER(AA644), VLOOKUP(AA644/$AH644,F!$A1:$B101,2,1)*AA644*$AB644*$AC644,0))*IF(ISNUMBER(F644),F644,1)*IF(ISNUMBER(E644),E644,1)</f>
        <v>0</v>
      </c>
      <c r="AJ644" s="178">
        <f t="shared" si="1275"/>
        <v>0</v>
      </c>
      <c r="AK644" s="183">
        <f t="array" ref="AK644">IFERROR(I644*INDEX(F!$P$21:$AB$33, MATCH(G644/$AH644, F!$O$21:$O$33,1), MATCH(E644, F!$P$20:$AB$20,1)), 0 ) +IFERROR( M644*INDEX(F!$P$21:$AB$33, MATCH(K644/$AH644, F!$O$21:$O$33,1), MATCH(E644, F!$P$20:$AB$20,1)),0) +  IFERROR( Q644*INDEX(F!$P$21:$AB$33, MATCH(O644/$AH644, F!$O$21:$O$33,1), MATCH(E644, F!$P$20:$AB$20,1)), 0) + IFERROR( U644*INDEX(F!$P$21:$AB$33, MATCH(S644/$AH644, F!$O$21:$O$33,1), MATCH(E644, F!$P$20:$AB$20,1)),0)  + IFERROR(Y644*INDEX(F!$P$21:$AB$33, MATCH(W644/$AH644, F!$O$21:$O$33,1), MATCH(E644, F!$P$20:$AB$20,1)),0)  + IFERROR( AC644*INDEX(F!$P$21:$AB$33, MATCH(AA644/$AH644, F!$O$21:$O$33,1), MATCH(E644, F!$P$20:$AB$20,1)),)</f>
        <v>0</v>
      </c>
      <c r="AL644" s="59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ht="15.75" hidden="1" customHeight="1">
      <c r="A645" s="59"/>
      <c r="B645" s="135" t="str">
        <f t="shared" ref="B645:F645" si="1281">IF(B589="","",B589)</f>
        <v/>
      </c>
      <c r="C645" s="136" t="str">
        <f t="shared" si="1281"/>
        <v/>
      </c>
      <c r="D645" s="137" t="str">
        <f t="shared" si="1281"/>
        <v/>
      </c>
      <c r="E645" s="48" t="str">
        <f t="shared" si="1281"/>
        <v/>
      </c>
      <c r="F645" s="138" t="str">
        <f t="shared" si="1281"/>
        <v/>
      </c>
      <c r="G645" s="139" t="str">
        <f t="shared" si="1266"/>
        <v/>
      </c>
      <c r="H645" s="140"/>
      <c r="I645" s="140"/>
      <c r="J645" s="141"/>
      <c r="K645" s="139" t="str">
        <f t="shared" si="1267"/>
        <v/>
      </c>
      <c r="L645" s="140"/>
      <c r="M645" s="140"/>
      <c r="N645" s="141"/>
      <c r="O645" s="139" t="str">
        <f t="shared" si="1268"/>
        <v/>
      </c>
      <c r="P645" s="140"/>
      <c r="Q645" s="140"/>
      <c r="R645" s="141"/>
      <c r="S645" s="139" t="str">
        <f t="shared" si="1269"/>
        <v/>
      </c>
      <c r="T645" s="140"/>
      <c r="U645" s="140"/>
      <c r="V645" s="141"/>
      <c r="W645" s="139" t="str">
        <f t="shared" si="1270"/>
        <v/>
      </c>
      <c r="X645" s="140"/>
      <c r="Y645" s="140"/>
      <c r="Z645" s="141"/>
      <c r="AA645" s="139" t="str">
        <f t="shared" si="1271"/>
        <v/>
      </c>
      <c r="AB645" s="140"/>
      <c r="AC645" s="140"/>
      <c r="AD645" s="141"/>
      <c r="AE645" s="142">
        <f t="shared" si="1272"/>
        <v>0</v>
      </c>
      <c r="AF645" s="143">
        <f t="shared" si="1234"/>
        <v>0</v>
      </c>
      <c r="AG645" s="144">
        <f t="shared" si="1273"/>
        <v>0</v>
      </c>
      <c r="AH645" s="76" t="str">
        <f t="shared" si="1274"/>
        <v/>
      </c>
      <c r="AI645" s="143">
        <f> ( IF(ISNUMBER(G645), VLOOKUP(G645/$AH645,F!$A1:$B101,2,1)*G645*$H645*$I645,0)+IF(ISNUMBER(K645), VLOOKUP(K645/$AH645,F!$A1:$B101,2,1)*K645*$L645*$M645,0)+IF(ISNUMBER(O645), VLOOKUP(O645/$AH645,F!$A1:$B101,2,1)*O645*$P645*$Q645,0)+IF(ISNUMBER(S645), VLOOKUP(S645/$AH645,F!$A1:$B101,2,1)*S645*$T645*$U645,0)+IF(ISNUMBER(W645), VLOOKUP(W645/$AH645,F!$A1:$B101,2,1)*W645*$X645*$Y645,0)+IF(ISNUMBER(AA645), VLOOKUP(AA645/$AH645,F!$A1:$B101,2,1)*AA645*$AB645*$AC645,0))*IF(ISNUMBER(F645),F645,1)*IF(ISNUMBER(E645),E645,1)</f>
        <v>0</v>
      </c>
      <c r="AJ645" s="140">
        <f t="shared" si="1275"/>
        <v>0</v>
      </c>
      <c r="AK645" s="145">
        <f t="array" ref="AK645">IFERROR(I645*INDEX(F!$P$21:$AB$33, MATCH(G645/$AH645, F!$O$21:$O$33,1), MATCH(E645, F!$P$20:$AB$20,1)), 0 ) +IFERROR( M645*INDEX(F!$P$21:$AB$33, MATCH(K645/$AH645, F!$O$21:$O$33,1), MATCH(E645, F!$P$20:$AB$20,1)),0) +  IFERROR( Q645*INDEX(F!$P$21:$AB$33, MATCH(O645/$AH645, F!$O$21:$O$33,1), MATCH(E645, F!$P$20:$AB$20,1)), 0) + IFERROR( U645*INDEX(F!$P$21:$AB$33, MATCH(S645/$AH645, F!$O$21:$O$33,1), MATCH(E645, F!$P$20:$AB$20,1)),0)  + IFERROR(Y645*INDEX(F!$P$21:$AB$33, MATCH(W645/$AH645, F!$O$21:$O$33,1), MATCH(E645, F!$P$20:$AB$20,1)),0)  + IFERROR( AC645*INDEX(F!$P$21:$AB$33, MATCH(AA645/$AH645, F!$O$21:$O$33,1), MATCH(E645, F!$P$20:$AB$20,1)),)</f>
        <v>0</v>
      </c>
      <c r="AL645" s="59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ht="15.75" hidden="1" customHeight="1">
      <c r="A646" s="98"/>
      <c r="B646" s="188"/>
      <c r="C646" s="189"/>
      <c r="D646" s="190"/>
      <c r="E646" s="102">
        <f>ROUND(IFERROR(SUMPRODUCT(AJ638:AJ645,E638:E645)/AJ646,0),3)</f>
        <v>0</v>
      </c>
      <c r="F646" s="191"/>
      <c r="G646" s="192"/>
      <c r="H646" s="193"/>
      <c r="I646" s="193"/>
      <c r="J646" s="194"/>
      <c r="K646" s="192"/>
      <c r="L646" s="193"/>
      <c r="M646" s="193"/>
      <c r="N646" s="194"/>
      <c r="O646" s="192"/>
      <c r="P646" s="193"/>
      <c r="Q646" s="193"/>
      <c r="R646" s="194"/>
      <c r="S646" s="192"/>
      <c r="T646" s="193"/>
      <c r="U646" s="193"/>
      <c r="V646" s="194"/>
      <c r="W646" s="192"/>
      <c r="X646" s="193"/>
      <c r="Y646" s="193"/>
      <c r="Z646" s="194"/>
      <c r="AA646" s="192"/>
      <c r="AB646" s="193"/>
      <c r="AC646" s="193"/>
      <c r="AD646" s="194"/>
      <c r="AE646" s="107">
        <f>SUM(AE638:AE645)</f>
        <v>0</v>
      </c>
      <c r="AF646" s="108">
        <f t="shared" si="1234"/>
        <v>0</v>
      </c>
      <c r="AG646" s="109">
        <f>IFERROR(  SUMPRODUCT(AG638:AG645,AJ638:AJ645)/AJ646,0)</f>
        <v>0</v>
      </c>
      <c r="AH646" s="157"/>
      <c r="AI646" s="111">
        <f t="shared" ref="AI646:AJ646" si="1282">SUM(AI638:AI645)</f>
        <v>0</v>
      </c>
      <c r="AJ646" s="111">
        <f t="shared" si="1282"/>
        <v>0</v>
      </c>
      <c r="AK646" s="112">
        <f>IF(SUM(AK638:AK645)=0,TIME(,0,),TIME(,SUM(AK638:AK645)+F!$V$37,))</f>
        <v>0</v>
      </c>
      <c r="AL646" s="98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ht="15.75" hidden="1" customHeight="1">
      <c r="A647" s="25">
        <f>A648</f>
        <v>43862</v>
      </c>
      <c r="B647" s="26" t="str">
        <f t="shared" ref="B647:F647" si="1283">IF(B591="","",B591)</f>
        <v/>
      </c>
      <c r="C647" s="27" t="str">
        <f t="shared" si="1283"/>
        <v/>
      </c>
      <c r="D647" s="28" t="str">
        <f t="shared" si="1283"/>
        <v/>
      </c>
      <c r="E647" s="29" t="str">
        <f t="shared" si="1283"/>
        <v/>
      </c>
      <c r="F647" s="30" t="str">
        <f t="shared" si="1283"/>
        <v/>
      </c>
      <c r="G647" s="31" t="str">
        <f t="shared" ref="G647:G654" si="1285">IF(J647&lt;&gt;0, IFERROR(IF( $F647=2,  MROUND($AH647*J647,1),    IF( OR($F647="",$F647=1),   MROUND($AH647*J647,2.5),  MROUND($AH647*J647, 0.1))), "" ), "")</f>
        <v/>
      </c>
      <c r="H647" s="32"/>
      <c r="I647" s="32"/>
      <c r="J647" s="33"/>
      <c r="K647" s="31" t="str">
        <f t="shared" ref="K647:K654" si="1286">IF(N647&lt;&gt;0, IFERROR(IF( $F647=2,  MROUND($AH647*N647,1),    IF( OR($F647="",$F647=1),   MROUND($AH647*N647,2.5),  MROUND($AH647*N647, 0.1))), "" ), "")</f>
        <v/>
      </c>
      <c r="L647" s="32"/>
      <c r="M647" s="32"/>
      <c r="N647" s="33"/>
      <c r="O647" s="31" t="str">
        <f t="shared" ref="O647:O654" si="1287">IF(R647&lt;&gt;0, IFERROR(IF( $F647=2,  MROUND($AH647*R647,1),    IF( OR($F647="",$F647=1),   MROUND($AH647*R647,2.5),  MROUND($AH647*R647, 0.1))), "" ), "")</f>
        <v/>
      </c>
      <c r="P647" s="32"/>
      <c r="Q647" s="32"/>
      <c r="R647" s="33"/>
      <c r="S647" s="31" t="str">
        <f t="shared" ref="S647:S654" si="1288">IF(V647&lt;&gt;0, IFERROR(IF( $F647=2,  MROUND($AH647*V647,1),    IF( OR($F647="",$F647=1),   MROUND($AH647*V647,2.5),  MROUND($AH647*V647, 0.1))), "" ), "")</f>
        <v/>
      </c>
      <c r="T647" s="32"/>
      <c r="U647" s="32"/>
      <c r="V647" s="33"/>
      <c r="W647" s="31" t="str">
        <f t="shared" ref="W647:W654" si="1289">IF(Z647&lt;&gt;0, IFERROR(IF( $F647=2,  MROUND($AH647*Z647,1),    IF( OR($F647="",$F647=1),   MROUND($AH647*Z647,2.5),  MROUND($AH647*Z647, 0.1))), "" ), "")</f>
        <v/>
      </c>
      <c r="X647" s="32"/>
      <c r="Y647" s="32"/>
      <c r="Z647" s="33"/>
      <c r="AA647" s="31" t="str">
        <f t="shared" ref="AA647:AA654" si="1290">IF(AD647&lt;&gt;0, IFERROR(IF( $F647=2,  MROUND($AH647*AD647,1),    IF( OR($F647="",$F647=1),   MROUND($AH647*AD647,2.5),  MROUND($AH647*AD647, 0.1))), "" ), "")</f>
        <v/>
      </c>
      <c r="AB647" s="32"/>
      <c r="AC647" s="32"/>
      <c r="AD647" s="33"/>
      <c r="AE647" s="35">
        <f t="shared" ref="AE647:AE654" si="1291">(IF(ISNUMBER(G647),G647,0)*H647*I647+IF(ISNUMBER(K647),K647,1)*L647*M647+IF(ISNUMBER(O647),O647,1)*P647*Q647+IF(ISNUMBER(S647),S647,1)*T647*U647+IF(ISNUMBER(W647),W647,1)*X647*Y647+IF(ISNUMBER(AA647),AA647,1)*AB647*AC647)*IF(ISNUMBER(F647),F647,1)</f>
        <v>0</v>
      </c>
      <c r="AF647" s="36">
        <f t="shared" si="1234"/>
        <v>0</v>
      </c>
      <c r="AG647" s="195">
        <f t="shared" ref="AG647:AG654" si="1292">IFERROR((AF647/(AH647*IF(ISNUMBER(F647),F647,1))),0)</f>
        <v>0</v>
      </c>
      <c r="AH647" s="169" t="str">
        <f t="shared" ref="AH647:AH654" si="1293">IF(ISNUMBER(AH591), AH591+(AH591*$AH$618),"")</f>
        <v/>
      </c>
      <c r="AI647" s="196">
        <f> ( IF(ISNUMBER(G647), VLOOKUP(G647/$AH647,F!$A1:$B101,2,1)*G647*$H647*$I647,0)+IF(ISNUMBER(K647), VLOOKUP(K647/$AH647,F!$A1:$B101,2,1)*K647*$L647*$M647,0)+IF(ISNUMBER(O647), VLOOKUP(O647/$AH647,F!$A1:$B101,2,1)*O647*$P647*$Q647,0)+IF(ISNUMBER(S647), VLOOKUP(S647/$AH647,F!$A1:$B101,2,1)*S647*$T647*$U647,0)+IF(ISNUMBER(W647), VLOOKUP(W647/$AH647,F!$A1:$B101,2,1)*W647*$X647*$Y647,0)+IF(ISNUMBER(AA647), VLOOKUP(AA647/$AH647,F!$A1:$B101,2,1)*AA647*$AB647*$AC647,0))*IF(ISNUMBER(F647),F647,1)*IF(ISNUMBER(E647),E647,1)</f>
        <v>0</v>
      </c>
      <c r="AJ647" s="40">
        <f t="shared" ref="AJ647:AJ654" si="1294">H647*I647+L647*M647+P647*Q647+T647*U647+X647*Y647+AB647*AC647</f>
        <v>0</v>
      </c>
      <c r="AK647" s="41">
        <f t="array" ref="AK647">IFERROR(I647*INDEX(F!$P$21:$AB$33, MATCH(G647/$AH647, F!$O$21:$O$33,1), MATCH(E647, F!$P$20:$AB$20,1)), 0 ) +IFERROR( M647*INDEX(F!$P$21:$AB$33, MATCH(K647/$AH647, F!$O$21:$O$33,1), MATCH(E647, F!$P$20:$AB$20,1)),0) +  IFERROR( Q647*INDEX(F!$P$21:$AB$33, MATCH(O647/$AH647, F!$O$21:$O$33,1), MATCH(E647, F!$P$20:$AB$20,1)), 0) + IFERROR( U647*INDEX(F!$P$21:$AB$33, MATCH(S647/$AH647, F!$O$21:$O$33,1), MATCH(E647, F!$P$20:$AB$20,1)),0)  + IFERROR(Y647*INDEX(F!$P$21:$AB$33, MATCH(W647/$AH647, F!$O$21:$O$33,1), MATCH(E647, F!$P$20:$AB$20,1)),0)  + IFERROR( AC647*INDEX(F!$P$21:$AB$33, MATCH(AA647/$AH647, F!$O$21:$O$33,1), MATCH(E647, F!$P$20:$AB$20,1)),)</f>
        <v>0</v>
      </c>
      <c r="AL647" s="42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ht="15.75" hidden="1" customHeight="1">
      <c r="A648" s="44">
        <f>A592+A562</f>
        <v>43862</v>
      </c>
      <c r="B648" s="45" t="str">
        <f t="shared" ref="B648:F648" si="1284">IF(B592="","",B592)</f>
        <v/>
      </c>
      <c r="C648" s="46" t="str">
        <f t="shared" si="1284"/>
        <v/>
      </c>
      <c r="D648" s="47" t="str">
        <f t="shared" si="1284"/>
        <v/>
      </c>
      <c r="E648" s="48" t="str">
        <f t="shared" si="1284"/>
        <v/>
      </c>
      <c r="F648" s="49" t="str">
        <f t="shared" si="1284"/>
        <v/>
      </c>
      <c r="G648" s="50" t="str">
        <f t="shared" si="1285"/>
        <v/>
      </c>
      <c r="H648" s="51"/>
      <c r="I648" s="51"/>
      <c r="J648" s="52"/>
      <c r="K648" s="50" t="str">
        <f t="shared" si="1286"/>
        <v/>
      </c>
      <c r="L648" s="51"/>
      <c r="M648" s="51"/>
      <c r="N648" s="52"/>
      <c r="O648" s="50" t="str">
        <f t="shared" si="1287"/>
        <v/>
      </c>
      <c r="P648" s="51"/>
      <c r="Q648" s="51"/>
      <c r="R648" s="52"/>
      <c r="S648" s="50" t="str">
        <f t="shared" si="1288"/>
        <v/>
      </c>
      <c r="T648" s="51"/>
      <c r="U648" s="51"/>
      <c r="V648" s="52"/>
      <c r="W648" s="50" t="str">
        <f t="shared" si="1289"/>
        <v/>
      </c>
      <c r="X648" s="51"/>
      <c r="Y648" s="51"/>
      <c r="Z648" s="52"/>
      <c r="AA648" s="50" t="str">
        <f t="shared" si="1290"/>
        <v/>
      </c>
      <c r="AB648" s="51"/>
      <c r="AC648" s="51"/>
      <c r="AD648" s="52"/>
      <c r="AE648" s="53">
        <f t="shared" si="1291"/>
        <v>0</v>
      </c>
      <c r="AF648" s="54">
        <f t="shared" si="1234"/>
        <v>0</v>
      </c>
      <c r="AG648" s="75">
        <f t="shared" si="1292"/>
        <v>0</v>
      </c>
      <c r="AH648" s="76" t="str">
        <f t="shared" si="1293"/>
        <v/>
      </c>
      <c r="AI648" s="77">
        <f> ( IF(ISNUMBER(G648), VLOOKUP(G648/$AH648,F!$A1:$B101,2,1)*G648*$H648*$I648,0)+IF(ISNUMBER(K648), VLOOKUP(K648/$AH648,F!$A1:$B101,2,1)*K648*$L648*$M648,0)+IF(ISNUMBER(O648), VLOOKUP(O648/$AH648,F!$A1:$B101,2,1)*O648*$P648*$Q648,0)+IF(ISNUMBER(S648), VLOOKUP(S648/$AH648,F!$A1:$B101,2,1)*S648*$T648*$U648,0)+IF(ISNUMBER(W648), VLOOKUP(W648/$AH648,F!$A1:$B101,2,1)*W648*$X648*$Y648,0)+IF(ISNUMBER(AA648), VLOOKUP(AA648/$AH648,F!$A1:$B101,2,1)*AA648*$AB648*$AC648,0))*IF(ISNUMBER(F648),F648,1)*IF(ISNUMBER(E648),E648,1)</f>
        <v>0</v>
      </c>
      <c r="AJ648" s="57">
        <f t="shared" si="1294"/>
        <v>0</v>
      </c>
      <c r="AK648" s="58">
        <f t="array" ref="AK648">IFERROR(I648*INDEX(F!$P$21:$AB$33, MATCH(G648/$AH648, F!$O$21:$O$33,1), MATCH(E648, F!$P$20:$AB$20,1)), 0 ) +IFERROR( M648*INDEX(F!$P$21:$AB$33, MATCH(K648/$AH648, F!$O$21:$O$33,1), MATCH(E648, F!$P$20:$AB$20,1)),0) +  IFERROR( Q648*INDEX(F!$P$21:$AB$33, MATCH(O648/$AH648, F!$O$21:$O$33,1), MATCH(E648, F!$P$20:$AB$20,1)), 0) + IFERROR( U648*INDEX(F!$P$21:$AB$33, MATCH(S648/$AH648, F!$O$21:$O$33,1), MATCH(E648, F!$P$20:$AB$20,1)),0)  + IFERROR(Y648*INDEX(F!$P$21:$AB$33, MATCH(W648/$AH648, F!$O$21:$O$33,1), MATCH(E648, F!$P$20:$AB$20,1)),0)  + IFERROR( AC648*INDEX(F!$P$21:$AB$33, MATCH(AA648/$AH648, F!$O$21:$O$33,1), MATCH(E648, F!$P$20:$AB$20,1)),)</f>
        <v>0</v>
      </c>
      <c r="AL648" s="59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ht="15.75" hidden="1" customHeight="1">
      <c r="A649" s="59"/>
      <c r="B649" s="60" t="str">
        <f t="shared" ref="B649:F649" si="1295">IF(B593="","",B593)</f>
        <v/>
      </c>
      <c r="C649" s="61" t="str">
        <f t="shared" si="1295"/>
        <v/>
      </c>
      <c r="D649" s="62" t="str">
        <f t="shared" si="1295"/>
        <v/>
      </c>
      <c r="E649" s="48" t="str">
        <f t="shared" si="1295"/>
        <v/>
      </c>
      <c r="F649" s="63" t="str">
        <f t="shared" si="1295"/>
        <v/>
      </c>
      <c r="G649" s="64" t="str">
        <f t="shared" si="1285"/>
        <v/>
      </c>
      <c r="H649" s="34"/>
      <c r="I649" s="34"/>
      <c r="J649" s="65"/>
      <c r="K649" s="64" t="str">
        <f t="shared" si="1286"/>
        <v/>
      </c>
      <c r="L649" s="34"/>
      <c r="M649" s="34"/>
      <c r="N649" s="65"/>
      <c r="O649" s="64" t="str">
        <f t="shared" si="1287"/>
        <v/>
      </c>
      <c r="P649" s="34"/>
      <c r="Q649" s="34"/>
      <c r="R649" s="65"/>
      <c r="S649" s="64" t="str">
        <f t="shared" si="1288"/>
        <v/>
      </c>
      <c r="T649" s="34"/>
      <c r="U649" s="34"/>
      <c r="V649" s="65"/>
      <c r="W649" s="64" t="str">
        <f t="shared" si="1289"/>
        <v/>
      </c>
      <c r="X649" s="34"/>
      <c r="Y649" s="34"/>
      <c r="Z649" s="65"/>
      <c r="AA649" s="64" t="str">
        <f t="shared" si="1290"/>
        <v/>
      </c>
      <c r="AB649" s="34"/>
      <c r="AC649" s="34"/>
      <c r="AD649" s="65"/>
      <c r="AE649" s="66">
        <f t="shared" si="1291"/>
        <v>0</v>
      </c>
      <c r="AF649" s="67">
        <f t="shared" si="1234"/>
        <v>0</v>
      </c>
      <c r="AG649" s="68">
        <f t="shared" si="1292"/>
        <v>0</v>
      </c>
      <c r="AH649" s="76" t="str">
        <f t="shared" si="1293"/>
        <v/>
      </c>
      <c r="AI649" s="70">
        <f> ( IF(ISNUMBER(G649), VLOOKUP(G649/$AH649,F!$A1:$B101,2,1)*G649*$H649*$I649,0)+IF(ISNUMBER(K649), VLOOKUP(K649/$AH649,F!$A1:$B101,2,1)*K649*$L649*$M649,0)+IF(ISNUMBER(O649), VLOOKUP(O649/$AH649,F!$A1:$B101,2,1)*O649*$P649*$Q649,0)+IF(ISNUMBER(S649), VLOOKUP(S649/$AH649,F!$A1:$B101,2,1)*S649*$T649*$U649,0)+IF(ISNUMBER(W649), VLOOKUP(W649/$AH649,F!$A1:$B101,2,1)*W649*$X649*$Y649,0)+IF(ISNUMBER(AA649), VLOOKUP(AA649/$AH649,F!$A1:$B101,2,1)*AA649*$AB649*$AC649,0))*IF(ISNUMBER(F649),F649,1)*IF(ISNUMBER(E649),E649,1)</f>
        <v>0</v>
      </c>
      <c r="AJ649" s="71">
        <f t="shared" si="1294"/>
        <v>0</v>
      </c>
      <c r="AK649" s="72">
        <f t="array" ref="AK649">IFERROR(I649*INDEX(F!$P$21:$AB$33, MATCH(G649/$AH649, F!$O$21:$O$33,1), MATCH(E649, F!$P$20:$AB$20,1)), 0 ) +IFERROR( M649*INDEX(F!$P$21:$AB$33, MATCH(K649/$AH649, F!$O$21:$O$33,1), MATCH(E649, F!$P$20:$AB$20,1)),0) +  IFERROR( Q649*INDEX(F!$P$21:$AB$33, MATCH(O649/$AH649, F!$O$21:$O$33,1), MATCH(E649, F!$P$20:$AB$20,1)), 0) + IFERROR( U649*INDEX(F!$P$21:$AB$33, MATCH(S649/$AH649, F!$O$21:$O$33,1), MATCH(E649, F!$P$20:$AB$20,1)),0)  + IFERROR(Y649*INDEX(F!$P$21:$AB$33, MATCH(W649/$AH649, F!$O$21:$O$33,1), MATCH(E649, F!$P$20:$AB$20,1)),0)  + IFERROR( AC649*INDEX(F!$P$21:$AB$33, MATCH(AA649/$AH649, F!$O$21:$O$33,1), MATCH(E649, F!$P$20:$AB$20,1)),)</f>
        <v>0</v>
      </c>
      <c r="AL649" s="59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ht="15.75" hidden="1" customHeight="1">
      <c r="A650" s="59"/>
      <c r="B650" s="215" t="str">
        <f t="shared" ref="B650:F650" si="1296">IF(B594="","",B594)</f>
        <v/>
      </c>
      <c r="C650" s="73" t="str">
        <f t="shared" si="1296"/>
        <v/>
      </c>
      <c r="D650" s="47" t="str">
        <f t="shared" si="1296"/>
        <v/>
      </c>
      <c r="E650" s="48" t="str">
        <f t="shared" si="1296"/>
        <v/>
      </c>
      <c r="F650" s="74" t="str">
        <f t="shared" si="1296"/>
        <v/>
      </c>
      <c r="G650" s="50" t="str">
        <f t="shared" si="1285"/>
        <v/>
      </c>
      <c r="H650" s="51"/>
      <c r="I650" s="51"/>
      <c r="J650" s="52"/>
      <c r="K650" s="50" t="str">
        <f t="shared" si="1286"/>
        <v/>
      </c>
      <c r="L650" s="51"/>
      <c r="M650" s="51"/>
      <c r="N650" s="52"/>
      <c r="O650" s="50" t="str">
        <f t="shared" si="1287"/>
        <v/>
      </c>
      <c r="P650" s="51"/>
      <c r="Q650" s="51"/>
      <c r="R650" s="52"/>
      <c r="S650" s="50" t="str">
        <f t="shared" si="1288"/>
        <v/>
      </c>
      <c r="T650" s="51"/>
      <c r="U650" s="51"/>
      <c r="V650" s="52"/>
      <c r="W650" s="50" t="str">
        <f t="shared" si="1289"/>
        <v/>
      </c>
      <c r="X650" s="51"/>
      <c r="Y650" s="51"/>
      <c r="Z650" s="52"/>
      <c r="AA650" s="50" t="str">
        <f t="shared" si="1290"/>
        <v/>
      </c>
      <c r="AB650" s="51"/>
      <c r="AC650" s="51"/>
      <c r="AD650" s="52"/>
      <c r="AE650" s="53">
        <f t="shared" si="1291"/>
        <v>0</v>
      </c>
      <c r="AF650" s="54">
        <f t="shared" si="1234"/>
        <v>0</v>
      </c>
      <c r="AG650" s="75">
        <f t="shared" si="1292"/>
        <v>0</v>
      </c>
      <c r="AH650" s="76" t="str">
        <f t="shared" si="1293"/>
        <v/>
      </c>
      <c r="AI650" s="77">
        <f> ( IF(ISNUMBER(G650), VLOOKUP(G650/$AH650,F!$A1:$B101,2,1)*G650*$H650*$I650,0)+IF(ISNUMBER(K650), VLOOKUP(K650/$AH650,F!$A1:$B101,2,1)*K650*$L650*$M650,0)+IF(ISNUMBER(O650), VLOOKUP(O650/$AH650,F!$A1:$B101,2,1)*O650*$P650*$Q650,0)+IF(ISNUMBER(S650), VLOOKUP(S650/$AH650,F!$A1:$B101,2,1)*S650*$T650*$U650,0)+IF(ISNUMBER(W650), VLOOKUP(W650/$AH650,F!$A1:$B101,2,1)*W650*$X650*$Y650,0)+IF(ISNUMBER(AA650), VLOOKUP(AA650/$AH650,F!$A1:$B101,2,1)*AA650*$AB650*$AC650,0))*IF(ISNUMBER(F650),F650,1)*IF(ISNUMBER(E650),E650,1)</f>
        <v>0</v>
      </c>
      <c r="AJ650" s="57">
        <f t="shared" si="1294"/>
        <v>0</v>
      </c>
      <c r="AK650" s="58">
        <f t="array" ref="AK650">IFERROR(I650*INDEX(F!$P$21:$AB$33, MATCH(G650/$AH650, F!$O$21:$O$33,1), MATCH(E650, F!$P$20:$AB$20,1)), 0 ) +IFERROR( M650*INDEX(F!$P$21:$AB$33, MATCH(K650/$AH650, F!$O$21:$O$33,1), MATCH(E650, F!$P$20:$AB$20,1)),0) +  IFERROR( Q650*INDEX(F!$P$21:$AB$33, MATCH(O650/$AH650, F!$O$21:$O$33,1), MATCH(E650, F!$P$20:$AB$20,1)), 0) + IFERROR( U650*INDEX(F!$P$21:$AB$33, MATCH(S650/$AH650, F!$O$21:$O$33,1), MATCH(E650, F!$P$20:$AB$20,1)),0)  + IFERROR(Y650*INDEX(F!$P$21:$AB$33, MATCH(W650/$AH650, F!$O$21:$O$33,1), MATCH(E650, F!$P$20:$AB$20,1)),0)  + IFERROR( AC650*INDEX(F!$P$21:$AB$33, MATCH(AA650/$AH650, F!$O$21:$O$33,1), MATCH(E650, F!$P$20:$AB$20,1)),)</f>
        <v>0</v>
      </c>
      <c r="AL650" s="59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ht="15.75" hidden="1" customHeight="1">
      <c r="A651" s="59"/>
      <c r="B651" s="216" t="str">
        <f t="shared" ref="B651:F651" si="1297">IF(B595="","",B595)</f>
        <v/>
      </c>
      <c r="C651" s="78" t="str">
        <f t="shared" si="1297"/>
        <v/>
      </c>
      <c r="D651" s="62" t="str">
        <f t="shared" si="1297"/>
        <v/>
      </c>
      <c r="E651" s="48" t="str">
        <f t="shared" si="1297"/>
        <v/>
      </c>
      <c r="F651" s="79" t="str">
        <f t="shared" si="1297"/>
        <v/>
      </c>
      <c r="G651" s="64" t="str">
        <f t="shared" si="1285"/>
        <v/>
      </c>
      <c r="H651" s="34"/>
      <c r="I651" s="34"/>
      <c r="J651" s="65"/>
      <c r="K651" s="64" t="str">
        <f t="shared" si="1286"/>
        <v/>
      </c>
      <c r="L651" s="34"/>
      <c r="M651" s="34"/>
      <c r="N651" s="65"/>
      <c r="O651" s="64" t="str">
        <f t="shared" si="1287"/>
        <v/>
      </c>
      <c r="P651" s="34"/>
      <c r="Q651" s="34"/>
      <c r="R651" s="65"/>
      <c r="S651" s="64" t="str">
        <f t="shared" si="1288"/>
        <v/>
      </c>
      <c r="T651" s="34"/>
      <c r="U651" s="34"/>
      <c r="V651" s="65"/>
      <c r="W651" s="64" t="str">
        <f t="shared" si="1289"/>
        <v/>
      </c>
      <c r="X651" s="34"/>
      <c r="Y651" s="34"/>
      <c r="Z651" s="65"/>
      <c r="AA651" s="64" t="str">
        <f t="shared" si="1290"/>
        <v/>
      </c>
      <c r="AB651" s="34"/>
      <c r="AC651" s="34"/>
      <c r="AD651" s="65"/>
      <c r="AE651" s="66">
        <f t="shared" si="1291"/>
        <v>0</v>
      </c>
      <c r="AF651" s="67">
        <f t="shared" si="1234"/>
        <v>0</v>
      </c>
      <c r="AG651" s="68">
        <f t="shared" si="1292"/>
        <v>0</v>
      </c>
      <c r="AH651" s="76" t="str">
        <f t="shared" si="1293"/>
        <v/>
      </c>
      <c r="AI651" s="70">
        <f> ( IF(ISNUMBER(G651), VLOOKUP(G651/$AH651,F!$A1:$B101,2,1)*G651*$H651*$I651,0)+IF(ISNUMBER(K651), VLOOKUP(K651/$AH651,F!$A1:$B101,2,1)*K651*$L651*$M651,0)+IF(ISNUMBER(O651), VLOOKUP(O651/$AH651,F!$A1:$B101,2,1)*O651*$P651*$Q651,0)+IF(ISNUMBER(S651), VLOOKUP(S651/$AH651,F!$A1:$B101,2,1)*S651*$T651*$U651,0)+IF(ISNUMBER(W651), VLOOKUP(W651/$AH651,F!$A1:$B101,2,1)*W651*$X651*$Y651,0)+IF(ISNUMBER(AA651), VLOOKUP(AA651/$AH651,F!$A1:$B101,2,1)*AA651*$AB651*$AC651,0))*IF(ISNUMBER(F651),F651,1)*IF(ISNUMBER(E651),E651,1)</f>
        <v>0</v>
      </c>
      <c r="AJ651" s="71">
        <f t="shared" si="1294"/>
        <v>0</v>
      </c>
      <c r="AK651" s="72">
        <f t="array" ref="AK651">IFERROR(I651*INDEX(F!$P$21:$AB$33, MATCH(G651/$AH651, F!$O$21:$O$33,1), MATCH(E651, F!$P$20:$AB$20,1)), 0 ) +IFERROR( M651*INDEX(F!$P$21:$AB$33, MATCH(K651/$AH651, F!$O$21:$O$33,1), MATCH(E651, F!$P$20:$AB$20,1)),0) +  IFERROR( Q651*INDEX(F!$P$21:$AB$33, MATCH(O651/$AH651, F!$O$21:$O$33,1), MATCH(E651, F!$P$20:$AB$20,1)), 0) + IFERROR( U651*INDEX(F!$P$21:$AB$33, MATCH(S651/$AH651, F!$O$21:$O$33,1), MATCH(E651, F!$P$20:$AB$20,1)),0)  + IFERROR(Y651*INDEX(F!$P$21:$AB$33, MATCH(W651/$AH651, F!$O$21:$O$33,1), MATCH(E651, F!$P$20:$AB$20,1)),0)  + IFERROR( AC651*INDEX(F!$P$21:$AB$33, MATCH(AA651/$AH651, F!$O$21:$O$33,1), MATCH(E651, F!$P$20:$AB$20,1)),)</f>
        <v>0</v>
      </c>
      <c r="AL651" s="59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ht="15.75" hidden="1" customHeight="1">
      <c r="A652" s="59"/>
      <c r="B652" s="45" t="str">
        <f t="shared" ref="B652:F652" si="1298">IF(B596="","",B596)</f>
        <v/>
      </c>
      <c r="C652" s="46" t="str">
        <f t="shared" si="1298"/>
        <v/>
      </c>
      <c r="D652" s="197" t="str">
        <f t="shared" si="1298"/>
        <v/>
      </c>
      <c r="E652" s="48" t="str">
        <f t="shared" si="1298"/>
        <v/>
      </c>
      <c r="F652" s="83" t="str">
        <f t="shared" si="1298"/>
        <v/>
      </c>
      <c r="G652" s="50" t="str">
        <f t="shared" si="1285"/>
        <v/>
      </c>
      <c r="H652" s="51"/>
      <c r="I652" s="51"/>
      <c r="J652" s="52"/>
      <c r="K652" s="50" t="str">
        <f t="shared" si="1286"/>
        <v/>
      </c>
      <c r="L652" s="51"/>
      <c r="M652" s="51"/>
      <c r="N652" s="52"/>
      <c r="O652" s="50" t="str">
        <f t="shared" si="1287"/>
        <v/>
      </c>
      <c r="P652" s="51"/>
      <c r="Q652" s="51"/>
      <c r="R652" s="52"/>
      <c r="S652" s="50" t="str">
        <f t="shared" si="1288"/>
        <v/>
      </c>
      <c r="T652" s="51"/>
      <c r="U652" s="51"/>
      <c r="V652" s="52"/>
      <c r="W652" s="50" t="str">
        <f t="shared" si="1289"/>
        <v/>
      </c>
      <c r="X652" s="51"/>
      <c r="Y652" s="51"/>
      <c r="Z652" s="52"/>
      <c r="AA652" s="50" t="str">
        <f t="shared" si="1290"/>
        <v/>
      </c>
      <c r="AB652" s="51"/>
      <c r="AC652" s="51"/>
      <c r="AD652" s="52"/>
      <c r="AE652" s="53">
        <f t="shared" si="1291"/>
        <v>0</v>
      </c>
      <c r="AF652" s="54">
        <f t="shared" si="1234"/>
        <v>0</v>
      </c>
      <c r="AG652" s="75">
        <f t="shared" si="1292"/>
        <v>0</v>
      </c>
      <c r="AH652" s="76" t="str">
        <f t="shared" si="1293"/>
        <v/>
      </c>
      <c r="AI652" s="77">
        <f> ( IF(ISNUMBER(G652), VLOOKUP(G652/$AH652,F!$A1:$B101,2,1)*G652*$H652*$I652,0)+IF(ISNUMBER(K652), VLOOKUP(K652/$AH652,F!$A1:$B101,2,1)*K652*$L652*$M652,0)+IF(ISNUMBER(O652), VLOOKUP(O652/$AH652,F!$A1:$B101,2,1)*O652*$P652*$Q652,0)+IF(ISNUMBER(S652), VLOOKUP(S652/$AH652,F!$A1:$B101,2,1)*S652*$T652*$U652,0)+IF(ISNUMBER(W652), VLOOKUP(W652/$AH652,F!$A1:$B101,2,1)*W652*$X652*$Y652,0)+IF(ISNUMBER(AA652), VLOOKUP(AA652/$AH652,F!$A1:$B101,2,1)*AA652*$AB652*$AC652,0))*IF(ISNUMBER(F652),F652,1)*IF(ISNUMBER(E652),E652,1)</f>
        <v>0</v>
      </c>
      <c r="AJ652" s="86">
        <f t="shared" si="1294"/>
        <v>0</v>
      </c>
      <c r="AK652" s="58">
        <f t="array" ref="AK652">IFERROR(I652*INDEX(F!$P$21:$AB$33, MATCH(G652/$AH652, F!$O$21:$O$33,1), MATCH(E652, F!$P$20:$AB$20,1)), 0 ) +IFERROR( M652*INDEX(F!$P$21:$AB$33, MATCH(K652/$AH652, F!$O$21:$O$33,1), MATCH(E652, F!$P$20:$AB$20,1)),0) +  IFERROR( Q652*INDEX(F!$P$21:$AB$33, MATCH(O652/$AH652, F!$O$21:$O$33,1), MATCH(E652, F!$P$20:$AB$20,1)), 0) + IFERROR( U652*INDEX(F!$P$21:$AB$33, MATCH(S652/$AH652, F!$O$21:$O$33,1), MATCH(E652, F!$P$20:$AB$20,1)),0)  + IFERROR(Y652*INDEX(F!$P$21:$AB$33, MATCH(W652/$AH652, F!$O$21:$O$33,1), MATCH(E652, F!$P$20:$AB$20,1)),0)  + IFERROR( AC652*INDEX(F!$P$21:$AB$33, MATCH(AA652/$AH652, F!$O$21:$O$33,1), MATCH(E652, F!$P$20:$AB$20,1)),)</f>
        <v>0</v>
      </c>
      <c r="AL652" s="59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ht="15.75" hidden="1" customHeight="1">
      <c r="A653" s="59"/>
      <c r="B653" s="60" t="str">
        <f t="shared" ref="B653:F653" si="1299">IF(B597="","",B597)</f>
        <v/>
      </c>
      <c r="C653" s="61" t="str">
        <f t="shared" si="1299"/>
        <v/>
      </c>
      <c r="D653" s="198" t="str">
        <f t="shared" si="1299"/>
        <v/>
      </c>
      <c r="E653" s="48" t="str">
        <f t="shared" si="1299"/>
        <v/>
      </c>
      <c r="F653" s="79" t="str">
        <f t="shared" si="1299"/>
        <v/>
      </c>
      <c r="G653" s="64" t="str">
        <f t="shared" si="1285"/>
        <v/>
      </c>
      <c r="H653" s="34"/>
      <c r="I653" s="34"/>
      <c r="J653" s="65"/>
      <c r="K653" s="64" t="str">
        <f t="shared" si="1286"/>
        <v/>
      </c>
      <c r="L653" s="34"/>
      <c r="M653" s="34"/>
      <c r="N653" s="65"/>
      <c r="O653" s="64" t="str">
        <f t="shared" si="1287"/>
        <v/>
      </c>
      <c r="P653" s="34"/>
      <c r="Q653" s="34"/>
      <c r="R653" s="65"/>
      <c r="S653" s="64" t="str">
        <f t="shared" si="1288"/>
        <v/>
      </c>
      <c r="T653" s="34"/>
      <c r="U653" s="34"/>
      <c r="V653" s="65"/>
      <c r="W653" s="64" t="str">
        <f t="shared" si="1289"/>
        <v/>
      </c>
      <c r="X653" s="34"/>
      <c r="Y653" s="34"/>
      <c r="Z653" s="65"/>
      <c r="AA653" s="64" t="str">
        <f t="shared" si="1290"/>
        <v/>
      </c>
      <c r="AB653" s="34"/>
      <c r="AC653" s="34"/>
      <c r="AD653" s="65"/>
      <c r="AE653" s="66">
        <f t="shared" si="1291"/>
        <v>0</v>
      </c>
      <c r="AF653" s="67">
        <f t="shared" si="1234"/>
        <v>0</v>
      </c>
      <c r="AG653" s="68">
        <f t="shared" si="1292"/>
        <v>0</v>
      </c>
      <c r="AH653" s="76" t="str">
        <f t="shared" si="1293"/>
        <v/>
      </c>
      <c r="AI653" s="90">
        <f> ( IF(ISNUMBER(G653), VLOOKUP(G653/$AH653,F!$A1:$B101,2,1)*G653*$H653*$I653,0)+IF(ISNUMBER(K653), VLOOKUP(K653/$AH653,F!$A1:$B101,2,1)*K653*$L653*$M653,0)+IF(ISNUMBER(O653), VLOOKUP(O653/$AH653,F!$A1:$B101,2,1)*O653*$P653*$Q653,0)+IF(ISNUMBER(S653), VLOOKUP(S653/$AH653,F!$A1:$B101,2,1)*S653*$T653*$U653,0)+IF(ISNUMBER(W653), VLOOKUP(W653/$AH653,F!$A1:$B101,2,1)*W653*$X653*$Y653,0)+IF(ISNUMBER(AA653), VLOOKUP(AA653/$AH653,F!$A1:$B101,2,1)*AA653*$AB653*$AC653,0))*IF(ISNUMBER(F653),F653,1)*IF(ISNUMBER(E653),E653,1)</f>
        <v>0</v>
      </c>
      <c r="AJ653" s="34">
        <f t="shared" si="1294"/>
        <v>0</v>
      </c>
      <c r="AK653" s="91">
        <f t="array" ref="AK653">IFERROR(I653*INDEX(F!$P$21:$AB$33, MATCH(G653/$AH653, F!$O$21:$O$33,1), MATCH(E653, F!$P$20:$AB$20,1)), 0 ) +IFERROR( M653*INDEX(F!$P$21:$AB$33, MATCH(K653/$AH653, F!$O$21:$O$33,1), MATCH(E653, F!$P$20:$AB$20,1)),0) +  IFERROR( Q653*INDEX(F!$P$21:$AB$33, MATCH(O653/$AH653, F!$O$21:$O$33,1), MATCH(E653, F!$P$20:$AB$20,1)), 0) + IFERROR( U653*INDEX(F!$P$21:$AB$33, MATCH(S653/$AH653, F!$O$21:$O$33,1), MATCH(E653, F!$P$20:$AB$20,1)),0)  + IFERROR(Y653*INDEX(F!$P$21:$AB$33, MATCH(W653/$AH653, F!$O$21:$O$33,1), MATCH(E653, F!$P$20:$AB$20,1)),0)  + IFERROR( AC653*INDEX(F!$P$21:$AB$33, MATCH(AA653/$AH653, F!$O$21:$O$33,1), MATCH(E653, F!$P$20:$AB$20,1)),)</f>
        <v>0</v>
      </c>
      <c r="AL653" s="59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ht="15.75" hidden="1" customHeight="1">
      <c r="A654" s="59"/>
      <c r="B654" s="45" t="str">
        <f t="shared" ref="B654:F654" si="1300">IF(B598="","",B598)</f>
        <v/>
      </c>
      <c r="C654" s="46" t="str">
        <f t="shared" si="1300"/>
        <v/>
      </c>
      <c r="D654" s="92" t="str">
        <f t="shared" si="1300"/>
        <v/>
      </c>
      <c r="E654" s="48" t="str">
        <f t="shared" si="1300"/>
        <v/>
      </c>
      <c r="F654" s="74" t="str">
        <f t="shared" si="1300"/>
        <v/>
      </c>
      <c r="G654" s="50" t="str">
        <f t="shared" si="1285"/>
        <v/>
      </c>
      <c r="H654" s="51"/>
      <c r="I654" s="51"/>
      <c r="J654" s="52"/>
      <c r="K654" s="50" t="str">
        <f t="shared" si="1286"/>
        <v/>
      </c>
      <c r="L654" s="51"/>
      <c r="M654" s="51"/>
      <c r="N654" s="52"/>
      <c r="O654" s="50" t="str">
        <f t="shared" si="1287"/>
        <v/>
      </c>
      <c r="P654" s="51"/>
      <c r="Q654" s="51"/>
      <c r="R654" s="52"/>
      <c r="S654" s="50" t="str">
        <f t="shared" si="1288"/>
        <v/>
      </c>
      <c r="T654" s="51"/>
      <c r="U654" s="51"/>
      <c r="V654" s="52"/>
      <c r="W654" s="50" t="str">
        <f t="shared" si="1289"/>
        <v/>
      </c>
      <c r="X654" s="51"/>
      <c r="Y654" s="51"/>
      <c r="Z654" s="52"/>
      <c r="AA654" s="50" t="str">
        <f t="shared" si="1290"/>
        <v/>
      </c>
      <c r="AB654" s="51"/>
      <c r="AC654" s="51"/>
      <c r="AD654" s="52"/>
      <c r="AE654" s="53">
        <f t="shared" si="1291"/>
        <v>0</v>
      </c>
      <c r="AF654" s="93">
        <f t="shared" si="1234"/>
        <v>0</v>
      </c>
      <c r="AG654" s="94">
        <f t="shared" si="1292"/>
        <v>0</v>
      </c>
      <c r="AH654" s="76" t="str">
        <f t="shared" si="1293"/>
        <v/>
      </c>
      <c r="AI654" s="95">
        <f> ( IF(ISNUMBER(G654), VLOOKUP(G654/$AH654,F!$A1:$B101,2,1)*G654*$H654*$I654,0)+IF(ISNUMBER(K654), VLOOKUP(K654/$AH654,F!$A1:$B101,2,1)*K654*$L654*$M654,0)+IF(ISNUMBER(O654), VLOOKUP(O654/$AH654,F!$A1:$B101,2,1)*O654*$P654*$Q654,0)+IF(ISNUMBER(S654), VLOOKUP(S654/$AH654,F!$A1:$B101,2,1)*S654*$T654*$U654,0)+IF(ISNUMBER(W654), VLOOKUP(W654/$AH654,F!$A1:$B101,2,1)*W654*$X654*$Y654,0)+IF(ISNUMBER(AA654), VLOOKUP(AA654/$AH654,F!$A1:$B101,2,1)*AA654*$AB654*$AC654,0))*IF(ISNUMBER(F654),F654,1)*IF(ISNUMBER(E654),E654,1)</f>
        <v>0</v>
      </c>
      <c r="AJ654" s="96">
        <f t="shared" si="1294"/>
        <v>0</v>
      </c>
      <c r="AK654" s="97">
        <f t="array" ref="AK654">IFERROR(I654*INDEX(F!$P$21:$AB$33, MATCH(G654/$AH654, F!$O$21:$O$33,1), MATCH(E654, F!$P$20:$AB$20,1)), 0 ) +IFERROR( M654*INDEX(F!$P$21:$AB$33, MATCH(K654/$AH654, F!$O$21:$O$33,1), MATCH(E654, F!$P$20:$AB$20,1)),0) +  IFERROR( Q654*INDEX(F!$P$21:$AB$33, MATCH(O654/$AH654, F!$O$21:$O$33,1), MATCH(E654, F!$P$20:$AB$20,1)), 0) + IFERROR( U654*INDEX(F!$P$21:$AB$33, MATCH(S654/$AH654, F!$O$21:$O$33,1), MATCH(E654, F!$P$20:$AB$20,1)),0)  + IFERROR(Y654*INDEX(F!$P$21:$AB$33, MATCH(W654/$AH654, F!$O$21:$O$33,1), MATCH(E654, F!$P$20:$AB$20,1)),0)  + IFERROR( AC654*INDEX(F!$P$21:$AB$33, MATCH(AA654/$AH654, F!$O$21:$O$33,1), MATCH(E654, F!$P$20:$AB$20,1)),)</f>
        <v>0</v>
      </c>
      <c r="AL654" s="59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ht="15.75" hidden="1" customHeight="1">
      <c r="A655" s="98"/>
      <c r="B655" s="99"/>
      <c r="C655" s="100"/>
      <c r="D655" s="101"/>
      <c r="E655" s="102">
        <f>ROUND(IFERROR(SUMPRODUCT(AJ647:AJ654,E647:E654)/AJ655,0),3)</f>
        <v>0</v>
      </c>
      <c r="F655" s="199"/>
      <c r="G655" s="104"/>
      <c r="H655" s="105"/>
      <c r="I655" s="105"/>
      <c r="J655" s="106"/>
      <c r="K655" s="104"/>
      <c r="L655" s="105"/>
      <c r="M655" s="105"/>
      <c r="N655" s="106"/>
      <c r="O655" s="104"/>
      <c r="P655" s="105"/>
      <c r="Q655" s="105"/>
      <c r="R655" s="106"/>
      <c r="S655" s="104"/>
      <c r="T655" s="105"/>
      <c r="U655" s="105"/>
      <c r="V655" s="106"/>
      <c r="W655" s="104"/>
      <c r="X655" s="105"/>
      <c r="Y655" s="105"/>
      <c r="Z655" s="106"/>
      <c r="AA655" s="104"/>
      <c r="AB655" s="105"/>
      <c r="AC655" s="105"/>
      <c r="AD655" s="106"/>
      <c r="AE655" s="107">
        <f>SUM(AE647:AE654)</f>
        <v>0</v>
      </c>
      <c r="AF655" s="108">
        <f t="shared" si="1234"/>
        <v>0</v>
      </c>
      <c r="AG655" s="109">
        <f>IFERROR(  SUMPRODUCT(AG647:AG654,AJ647:AJ654)/AJ655,0)</f>
        <v>0</v>
      </c>
      <c r="AH655" s="157"/>
      <c r="AI655" s="111">
        <f t="shared" ref="AI655:AJ655" si="1301">SUM(AI647:AI654)</f>
        <v>0</v>
      </c>
      <c r="AJ655" s="111">
        <f t="shared" si="1301"/>
        <v>0</v>
      </c>
      <c r="AK655" s="112">
        <f>IF(SUM(AK647:AK654)=0,TIME(,0,),TIME(,SUM(AK647:AK654)+F!$V$37,))</f>
        <v>0</v>
      </c>
      <c r="AL655" s="98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ht="15.75" hidden="1" customHeight="1">
      <c r="A656" s="113">
        <f>A657</f>
        <v>43863</v>
      </c>
      <c r="B656" s="114" t="str">
        <f t="shared" ref="B656:F656" si="1302">IF(B600="","",B600)</f>
        <v/>
      </c>
      <c r="C656" s="115" t="str">
        <f t="shared" si="1302"/>
        <v/>
      </c>
      <c r="D656" s="116" t="str">
        <f t="shared" si="1302"/>
        <v/>
      </c>
      <c r="E656" s="29" t="str">
        <f t="shared" si="1302"/>
        <v/>
      </c>
      <c r="F656" s="117" t="str">
        <f t="shared" si="1302"/>
        <v/>
      </c>
      <c r="G656" s="118" t="str">
        <f t="shared" ref="G656:G663" si="1304">IF(J656&lt;&gt;0, IFERROR(IF( $F656=2,  MROUND($AH656*J656,1),    IF( OR($F656="",$F656=1),   MROUND($AH656*J656,2.5),  MROUND($AH656*J656, 0.1))), "" ), "")</f>
        <v/>
      </c>
      <c r="H656" s="119"/>
      <c r="I656" s="119"/>
      <c r="J656" s="120"/>
      <c r="K656" s="118" t="str">
        <f t="shared" ref="K656:K663" si="1305">IF(N656&lt;&gt;0, IFERROR(IF( $F656=2,  MROUND($AH656*N656,1),    IF( OR($F656="",$F656=1),   MROUND($AH656*N656,2.5),  MROUND($AH656*N656, 0.1))), "" ), "")</f>
        <v/>
      </c>
      <c r="L656" s="119"/>
      <c r="M656" s="119"/>
      <c r="N656" s="120"/>
      <c r="O656" s="118" t="str">
        <f t="shared" ref="O656:O663" si="1306">IF(R656&lt;&gt;0, IFERROR(IF( $F656=2,  MROUND($AH656*R656,1),    IF( OR($F656="",$F656=1),   MROUND($AH656*R656,2.5),  MROUND($AH656*R656, 0.1))), "" ), "")</f>
        <v/>
      </c>
      <c r="P656" s="119"/>
      <c r="Q656" s="119"/>
      <c r="R656" s="120"/>
      <c r="S656" s="118" t="str">
        <f t="shared" ref="S656:S663" si="1307">IF(V656&lt;&gt;0, IFERROR(IF( $F656=2,  MROUND($AH656*V656,1),    IF( OR($F656="",$F656=1),   MROUND($AH656*V656,2.5),  MROUND($AH656*V656, 0.1))), "" ), "")</f>
        <v/>
      </c>
      <c r="T656" s="119"/>
      <c r="U656" s="119"/>
      <c r="V656" s="120"/>
      <c r="W656" s="118" t="str">
        <f t="shared" ref="W656:W663" si="1308">IF(Z656&lt;&gt;0, IFERROR(IF( $F656=2,  MROUND($AH656*Z656,1),    IF( OR($F656="",$F656=1),   MROUND($AH656*Z656,2.5),  MROUND($AH656*Z656, 0.1))), "" ), "")</f>
        <v/>
      </c>
      <c r="X656" s="119"/>
      <c r="Y656" s="119"/>
      <c r="Z656" s="120"/>
      <c r="AA656" s="118" t="str">
        <f t="shared" ref="AA656:AA663" si="1309">IF(AD656&lt;&gt;0, IFERROR(IF( $F656=2,  MROUND($AH656*AD656,1),    IF( OR($F656="",$F656=1),   MROUND($AH656*AD656,2.5),  MROUND($AH656*AD656, 0.1))), "" ), "")</f>
        <v/>
      </c>
      <c r="AB656" s="119"/>
      <c r="AC656" s="119"/>
      <c r="AD656" s="120"/>
      <c r="AE656" s="121">
        <f t="shared" ref="AE656:AE663" si="1310">(IF(ISNUMBER(G656),G656,0)*H656*I656+IF(ISNUMBER(K656),K656,1)*L656*M656+IF(ISNUMBER(O656),O656,1)*P656*Q656+IF(ISNUMBER(S656),S656,1)*T656*U656+IF(ISNUMBER(W656),W656,1)*X656*Y656+IF(ISNUMBER(AA656),AA656,1)*AB656*AC656)*IF(ISNUMBER(F656),F656,1)</f>
        <v>0</v>
      </c>
      <c r="AF656" s="122">
        <f t="shared" si="1234"/>
        <v>0</v>
      </c>
      <c r="AG656" s="200">
        <f t="shared" ref="AG656:AG663" si="1311">IFERROR((AF656/(AH656*IF(ISNUMBER(F656),F656,1))),0)</f>
        <v>0</v>
      </c>
      <c r="AH656" s="169" t="str">
        <f t="shared" ref="AH656:AH663" si="1312">IF(ISNUMBER(AH600), AH600+(AH600*$AH$618),"")</f>
        <v/>
      </c>
      <c r="AI656" s="122">
        <f> ( IF(ISNUMBER(G656), VLOOKUP(G656/$AH656,F!$A1:$B101,2,1)*G656*$H656*$I656,0)+IF(ISNUMBER(K656), VLOOKUP(K656/$AH656,F!$A1:$B101,2,1)*K656*$L656*$M656,0)+IF(ISNUMBER(O656), VLOOKUP(O656/$AH656,F!$A1:$B101,2,1)*O656*$P656*$Q656,0)+IF(ISNUMBER(S656), VLOOKUP(S656/$AH656,F!$A1:$B101,2,1)*S656*$T656*$U656,0)+IF(ISNUMBER(W656), VLOOKUP(W656/$AH656,F!$A1:$B101,2,1)*W656*$X656*$Y656,0)+IF(ISNUMBER(AA656), VLOOKUP(AA656/$AH656,F!$A1:$B101,2,1)*AA656*$AB656*$AC656,0))*IF(ISNUMBER(F656),F656,1)*IF(ISNUMBER(E656),E656,1)</f>
        <v>0</v>
      </c>
      <c r="AJ656" s="119">
        <f t="shared" ref="AJ656:AJ663" si="1313">H656*I656+L656*M656+P656*Q656+T656*U656+X656*Y656+AB656*AC656</f>
        <v>0</v>
      </c>
      <c r="AK656" s="125">
        <f t="array" ref="AK656">IFERROR(I656*INDEX(F!$P$21:$AB$33, MATCH(G656/$AH656, F!$O$21:$O$33,1), MATCH(E656, F!$P$20:$AB$20,1)), 0 ) +IFERROR( M656*INDEX(F!$P$21:$AB$33, MATCH(K656/$AH656, F!$O$21:$O$33,1), MATCH(E656, F!$P$20:$AB$20,1)),0) +  IFERROR( Q656*INDEX(F!$P$21:$AB$33, MATCH(O656/$AH656, F!$O$21:$O$33,1), MATCH(E656, F!$P$20:$AB$20,1)), 0) + IFERROR( U656*INDEX(F!$P$21:$AB$33, MATCH(S656/$AH656, F!$O$21:$O$33,1), MATCH(E656, F!$P$20:$AB$20,1)),0)  + IFERROR(Y656*INDEX(F!$P$21:$AB$33, MATCH(W656/$AH656, F!$O$21:$O$33,1), MATCH(E656, F!$P$20:$AB$20,1)),0)  + IFERROR( AC656*INDEX(F!$P$21:$AB$33, MATCH(AA656/$AH656, F!$O$21:$O$33,1), MATCH(E656, F!$P$20:$AB$20,1)),)</f>
        <v>0</v>
      </c>
      <c r="AL656" s="42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ht="15.75" hidden="1" customHeight="1">
      <c r="A657" s="44">
        <f>A601+A562</f>
        <v>43863</v>
      </c>
      <c r="B657" s="126" t="str">
        <f t="shared" ref="B657:F657" si="1303">IF(B601="","",B601)</f>
        <v/>
      </c>
      <c r="C657" s="127" t="str">
        <f t="shared" si="1303"/>
        <v/>
      </c>
      <c r="D657" s="128" t="str">
        <f t="shared" si="1303"/>
        <v/>
      </c>
      <c r="E657" s="48" t="str">
        <f t="shared" si="1303"/>
        <v/>
      </c>
      <c r="F657" s="129" t="str">
        <f t="shared" si="1303"/>
        <v/>
      </c>
      <c r="G657" s="130" t="str">
        <f t="shared" si="1304"/>
        <v/>
      </c>
      <c r="H657" s="34"/>
      <c r="I657" s="34"/>
      <c r="J657" s="65"/>
      <c r="K657" s="130" t="str">
        <f t="shared" si="1305"/>
        <v/>
      </c>
      <c r="L657" s="34"/>
      <c r="M657" s="34"/>
      <c r="N657" s="65"/>
      <c r="O657" s="130" t="str">
        <f t="shared" si="1306"/>
        <v/>
      </c>
      <c r="P657" s="34"/>
      <c r="Q657" s="34"/>
      <c r="R657" s="65"/>
      <c r="S657" s="130" t="str">
        <f t="shared" si="1307"/>
        <v/>
      </c>
      <c r="T657" s="34"/>
      <c r="U657" s="34"/>
      <c r="V657" s="65"/>
      <c r="W657" s="130" t="str">
        <f t="shared" si="1308"/>
        <v/>
      </c>
      <c r="X657" s="34"/>
      <c r="Y657" s="34"/>
      <c r="Z657" s="65"/>
      <c r="AA657" s="130" t="str">
        <f t="shared" si="1309"/>
        <v/>
      </c>
      <c r="AB657" s="34"/>
      <c r="AC657" s="34"/>
      <c r="AD657" s="65"/>
      <c r="AE657" s="131">
        <f t="shared" si="1310"/>
        <v>0</v>
      </c>
      <c r="AF657" s="132">
        <f t="shared" si="1234"/>
        <v>0</v>
      </c>
      <c r="AG657" s="133">
        <f t="shared" si="1311"/>
        <v>0</v>
      </c>
      <c r="AH657" s="76" t="str">
        <f t="shared" si="1312"/>
        <v/>
      </c>
      <c r="AI657" s="132">
        <f> ( IF(ISNUMBER(G657), VLOOKUP(G657/$AH657,F!$A1:$B101,2,1)*G657*$H657*$I657,0)+IF(ISNUMBER(K657), VLOOKUP(K657/$AH657,F!$A1:$B101,2,1)*K657*$L657*$M657,0)+IF(ISNUMBER(O657), VLOOKUP(O657/$AH657,F!$A1:$B101,2,1)*O657*$P657*$Q657,0)+IF(ISNUMBER(S657), VLOOKUP(S657/$AH657,F!$A1:$B101,2,1)*S657*$T657*$U657,0)+IF(ISNUMBER(W657), VLOOKUP(W657/$AH657,F!$A1:$B101,2,1)*W657*$X657*$Y657,0)+IF(ISNUMBER(AA657), VLOOKUP(AA657/$AH657,F!$A1:$B101,2,1)*AA657*$AB657*$AC657,0))*IF(ISNUMBER(F657),F657,1)*IF(ISNUMBER(E657),E657,1)</f>
        <v>0</v>
      </c>
      <c r="AJ657" s="34">
        <f t="shared" si="1313"/>
        <v>0</v>
      </c>
      <c r="AK657" s="134">
        <f t="array" ref="AK657">IFERROR(I657*INDEX(F!$P$21:$AB$33, MATCH(G657/$AH657, F!$O$21:$O$33,1), MATCH(E657, F!$P$20:$AB$20,1)), 0 ) +IFERROR( M657*INDEX(F!$P$21:$AB$33, MATCH(K657/$AH657, F!$O$21:$O$33,1), MATCH(E657, F!$P$20:$AB$20,1)),0) +  IFERROR( Q657*INDEX(F!$P$21:$AB$33, MATCH(O657/$AH657, F!$O$21:$O$33,1), MATCH(E657, F!$P$20:$AB$20,1)), 0) + IFERROR( U657*INDEX(F!$P$21:$AB$33, MATCH(S657/$AH657, F!$O$21:$O$33,1), MATCH(E657, F!$P$20:$AB$20,1)),0)  + IFERROR(Y657*INDEX(F!$P$21:$AB$33, MATCH(W657/$AH657, F!$O$21:$O$33,1), MATCH(E657, F!$P$20:$AB$20,1)),0)  + IFERROR( AC657*INDEX(F!$P$21:$AB$33, MATCH(AA657/$AH657, F!$O$21:$O$33,1), MATCH(E657, F!$P$20:$AB$20,1)),)</f>
        <v>0</v>
      </c>
      <c r="AL657" s="59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ht="15.75" hidden="1" customHeight="1">
      <c r="A658" s="59"/>
      <c r="B658" s="135" t="str">
        <f t="shared" ref="B658:F658" si="1314">IF(B602="","",B602)</f>
        <v/>
      </c>
      <c r="C658" s="136" t="str">
        <f t="shared" si="1314"/>
        <v/>
      </c>
      <c r="D658" s="137" t="str">
        <f t="shared" si="1314"/>
        <v/>
      </c>
      <c r="E658" s="48" t="str">
        <f t="shared" si="1314"/>
        <v/>
      </c>
      <c r="F658" s="138" t="str">
        <f t="shared" si="1314"/>
        <v/>
      </c>
      <c r="G658" s="139" t="str">
        <f t="shared" si="1304"/>
        <v/>
      </c>
      <c r="H658" s="140"/>
      <c r="I658" s="140"/>
      <c r="J658" s="141"/>
      <c r="K658" s="139" t="str">
        <f t="shared" si="1305"/>
        <v/>
      </c>
      <c r="L658" s="140"/>
      <c r="M658" s="140"/>
      <c r="N658" s="141"/>
      <c r="O658" s="139" t="str">
        <f t="shared" si="1306"/>
        <v/>
      </c>
      <c r="P658" s="140"/>
      <c r="Q658" s="140"/>
      <c r="R658" s="141"/>
      <c r="S658" s="139" t="str">
        <f t="shared" si="1307"/>
        <v/>
      </c>
      <c r="T658" s="140"/>
      <c r="U658" s="140"/>
      <c r="V658" s="141"/>
      <c r="W658" s="139" t="str">
        <f t="shared" si="1308"/>
        <v/>
      </c>
      <c r="X658" s="140"/>
      <c r="Y658" s="140"/>
      <c r="Z658" s="141"/>
      <c r="AA658" s="139" t="str">
        <f t="shared" si="1309"/>
        <v/>
      </c>
      <c r="AB658" s="140"/>
      <c r="AC658" s="140"/>
      <c r="AD658" s="141"/>
      <c r="AE658" s="142">
        <f t="shared" si="1310"/>
        <v>0</v>
      </c>
      <c r="AF658" s="143">
        <f t="shared" si="1234"/>
        <v>0</v>
      </c>
      <c r="AG658" s="144">
        <f t="shared" si="1311"/>
        <v>0</v>
      </c>
      <c r="AH658" s="76" t="str">
        <f t="shared" si="1312"/>
        <v/>
      </c>
      <c r="AI658" s="143">
        <f> ( IF(ISNUMBER(G658), VLOOKUP(G658/$AH658,F!$A1:$B101,2,1)*G658*$H658*$I658,0)+IF(ISNUMBER(K658), VLOOKUP(K658/$AH658,F!$A1:$B101,2,1)*K658*$L658*$M658,0)+IF(ISNUMBER(O658), VLOOKUP(O658/$AH658,F!$A1:$B101,2,1)*O658*$P658*$Q658,0)+IF(ISNUMBER(S658), VLOOKUP(S658/$AH658,F!$A1:$B101,2,1)*S658*$T658*$U658,0)+IF(ISNUMBER(W658), VLOOKUP(W658/$AH658,F!$A1:$B101,2,1)*W658*$X658*$Y658,0)+IF(ISNUMBER(AA658), VLOOKUP(AA658/$AH658,F!$A1:$B101,2,1)*AA658*$AB658*$AC658,0))*IF(ISNUMBER(F658),F658,1)*IF(ISNUMBER(E658),E658,1)</f>
        <v>0</v>
      </c>
      <c r="AJ658" s="140">
        <f t="shared" si="1313"/>
        <v>0</v>
      </c>
      <c r="AK658" s="145">
        <f t="array" ref="AK658">IFERROR(I658*INDEX(F!$P$21:$AB$33, MATCH(G658/$AH658, F!$O$21:$O$33,1), MATCH(E658, F!$P$20:$AB$20,1)), 0 ) +IFERROR( M658*INDEX(F!$P$21:$AB$33, MATCH(K658/$AH658, F!$O$21:$O$33,1), MATCH(E658, F!$P$20:$AB$20,1)),0) +  IFERROR( Q658*INDEX(F!$P$21:$AB$33, MATCH(O658/$AH658, F!$O$21:$O$33,1), MATCH(E658, F!$P$20:$AB$20,1)), 0) + IFERROR( U658*INDEX(F!$P$21:$AB$33, MATCH(S658/$AH658, F!$O$21:$O$33,1), MATCH(E658, F!$P$20:$AB$20,1)),0)  + IFERROR(Y658*INDEX(F!$P$21:$AB$33, MATCH(W658/$AH658, F!$O$21:$O$33,1), MATCH(E658, F!$P$20:$AB$20,1)),0)  + IFERROR( AC658*INDEX(F!$P$21:$AB$33, MATCH(AA658/$AH658, F!$O$21:$O$33,1), MATCH(E658, F!$P$20:$AB$20,1)),)</f>
        <v>0</v>
      </c>
      <c r="AL658" s="59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ht="15.75" hidden="1" customHeight="1">
      <c r="A659" s="59"/>
      <c r="B659" s="126" t="str">
        <f t="shared" ref="B659:F659" si="1315">IF(B603="","",B603)</f>
        <v/>
      </c>
      <c r="C659" s="127" t="str">
        <f t="shared" si="1315"/>
        <v/>
      </c>
      <c r="D659" s="128" t="str">
        <f t="shared" si="1315"/>
        <v/>
      </c>
      <c r="E659" s="48" t="str">
        <f t="shared" si="1315"/>
        <v/>
      </c>
      <c r="F659" s="129" t="str">
        <f t="shared" si="1315"/>
        <v/>
      </c>
      <c r="G659" s="130" t="str">
        <f t="shared" si="1304"/>
        <v/>
      </c>
      <c r="H659" s="34"/>
      <c r="I659" s="34"/>
      <c r="J659" s="65"/>
      <c r="K659" s="130" t="str">
        <f t="shared" si="1305"/>
        <v/>
      </c>
      <c r="L659" s="34"/>
      <c r="M659" s="34"/>
      <c r="N659" s="65"/>
      <c r="O659" s="130" t="str">
        <f t="shared" si="1306"/>
        <v/>
      </c>
      <c r="P659" s="34"/>
      <c r="Q659" s="34"/>
      <c r="R659" s="65"/>
      <c r="S659" s="130" t="str">
        <f t="shared" si="1307"/>
        <v/>
      </c>
      <c r="T659" s="34"/>
      <c r="U659" s="34"/>
      <c r="V659" s="65"/>
      <c r="W659" s="130" t="str">
        <f t="shared" si="1308"/>
        <v/>
      </c>
      <c r="X659" s="34"/>
      <c r="Y659" s="34"/>
      <c r="Z659" s="65"/>
      <c r="AA659" s="130" t="str">
        <f t="shared" si="1309"/>
        <v/>
      </c>
      <c r="AB659" s="34"/>
      <c r="AC659" s="34"/>
      <c r="AD659" s="65"/>
      <c r="AE659" s="131">
        <f t="shared" si="1310"/>
        <v>0</v>
      </c>
      <c r="AF659" s="132">
        <f t="shared" si="1234"/>
        <v>0</v>
      </c>
      <c r="AG659" s="133">
        <f t="shared" si="1311"/>
        <v>0</v>
      </c>
      <c r="AH659" s="76" t="str">
        <f t="shared" si="1312"/>
        <v/>
      </c>
      <c r="AI659" s="132">
        <f> ( IF(ISNUMBER(G659), VLOOKUP(G659/$AH659,F!$A1:$B101,2,1)*G659*$H659*$I659,0)+IF(ISNUMBER(K659), VLOOKUP(K659/$AH659,F!$A1:$B101,2,1)*K659*$L659*$M659,0)+IF(ISNUMBER(O659), VLOOKUP(O659/$AH659,F!$A1:$B101,2,1)*O659*$P659*$Q659,0)+IF(ISNUMBER(S659), VLOOKUP(S659/$AH659,F!$A1:$B101,2,1)*S659*$T659*$U659,0)+IF(ISNUMBER(W659), VLOOKUP(W659/$AH659,F!$A1:$B101,2,1)*W659*$X659*$Y659,0)+IF(ISNUMBER(AA659), VLOOKUP(AA659/$AH659,F!$A1:$B101,2,1)*AA659*$AB659*$AC659,0))*IF(ISNUMBER(F659),F659,1)*IF(ISNUMBER(E659),E659,1)</f>
        <v>0</v>
      </c>
      <c r="AJ659" s="34">
        <f t="shared" si="1313"/>
        <v>0</v>
      </c>
      <c r="AK659" s="134">
        <f t="array" ref="AK659">IFERROR(I659*INDEX(F!$P$21:$AB$33, MATCH(G659/$AH659, F!$O$21:$O$33,1), MATCH(E659, F!$P$20:$AB$20,1)), 0 ) +IFERROR( M659*INDEX(F!$P$21:$AB$33, MATCH(K659/$AH659, F!$O$21:$O$33,1), MATCH(E659, F!$P$20:$AB$20,1)),0) +  IFERROR( Q659*INDEX(F!$P$21:$AB$33, MATCH(O659/$AH659, F!$O$21:$O$33,1), MATCH(E659, F!$P$20:$AB$20,1)), 0) + IFERROR( U659*INDEX(F!$P$21:$AB$33, MATCH(S659/$AH659, F!$O$21:$O$33,1), MATCH(E659, F!$P$20:$AB$20,1)),0)  + IFERROR(Y659*INDEX(F!$P$21:$AB$33, MATCH(W659/$AH659, F!$O$21:$O$33,1), MATCH(E659, F!$P$20:$AB$20,1)),0)  + IFERROR( AC659*INDEX(F!$P$21:$AB$33, MATCH(AA659/$AH659, F!$O$21:$O$33,1), MATCH(E659, F!$P$20:$AB$20,1)),)</f>
        <v>0</v>
      </c>
      <c r="AL659" s="59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ht="15.75" hidden="1" customHeight="1">
      <c r="A660" s="59"/>
      <c r="B660" s="135" t="str">
        <f t="shared" ref="B660:F660" si="1316">IF(B604="","",B604)</f>
        <v/>
      </c>
      <c r="C660" s="136" t="str">
        <f t="shared" si="1316"/>
        <v/>
      </c>
      <c r="D660" s="137" t="str">
        <f t="shared" si="1316"/>
        <v/>
      </c>
      <c r="E660" s="48" t="str">
        <f t="shared" si="1316"/>
        <v/>
      </c>
      <c r="F660" s="138" t="str">
        <f t="shared" si="1316"/>
        <v/>
      </c>
      <c r="G660" s="139" t="str">
        <f t="shared" si="1304"/>
        <v/>
      </c>
      <c r="H660" s="140"/>
      <c r="I660" s="140"/>
      <c r="J660" s="141"/>
      <c r="K660" s="139" t="str">
        <f t="shared" si="1305"/>
        <v/>
      </c>
      <c r="L660" s="140"/>
      <c r="M660" s="140"/>
      <c r="N660" s="141"/>
      <c r="O660" s="139" t="str">
        <f t="shared" si="1306"/>
        <v/>
      </c>
      <c r="P660" s="140"/>
      <c r="Q660" s="140"/>
      <c r="R660" s="141"/>
      <c r="S660" s="139" t="str">
        <f t="shared" si="1307"/>
        <v/>
      </c>
      <c r="T660" s="140"/>
      <c r="U660" s="140"/>
      <c r="V660" s="141"/>
      <c r="W660" s="139" t="str">
        <f t="shared" si="1308"/>
        <v/>
      </c>
      <c r="X660" s="140"/>
      <c r="Y660" s="140"/>
      <c r="Z660" s="141"/>
      <c r="AA660" s="139" t="str">
        <f t="shared" si="1309"/>
        <v/>
      </c>
      <c r="AB660" s="140"/>
      <c r="AC660" s="140"/>
      <c r="AD660" s="141"/>
      <c r="AE660" s="142">
        <f t="shared" si="1310"/>
        <v>0</v>
      </c>
      <c r="AF660" s="143">
        <f t="shared" si="1234"/>
        <v>0</v>
      </c>
      <c r="AG660" s="144">
        <f t="shared" si="1311"/>
        <v>0</v>
      </c>
      <c r="AH660" s="76" t="str">
        <f t="shared" si="1312"/>
        <v/>
      </c>
      <c r="AI660" s="143">
        <f> ( IF(ISNUMBER(G660), VLOOKUP(G660/$AH660,F!$A1:$B101,2,1)*G660*$H660*$I660,0)+IF(ISNUMBER(K660), VLOOKUP(K660/$AH660,F!$A1:$B101,2,1)*K660*$L660*$M660,0)+IF(ISNUMBER(O660), VLOOKUP(O660/$AH660,F!$A1:$B101,2,1)*O660*$P660*$Q660,0)+IF(ISNUMBER(S660), VLOOKUP(S660/$AH660,F!$A1:$B101,2,1)*S660*$T660*$U660,0)+IF(ISNUMBER(W660), VLOOKUP(W660/$AH660,F!$A1:$B101,2,1)*W660*$X660*$Y660,0)+IF(ISNUMBER(AA660), VLOOKUP(AA660/$AH660,F!$A1:$B101,2,1)*AA660*$AB660*$AC660,0))*IF(ISNUMBER(F660),F660,1)*IF(ISNUMBER(E660),E660,1)</f>
        <v>0</v>
      </c>
      <c r="AJ660" s="140">
        <f t="shared" si="1313"/>
        <v>0</v>
      </c>
      <c r="AK660" s="145">
        <f t="array" ref="AK660">IFERROR(I660*INDEX(F!$P$21:$AB$33, MATCH(G660/$AH660, F!$O$21:$O$33,1), MATCH(E660, F!$P$20:$AB$20,1)), 0 ) +IFERROR( M660*INDEX(F!$P$21:$AB$33, MATCH(K660/$AH660, F!$O$21:$O$33,1), MATCH(E660, F!$P$20:$AB$20,1)),0) +  IFERROR( Q660*INDEX(F!$P$21:$AB$33, MATCH(O660/$AH660, F!$O$21:$O$33,1), MATCH(E660, F!$P$20:$AB$20,1)), 0) + IFERROR( U660*INDEX(F!$P$21:$AB$33, MATCH(S660/$AH660, F!$O$21:$O$33,1), MATCH(E660, F!$P$20:$AB$20,1)),0)  + IFERROR(Y660*INDEX(F!$P$21:$AB$33, MATCH(W660/$AH660, F!$O$21:$O$33,1), MATCH(E660, F!$P$20:$AB$20,1)),0)  + IFERROR( AC660*INDEX(F!$P$21:$AB$33, MATCH(AA660/$AH660, F!$O$21:$O$33,1), MATCH(E660, F!$P$20:$AB$20,1)),)</f>
        <v>0</v>
      </c>
      <c r="AL660" s="59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ht="15.75" hidden="1" customHeight="1">
      <c r="A661" s="59"/>
      <c r="B661" s="126" t="str">
        <f t="shared" ref="B661:F661" si="1317">IF(B605="","",B605)</f>
        <v/>
      </c>
      <c r="C661" s="127" t="str">
        <f t="shared" si="1317"/>
        <v/>
      </c>
      <c r="D661" s="128" t="str">
        <f t="shared" si="1317"/>
        <v/>
      </c>
      <c r="E661" s="48" t="str">
        <f t="shared" si="1317"/>
        <v/>
      </c>
      <c r="F661" s="129" t="str">
        <f t="shared" si="1317"/>
        <v/>
      </c>
      <c r="G661" s="130" t="str">
        <f t="shared" si="1304"/>
        <v/>
      </c>
      <c r="H661" s="34"/>
      <c r="I661" s="34"/>
      <c r="J661" s="65"/>
      <c r="K661" s="130" t="str">
        <f t="shared" si="1305"/>
        <v/>
      </c>
      <c r="L661" s="34"/>
      <c r="M661" s="34"/>
      <c r="N661" s="65"/>
      <c r="O661" s="130" t="str">
        <f t="shared" si="1306"/>
        <v/>
      </c>
      <c r="P661" s="34"/>
      <c r="Q661" s="34"/>
      <c r="R661" s="65"/>
      <c r="S661" s="130" t="str">
        <f t="shared" si="1307"/>
        <v/>
      </c>
      <c r="T661" s="34"/>
      <c r="U661" s="34"/>
      <c r="V661" s="65"/>
      <c r="W661" s="130" t="str">
        <f t="shared" si="1308"/>
        <v/>
      </c>
      <c r="X661" s="34"/>
      <c r="Y661" s="34"/>
      <c r="Z661" s="65"/>
      <c r="AA661" s="130" t="str">
        <f t="shared" si="1309"/>
        <v/>
      </c>
      <c r="AB661" s="34"/>
      <c r="AC661" s="34"/>
      <c r="AD661" s="65"/>
      <c r="AE661" s="131">
        <f t="shared" si="1310"/>
        <v>0</v>
      </c>
      <c r="AF661" s="132">
        <f t="shared" si="1234"/>
        <v>0</v>
      </c>
      <c r="AG661" s="133">
        <f t="shared" si="1311"/>
        <v>0</v>
      </c>
      <c r="AH661" s="76" t="str">
        <f t="shared" si="1312"/>
        <v/>
      </c>
      <c r="AI661" s="132">
        <f> ( IF(ISNUMBER(G661), VLOOKUP(G661/$AH661,F!$A1:$B101,2,1)*G661*$H661*$I661,0)+IF(ISNUMBER(K661), VLOOKUP(K661/$AH661,F!$A1:$B101,2,1)*K661*$L661*$M661,0)+IF(ISNUMBER(O661), VLOOKUP(O661/$AH661,F!$A1:$B101,2,1)*O661*$P661*$Q661,0)+IF(ISNUMBER(S661), VLOOKUP(S661/$AH661,F!$A1:$B101,2,1)*S661*$T661*$U661,0)+IF(ISNUMBER(W661), VLOOKUP(W661/$AH661,F!$A1:$B101,2,1)*W661*$X661*$Y661,0)+IF(ISNUMBER(AA661), VLOOKUP(AA661/$AH661,F!$A1:$B101,2,1)*AA661*$AB661*$AC661,0))*IF(ISNUMBER(F661),F661,1)*IF(ISNUMBER(E661),E661,1)</f>
        <v>0</v>
      </c>
      <c r="AJ661" s="34">
        <f t="shared" si="1313"/>
        <v>0</v>
      </c>
      <c r="AK661" s="134">
        <f t="array" ref="AK661">IFERROR(I661*INDEX(F!$P$21:$AB$33, MATCH(G661/$AH661, F!$O$21:$O$33,1), MATCH(E661, F!$P$20:$AB$20,1)), 0 ) +IFERROR( M661*INDEX(F!$P$21:$AB$33, MATCH(K661/$AH661, F!$O$21:$O$33,1), MATCH(E661, F!$P$20:$AB$20,1)),0) +  IFERROR( Q661*INDEX(F!$P$21:$AB$33, MATCH(O661/$AH661, F!$O$21:$O$33,1), MATCH(E661, F!$P$20:$AB$20,1)), 0) + IFERROR( U661*INDEX(F!$P$21:$AB$33, MATCH(S661/$AH661, F!$O$21:$O$33,1), MATCH(E661, F!$P$20:$AB$20,1)),0)  + IFERROR(Y661*INDEX(F!$P$21:$AB$33, MATCH(W661/$AH661, F!$O$21:$O$33,1), MATCH(E661, F!$P$20:$AB$20,1)),0)  + IFERROR( AC661*INDEX(F!$P$21:$AB$33, MATCH(AA661/$AH661, F!$O$21:$O$33,1), MATCH(E661, F!$P$20:$AB$20,1)),)</f>
        <v>0</v>
      </c>
      <c r="AL661" s="59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ht="15.75" hidden="1" customHeight="1">
      <c r="A662" s="59"/>
      <c r="B662" s="135" t="str">
        <f t="shared" ref="B662:F662" si="1318">IF(B606="","",B606)</f>
        <v/>
      </c>
      <c r="C662" s="136" t="str">
        <f t="shared" si="1318"/>
        <v/>
      </c>
      <c r="D662" s="137" t="str">
        <f t="shared" si="1318"/>
        <v/>
      </c>
      <c r="E662" s="48" t="str">
        <f t="shared" si="1318"/>
        <v/>
      </c>
      <c r="F662" s="138" t="str">
        <f t="shared" si="1318"/>
        <v/>
      </c>
      <c r="G662" s="139" t="str">
        <f t="shared" si="1304"/>
        <v/>
      </c>
      <c r="H662" s="140"/>
      <c r="I662" s="140"/>
      <c r="J662" s="141"/>
      <c r="K662" s="139" t="str">
        <f t="shared" si="1305"/>
        <v/>
      </c>
      <c r="L662" s="140"/>
      <c r="M662" s="140"/>
      <c r="N662" s="141"/>
      <c r="O662" s="139" t="str">
        <f t="shared" si="1306"/>
        <v/>
      </c>
      <c r="P662" s="140"/>
      <c r="Q662" s="140"/>
      <c r="R662" s="141"/>
      <c r="S662" s="139" t="str">
        <f t="shared" si="1307"/>
        <v/>
      </c>
      <c r="T662" s="140"/>
      <c r="U662" s="140"/>
      <c r="V662" s="141"/>
      <c r="W662" s="139" t="str">
        <f t="shared" si="1308"/>
        <v/>
      </c>
      <c r="X662" s="140"/>
      <c r="Y662" s="140"/>
      <c r="Z662" s="141"/>
      <c r="AA662" s="139" t="str">
        <f t="shared" si="1309"/>
        <v/>
      </c>
      <c r="AB662" s="140"/>
      <c r="AC662" s="140"/>
      <c r="AD662" s="141"/>
      <c r="AE662" s="142">
        <f t="shared" si="1310"/>
        <v>0</v>
      </c>
      <c r="AF662" s="143">
        <f t="shared" si="1234"/>
        <v>0</v>
      </c>
      <c r="AG662" s="144">
        <f t="shared" si="1311"/>
        <v>0</v>
      </c>
      <c r="AH662" s="76" t="str">
        <f t="shared" si="1312"/>
        <v/>
      </c>
      <c r="AI662" s="143">
        <f> ( IF(ISNUMBER(G662), VLOOKUP(G662/$AH662,F!$A1:$B101,2,1)*G662*$H662*$I662,0)+IF(ISNUMBER(K662), VLOOKUP(K662/$AH662,F!$A1:$B101,2,1)*K662*$L662*$M662,0)+IF(ISNUMBER(O662), VLOOKUP(O662/$AH662,F!$A1:$B101,2,1)*O662*$P662*$Q662,0)+IF(ISNUMBER(S662), VLOOKUP(S662/$AH662,F!$A1:$B101,2,1)*S662*$T662*$U662,0)+IF(ISNUMBER(W662), VLOOKUP(W662/$AH662,F!$A1:$B101,2,1)*W662*$X662*$Y662,0)+IF(ISNUMBER(AA662), VLOOKUP(AA662/$AH662,F!$A1:$B101,2,1)*AA662*$AB662*$AC662,0))*IF(ISNUMBER(F662),F662,1)*IF(ISNUMBER(E662),E662,1)</f>
        <v>0</v>
      </c>
      <c r="AJ662" s="140">
        <f t="shared" si="1313"/>
        <v>0</v>
      </c>
      <c r="AK662" s="145">
        <f t="array" ref="AK662">IFERROR(I662*INDEX(F!$P$21:$AB$33, MATCH(G662/$AH662, F!$O$21:$O$33,1), MATCH(E662, F!$P$20:$AB$20,1)), 0 ) +IFERROR( M662*INDEX(F!$P$21:$AB$33, MATCH(K662/$AH662, F!$O$21:$O$33,1), MATCH(E662, F!$P$20:$AB$20,1)),0) +  IFERROR( Q662*INDEX(F!$P$21:$AB$33, MATCH(O662/$AH662, F!$O$21:$O$33,1), MATCH(E662, F!$P$20:$AB$20,1)), 0) + IFERROR( U662*INDEX(F!$P$21:$AB$33, MATCH(S662/$AH662, F!$O$21:$O$33,1), MATCH(E662, F!$P$20:$AB$20,1)),0)  + IFERROR(Y662*INDEX(F!$P$21:$AB$33, MATCH(W662/$AH662, F!$O$21:$O$33,1), MATCH(E662, F!$P$20:$AB$20,1)),0)  + IFERROR( AC662*INDEX(F!$P$21:$AB$33, MATCH(AA662/$AH662, F!$O$21:$O$33,1), MATCH(E662, F!$P$20:$AB$20,1)),)</f>
        <v>0</v>
      </c>
      <c r="AL662" s="59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ht="15.75" hidden="1" customHeight="1">
      <c r="A663" s="59"/>
      <c r="B663" s="126" t="str">
        <f t="shared" ref="B663:F663" si="1319">IF(B607="","",B607)</f>
        <v/>
      </c>
      <c r="C663" s="127" t="str">
        <f t="shared" si="1319"/>
        <v/>
      </c>
      <c r="D663" s="128" t="str">
        <f t="shared" si="1319"/>
        <v/>
      </c>
      <c r="E663" s="48" t="str">
        <f t="shared" si="1319"/>
        <v/>
      </c>
      <c r="F663" s="129" t="str">
        <f t="shared" si="1319"/>
        <v/>
      </c>
      <c r="G663" s="130" t="str">
        <f t="shared" si="1304"/>
        <v/>
      </c>
      <c r="H663" s="34"/>
      <c r="I663" s="34"/>
      <c r="J663" s="65"/>
      <c r="K663" s="130" t="str">
        <f t="shared" si="1305"/>
        <v/>
      </c>
      <c r="L663" s="34"/>
      <c r="M663" s="34"/>
      <c r="N663" s="65"/>
      <c r="O663" s="130" t="str">
        <f t="shared" si="1306"/>
        <v/>
      </c>
      <c r="P663" s="34"/>
      <c r="Q663" s="34"/>
      <c r="R663" s="65"/>
      <c r="S663" s="130" t="str">
        <f t="shared" si="1307"/>
        <v/>
      </c>
      <c r="T663" s="34"/>
      <c r="U663" s="34"/>
      <c r="V663" s="65"/>
      <c r="W663" s="130" t="str">
        <f t="shared" si="1308"/>
        <v/>
      </c>
      <c r="X663" s="34"/>
      <c r="Y663" s="34"/>
      <c r="Z663" s="65"/>
      <c r="AA663" s="130" t="str">
        <f t="shared" si="1309"/>
        <v/>
      </c>
      <c r="AB663" s="34"/>
      <c r="AC663" s="34"/>
      <c r="AD663" s="65"/>
      <c r="AE663" s="131">
        <f t="shared" si="1310"/>
        <v>0</v>
      </c>
      <c r="AF663" s="132">
        <f t="shared" si="1234"/>
        <v>0</v>
      </c>
      <c r="AG663" s="133">
        <f t="shared" si="1311"/>
        <v>0</v>
      </c>
      <c r="AH663" s="76" t="str">
        <f t="shared" si="1312"/>
        <v/>
      </c>
      <c r="AI663" s="132">
        <f> ( IF(ISNUMBER(G663), VLOOKUP(G663/$AH663,F!$A1:$B101,2,1)*G663*$H663*$I663,0)+IF(ISNUMBER(K663), VLOOKUP(K663/$AH663,F!$A1:$B101,2,1)*K663*$L663*$M663,0)+IF(ISNUMBER(O663), VLOOKUP(O663/$AH663,F!$A1:$B101,2,1)*O663*$P663*$Q663,0)+IF(ISNUMBER(S663), VLOOKUP(S663/$AH663,F!$A1:$B101,2,1)*S663*$T663*$U663,0)+IF(ISNUMBER(W663), VLOOKUP(W663/$AH663,F!$A1:$B101,2,1)*W663*$X663*$Y663,0)+IF(ISNUMBER(AA663), VLOOKUP(AA663/$AH663,F!$A1:$B101,2,1)*AA663*$AB663*$AC663,0))*IF(ISNUMBER(F663),F663,1)*IF(ISNUMBER(E663),E663,1)</f>
        <v>0</v>
      </c>
      <c r="AJ663" s="34">
        <f t="shared" si="1313"/>
        <v>0</v>
      </c>
      <c r="AK663" s="134">
        <f t="array" ref="AK663">IFERROR(I663*INDEX(F!$P$21:$AB$33, MATCH(G663/$AH663, F!$O$21:$O$33,1), MATCH(E663, F!$P$20:$AB$20,1)), 0 ) +IFERROR( M663*INDEX(F!$P$21:$AB$33, MATCH(K663/$AH663, F!$O$21:$O$33,1), MATCH(E663, F!$P$20:$AB$20,1)),0) +  IFERROR( Q663*INDEX(F!$P$21:$AB$33, MATCH(O663/$AH663, F!$O$21:$O$33,1), MATCH(E663, F!$P$20:$AB$20,1)), 0) + IFERROR( U663*INDEX(F!$P$21:$AB$33, MATCH(S663/$AH663, F!$O$21:$O$33,1), MATCH(E663, F!$P$20:$AB$20,1)),0)  + IFERROR(Y663*INDEX(F!$P$21:$AB$33, MATCH(W663/$AH663, F!$O$21:$O$33,1), MATCH(E663, F!$P$20:$AB$20,1)),0)  + IFERROR( AC663*INDEX(F!$P$21:$AB$33, MATCH(AA663/$AH663, F!$O$21:$O$33,1), MATCH(E663, F!$P$20:$AB$20,1)),)</f>
        <v>0</v>
      </c>
      <c r="AL663" s="59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ht="15.75" hidden="1" customHeight="1">
      <c r="A664" s="98"/>
      <c r="B664" s="150"/>
      <c r="C664" s="151"/>
      <c r="D664" s="152"/>
      <c r="E664" s="102">
        <f>ROUND(IFERROR(SUMPRODUCT(AJ656:AJ663,E656:E663)/AJ664,0),3)</f>
        <v>0</v>
      </c>
      <c r="F664" s="153"/>
      <c r="G664" s="154"/>
      <c r="H664" s="155"/>
      <c r="I664" s="155"/>
      <c r="J664" s="156"/>
      <c r="K664" s="154"/>
      <c r="L664" s="155"/>
      <c r="M664" s="155"/>
      <c r="N664" s="156"/>
      <c r="O664" s="154"/>
      <c r="P664" s="155"/>
      <c r="Q664" s="155"/>
      <c r="R664" s="156"/>
      <c r="S664" s="154"/>
      <c r="T664" s="155"/>
      <c r="U664" s="155"/>
      <c r="V664" s="156"/>
      <c r="W664" s="154"/>
      <c r="X664" s="155"/>
      <c r="Y664" s="155"/>
      <c r="Z664" s="156"/>
      <c r="AA664" s="154"/>
      <c r="AB664" s="155"/>
      <c r="AC664" s="155"/>
      <c r="AD664" s="156"/>
      <c r="AE664" s="107">
        <f>SUM(AE656:AE663)</f>
        <v>0</v>
      </c>
      <c r="AF664" s="108">
        <f t="shared" si="1234"/>
        <v>0</v>
      </c>
      <c r="AG664" s="109">
        <f>IFERROR(  SUMPRODUCT(AG656:AG663,AJ656:AJ663)/AJ664,0)</f>
        <v>0</v>
      </c>
      <c r="AH664" s="157"/>
      <c r="AI664" s="111">
        <f t="shared" ref="AI664:AJ664" si="1320">SUM(AI656:AI663)</f>
        <v>0</v>
      </c>
      <c r="AJ664" s="111">
        <f t="shared" si="1320"/>
        <v>0</v>
      </c>
      <c r="AK664" s="112">
        <f>IF(SUM(AK656:AK663)=0,TIME(,0,),TIME(,SUM(AK656:AK663)+F!$V$37,))</f>
        <v>0</v>
      </c>
      <c r="AL664" s="98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ht="15.75" hidden="1" customHeight="1">
      <c r="A665" s="158">
        <f>A666</f>
        <v>43864</v>
      </c>
      <c r="B665" s="159" t="str">
        <f t="shared" ref="B665:F665" si="1321">IF(B609="","",B609)</f>
        <v/>
      </c>
      <c r="C665" s="160" t="str">
        <f t="shared" si="1321"/>
        <v/>
      </c>
      <c r="D665" s="161" t="str">
        <f t="shared" si="1321"/>
        <v/>
      </c>
      <c r="E665" s="29" t="str">
        <f t="shared" si="1321"/>
        <v/>
      </c>
      <c r="F665" s="162" t="str">
        <f t="shared" si="1321"/>
        <v/>
      </c>
      <c r="G665" s="163" t="str">
        <f t="shared" ref="G665:G672" si="1323">IF(J665&lt;&gt;0, IFERROR(IF( $F665=2,  MROUND($AH665*J665,1),    IF( OR($F665="",$F665=1),   MROUND($AH665*J665,2.5),  MROUND($AH665*J665, 0.1))), "" ), "")</f>
        <v/>
      </c>
      <c r="H665" s="164"/>
      <c r="I665" s="164"/>
      <c r="J665" s="165"/>
      <c r="K665" s="163" t="str">
        <f t="shared" ref="K665:K672" si="1324">IF(N665&lt;&gt;0, IFERROR(IF( $F665=2,  MROUND($AH665*N665,1),    IF( OR($F665="",$F665=1),   MROUND($AH665*N665,2.5),  MROUND($AH665*N665, 0.1))), "" ), "")</f>
        <v/>
      </c>
      <c r="L665" s="164"/>
      <c r="M665" s="164"/>
      <c r="N665" s="165"/>
      <c r="O665" s="163" t="str">
        <f t="shared" ref="O665:O672" si="1325">IF(R665&lt;&gt;0, IFERROR(IF( $F665=2,  MROUND($AH665*R665,1),    IF( OR($F665="",$F665=1),   MROUND($AH665*R665,2.5),  MROUND($AH665*R665, 0.1))), "" ), "")</f>
        <v/>
      </c>
      <c r="P665" s="164"/>
      <c r="Q665" s="164"/>
      <c r="R665" s="165"/>
      <c r="S665" s="163" t="str">
        <f t="shared" ref="S665:S672" si="1326">IF(V665&lt;&gt;0, IFERROR(IF( $F665=2,  MROUND($AH665*V665,1),    IF( OR($F665="",$F665=1),   MROUND($AH665*V665,2.5),  MROUND($AH665*V665, 0.1))), "" ), "")</f>
        <v/>
      </c>
      <c r="T665" s="164"/>
      <c r="U665" s="164"/>
      <c r="V665" s="165"/>
      <c r="W665" s="163" t="str">
        <f t="shared" ref="W665:W672" si="1327">IF(Z665&lt;&gt;0, IFERROR(IF( $F665=2,  MROUND($AH665*Z665,1),    IF( OR($F665="",$F665=1),   MROUND($AH665*Z665,2.5),  MROUND($AH665*Z665, 0.1))), "" ), "")</f>
        <v/>
      </c>
      <c r="X665" s="164"/>
      <c r="Y665" s="164"/>
      <c r="Z665" s="165"/>
      <c r="AA665" s="163" t="str">
        <f t="shared" ref="AA665:AA672" si="1328">IF(AD665&lt;&gt;0, IFERROR(IF( $F665=2,  MROUND($AH665*AD665,1),    IF( OR($F665="",$F665=1),   MROUND($AH665*AD665,2.5),  MROUND($AH665*AD665, 0.1))), "" ), "")</f>
        <v/>
      </c>
      <c r="AB665" s="164"/>
      <c r="AC665" s="164"/>
      <c r="AD665" s="165"/>
      <c r="AE665" s="166">
        <f t="shared" ref="AE665:AE672" si="1329">(IF(ISNUMBER(G665),G665,0)*H665*I665+IF(ISNUMBER(K665),K665,1)*L665*M665+IF(ISNUMBER(O665),O665,1)*P665*Q665+IF(ISNUMBER(S665),S665,1)*T665*U665+IF(ISNUMBER(W665),W665,1)*X665*Y665+IF(ISNUMBER(AA665),AA665,1)*AB665*AC665)*IF(ISNUMBER(F665),F665,1)</f>
        <v>0</v>
      </c>
      <c r="AF665" s="167">
        <f t="shared" si="1234"/>
        <v>0</v>
      </c>
      <c r="AG665" s="168">
        <f t="shared" ref="AG665:AG672" si="1330">IFERROR((AF665/(AH665*IF(ISNUMBER(F665),F665,1))),0)</f>
        <v>0</v>
      </c>
      <c r="AH665" s="169" t="str">
        <f t="shared" ref="AH665:AH672" si="1331">IF(ISNUMBER(AH609), AH609+(AH609*$AH$618),"")</f>
        <v/>
      </c>
      <c r="AI665" s="167">
        <f> ( IF(ISNUMBER(G665), VLOOKUP(G665/$AH665,F!$A1:$B101,2,1)*G665*$H665*$I665,0)+IF(ISNUMBER(K665), VLOOKUP(K665/$AH665,F!$A1:$B101,2,1)*K665*$L665*$M665,0)+IF(ISNUMBER(O665), VLOOKUP(O665/$AH665,F!$A1:$B101,2,1)*O665*$P665*$Q665,0)+IF(ISNUMBER(S665), VLOOKUP(S665/$AH665,F!$A1:$B101,2,1)*S665*$T665*$U665,0)+IF(ISNUMBER(W665), VLOOKUP(W665/$AH665,F!$A1:$B101,2,1)*W665*$X665*$Y665,0)+IF(ISNUMBER(AA665), VLOOKUP(AA665/$AH665,F!$A1:$B101,2,1)*AA665*$AB665*$AC665,0))*IF(ISNUMBER(F665),F665,1)*IF(ISNUMBER(E665),E665,1)</f>
        <v>0</v>
      </c>
      <c r="AJ665" s="164">
        <f t="shared" ref="AJ665:AJ672" si="1332">H665*I665+L665*M665+P665*Q665+T665*U665+X665*Y665+AB665*AC665</f>
        <v>0</v>
      </c>
      <c r="AK665" s="170">
        <f t="array" ref="AK665">IFERROR(I665*INDEX(F!$P$21:$AB$33, MATCH(G665/$AH665, F!$O$21:$O$33,1), MATCH(E665, F!$P$20:$AB$20,1)), 0 ) +IFERROR( M665*INDEX(F!$P$21:$AB$33, MATCH(K665/$AH665, F!$O$21:$O$33,1), MATCH(E665, F!$P$20:$AB$20,1)),0) +  IFERROR( Q665*INDEX(F!$P$21:$AB$33, MATCH(O665/$AH665, F!$O$21:$O$33,1), MATCH(E665, F!$P$20:$AB$20,1)), 0) + IFERROR( U665*INDEX(F!$P$21:$AB$33, MATCH(S665/$AH665, F!$O$21:$O$33,1), MATCH(E665, F!$P$20:$AB$20,1)),0)  + IFERROR(Y665*INDEX(F!$P$21:$AB$33, MATCH(W665/$AH665, F!$O$21:$O$33,1), MATCH(E665, F!$P$20:$AB$20,1)),0)  + IFERROR( AC665*INDEX(F!$P$21:$AB$33, MATCH(AA665/$AH665, F!$O$21:$O$33,1), MATCH(E665, F!$P$20:$AB$20,1)),)</f>
        <v>0</v>
      </c>
      <c r="AL665" s="42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ht="15.75" hidden="1" customHeight="1">
      <c r="A666" s="44">
        <f>A610+A562</f>
        <v>43864</v>
      </c>
      <c r="B666" s="135" t="str">
        <f t="shared" ref="B666:F666" si="1322">IF(B610="","",B610)</f>
        <v/>
      </c>
      <c r="C666" s="136" t="str">
        <f t="shared" si="1322"/>
        <v/>
      </c>
      <c r="D666" s="137" t="str">
        <f t="shared" si="1322"/>
        <v/>
      </c>
      <c r="E666" s="48" t="str">
        <f t="shared" si="1322"/>
        <v/>
      </c>
      <c r="F666" s="138" t="str">
        <f t="shared" si="1322"/>
        <v/>
      </c>
      <c r="G666" s="139" t="str">
        <f t="shared" si="1323"/>
        <v/>
      </c>
      <c r="H666" s="140"/>
      <c r="I666" s="140"/>
      <c r="J666" s="141"/>
      <c r="K666" s="139" t="str">
        <f t="shared" si="1324"/>
        <v/>
      </c>
      <c r="L666" s="140"/>
      <c r="M666" s="140"/>
      <c r="N666" s="141"/>
      <c r="O666" s="139" t="str">
        <f t="shared" si="1325"/>
        <v/>
      </c>
      <c r="P666" s="140"/>
      <c r="Q666" s="140"/>
      <c r="R666" s="141"/>
      <c r="S666" s="139" t="str">
        <f t="shared" si="1326"/>
        <v/>
      </c>
      <c r="T666" s="140"/>
      <c r="U666" s="140"/>
      <c r="V666" s="141"/>
      <c r="W666" s="139" t="str">
        <f t="shared" si="1327"/>
        <v/>
      </c>
      <c r="X666" s="140"/>
      <c r="Y666" s="140"/>
      <c r="Z666" s="141"/>
      <c r="AA666" s="139" t="str">
        <f t="shared" si="1328"/>
        <v/>
      </c>
      <c r="AB666" s="140"/>
      <c r="AC666" s="140"/>
      <c r="AD666" s="141"/>
      <c r="AE666" s="142">
        <f t="shared" si="1329"/>
        <v>0</v>
      </c>
      <c r="AF666" s="143">
        <f t="shared" si="1234"/>
        <v>0</v>
      </c>
      <c r="AG666" s="144">
        <f t="shared" si="1330"/>
        <v>0</v>
      </c>
      <c r="AH666" s="76" t="str">
        <f t="shared" si="1331"/>
        <v/>
      </c>
      <c r="AI666" s="143">
        <f> ( IF(ISNUMBER(G666), VLOOKUP(G666/$AH666,F!$A1:$B101,2,1)*G666*$H666*$I666,0)+IF(ISNUMBER(K666), VLOOKUP(K666/$AH666,F!$A1:$B101,2,1)*K666*$L666*$M666,0)+IF(ISNUMBER(O666), VLOOKUP(O666/$AH666,F!$A1:$B101,2,1)*O666*$P666*$Q666,0)+IF(ISNUMBER(S666), VLOOKUP(S666/$AH666,F!$A1:$B101,2,1)*S666*$T666*$U666,0)+IF(ISNUMBER(W666), VLOOKUP(W666/$AH666,F!$A1:$B101,2,1)*W666*$X666*$Y666,0)+IF(ISNUMBER(AA666), VLOOKUP(AA666/$AH666,F!$A1:$B101,2,1)*AA666*$AB666*$AC666,0))*IF(ISNUMBER(F666),F666,1)*IF(ISNUMBER(E666),E666,1)</f>
        <v>0</v>
      </c>
      <c r="AJ666" s="140">
        <f t="shared" si="1332"/>
        <v>0</v>
      </c>
      <c r="AK666" s="145">
        <f t="array" ref="AK666">IFERROR(I666*INDEX(F!$P$21:$AB$33, MATCH(G666/$AH666, F!$O$21:$O$33,1), MATCH(E666, F!$P$20:$AB$20,1)), 0 ) +IFERROR( M666*INDEX(F!$P$21:$AB$33, MATCH(K666/$AH666, F!$O$21:$O$33,1), MATCH(E666, F!$P$20:$AB$20,1)),0) +  IFERROR( Q666*INDEX(F!$P$21:$AB$33, MATCH(O666/$AH666, F!$O$21:$O$33,1), MATCH(E666, F!$P$20:$AB$20,1)), 0) + IFERROR( U666*INDEX(F!$P$21:$AB$33, MATCH(S666/$AH666, F!$O$21:$O$33,1), MATCH(E666, F!$P$20:$AB$20,1)),0)  + IFERROR(Y666*INDEX(F!$P$21:$AB$33, MATCH(W666/$AH666, F!$O$21:$O$33,1), MATCH(E666, F!$P$20:$AB$20,1)),0)  + IFERROR( AC666*INDEX(F!$P$21:$AB$33, MATCH(AA666/$AH666, F!$O$21:$O$33,1), MATCH(E666, F!$P$20:$AB$20,1)),)</f>
        <v>0</v>
      </c>
      <c r="AL666" s="59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ht="15.75" hidden="1" customHeight="1">
      <c r="A667" s="59"/>
      <c r="B667" s="173" t="str">
        <f t="shared" ref="B667:F667" si="1333">IF(B611="","",B611)</f>
        <v/>
      </c>
      <c r="C667" s="174" t="str">
        <f t="shared" si="1333"/>
        <v/>
      </c>
      <c r="D667" s="175" t="str">
        <f t="shared" si="1333"/>
        <v/>
      </c>
      <c r="E667" s="48" t="str">
        <f t="shared" si="1333"/>
        <v/>
      </c>
      <c r="F667" s="176" t="str">
        <f t="shared" si="1333"/>
        <v/>
      </c>
      <c r="G667" s="177" t="str">
        <f t="shared" si="1323"/>
        <v/>
      </c>
      <c r="H667" s="178"/>
      <c r="I667" s="178"/>
      <c r="J667" s="179"/>
      <c r="K667" s="177" t="str">
        <f t="shared" si="1324"/>
        <v/>
      </c>
      <c r="L667" s="178"/>
      <c r="M667" s="178"/>
      <c r="N667" s="179"/>
      <c r="O667" s="177" t="str">
        <f t="shared" si="1325"/>
        <v/>
      </c>
      <c r="P667" s="178"/>
      <c r="Q667" s="178"/>
      <c r="R667" s="179"/>
      <c r="S667" s="177" t="str">
        <f t="shared" si="1326"/>
        <v/>
      </c>
      <c r="T667" s="178"/>
      <c r="U667" s="178"/>
      <c r="V667" s="179"/>
      <c r="W667" s="177" t="str">
        <f t="shared" si="1327"/>
        <v/>
      </c>
      <c r="X667" s="178"/>
      <c r="Y667" s="178"/>
      <c r="Z667" s="179"/>
      <c r="AA667" s="177" t="str">
        <f t="shared" si="1328"/>
        <v/>
      </c>
      <c r="AB667" s="178"/>
      <c r="AC667" s="178"/>
      <c r="AD667" s="179"/>
      <c r="AE667" s="180">
        <f t="shared" si="1329"/>
        <v>0</v>
      </c>
      <c r="AF667" s="181">
        <f t="shared" si="1234"/>
        <v>0</v>
      </c>
      <c r="AG667" s="182">
        <f t="shared" si="1330"/>
        <v>0</v>
      </c>
      <c r="AH667" s="76" t="str">
        <f t="shared" si="1331"/>
        <v/>
      </c>
      <c r="AI667" s="181">
        <f> ( IF(ISNUMBER(G667), VLOOKUP(G667/$AH667,F!$A1:$B101,2,1)*G667*$H667*$I667,0)+IF(ISNUMBER(K667), VLOOKUP(K667/$AH667,F!$A1:$B101,2,1)*K667*$L667*$M667,0)+IF(ISNUMBER(O667), VLOOKUP(O667/$AH667,F!$A1:$B101,2,1)*O667*$P667*$Q667,0)+IF(ISNUMBER(S667), VLOOKUP(S667/$AH667,F!$A1:$B101,2,1)*S667*$T667*$U667,0)+IF(ISNUMBER(W667), VLOOKUP(W667/$AH667,F!$A1:$B101,2,1)*W667*$X667*$Y667,0)+IF(ISNUMBER(AA667), VLOOKUP(AA667/$AH667,F!$A1:$B101,2,1)*AA667*$AB667*$AC667,0))*IF(ISNUMBER(F667),F667,1)*IF(ISNUMBER(E667),E667,1)</f>
        <v>0</v>
      </c>
      <c r="AJ667" s="178">
        <f t="shared" si="1332"/>
        <v>0</v>
      </c>
      <c r="AK667" s="183">
        <f t="array" ref="AK667">IFERROR(I667*INDEX(F!$P$21:$AB$33, MATCH(G667/$AH667, F!$O$21:$O$33,1), MATCH(E667, F!$P$20:$AB$20,1)), 0 ) +IFERROR( M667*INDEX(F!$P$21:$AB$33, MATCH(K667/$AH667, F!$O$21:$O$33,1), MATCH(E667, F!$P$20:$AB$20,1)),0) +  IFERROR( Q667*INDEX(F!$P$21:$AB$33, MATCH(O667/$AH667, F!$O$21:$O$33,1), MATCH(E667, F!$P$20:$AB$20,1)), 0) + IFERROR( U667*INDEX(F!$P$21:$AB$33, MATCH(S667/$AH667, F!$O$21:$O$33,1), MATCH(E667, F!$P$20:$AB$20,1)),0)  + IFERROR(Y667*INDEX(F!$P$21:$AB$33, MATCH(W667/$AH667, F!$O$21:$O$33,1), MATCH(E667, F!$P$20:$AB$20,1)),0)  + IFERROR( AC667*INDEX(F!$P$21:$AB$33, MATCH(AA667/$AH667, F!$O$21:$O$33,1), MATCH(E667, F!$P$20:$AB$20,1)),)</f>
        <v>0</v>
      </c>
      <c r="AL667" s="59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ht="15.75" hidden="1" customHeight="1">
      <c r="A668" s="59"/>
      <c r="B668" s="135" t="str">
        <f t="shared" ref="B668:F668" si="1334">IF(B612="","",B612)</f>
        <v/>
      </c>
      <c r="C668" s="136" t="str">
        <f t="shared" si="1334"/>
        <v/>
      </c>
      <c r="D668" s="137" t="str">
        <f t="shared" si="1334"/>
        <v/>
      </c>
      <c r="E668" s="48" t="str">
        <f t="shared" si="1334"/>
        <v/>
      </c>
      <c r="F668" s="138" t="str">
        <f t="shared" si="1334"/>
        <v/>
      </c>
      <c r="G668" s="139" t="str">
        <f t="shared" si="1323"/>
        <v/>
      </c>
      <c r="H668" s="140"/>
      <c r="I668" s="140"/>
      <c r="J668" s="141"/>
      <c r="K668" s="139" t="str">
        <f t="shared" si="1324"/>
        <v/>
      </c>
      <c r="L668" s="140"/>
      <c r="M668" s="140"/>
      <c r="N668" s="141"/>
      <c r="O668" s="139" t="str">
        <f t="shared" si="1325"/>
        <v/>
      </c>
      <c r="P668" s="140"/>
      <c r="Q668" s="140"/>
      <c r="R668" s="141"/>
      <c r="S668" s="139" t="str">
        <f t="shared" si="1326"/>
        <v/>
      </c>
      <c r="T668" s="140"/>
      <c r="U668" s="140"/>
      <c r="V668" s="141"/>
      <c r="W668" s="139" t="str">
        <f t="shared" si="1327"/>
        <v/>
      </c>
      <c r="X668" s="140"/>
      <c r="Y668" s="140"/>
      <c r="Z668" s="141"/>
      <c r="AA668" s="139" t="str">
        <f t="shared" si="1328"/>
        <v/>
      </c>
      <c r="AB668" s="140"/>
      <c r="AC668" s="140"/>
      <c r="AD668" s="141"/>
      <c r="AE668" s="142">
        <f t="shared" si="1329"/>
        <v>0</v>
      </c>
      <c r="AF668" s="143">
        <f t="shared" si="1234"/>
        <v>0</v>
      </c>
      <c r="AG668" s="144">
        <f t="shared" si="1330"/>
        <v>0</v>
      </c>
      <c r="AH668" s="76" t="str">
        <f t="shared" si="1331"/>
        <v/>
      </c>
      <c r="AI668" s="143">
        <f> ( IF(ISNUMBER(G668), VLOOKUP(G668/$AH668,F!$A1:$B101,2,1)*G668*$H668*$I668,0)+IF(ISNUMBER(K668), VLOOKUP(K668/$AH668,F!$A1:$B101,2,1)*K668*$L668*$M668,0)+IF(ISNUMBER(O668), VLOOKUP(O668/$AH668,F!$A1:$B101,2,1)*O668*$P668*$Q668,0)+IF(ISNUMBER(S668), VLOOKUP(S668/$AH668,F!$A1:$B101,2,1)*S668*$T668*$U668,0)+IF(ISNUMBER(W668), VLOOKUP(W668/$AH668,F!$A1:$B101,2,1)*W668*$X668*$Y668,0)+IF(ISNUMBER(AA668), VLOOKUP(AA668/$AH668,F!$A1:$B101,2,1)*AA668*$AB668*$AC668,0))*IF(ISNUMBER(F668),F668,1)*IF(ISNUMBER(E668),E668,1)</f>
        <v>0</v>
      </c>
      <c r="AJ668" s="140">
        <f t="shared" si="1332"/>
        <v>0</v>
      </c>
      <c r="AK668" s="145">
        <f t="array" ref="AK668">IFERROR(I668*INDEX(F!$P$21:$AB$33, MATCH(G668/$AH668, F!$O$21:$O$33,1), MATCH(E668, F!$P$20:$AB$20,1)), 0 ) +IFERROR( M668*INDEX(F!$P$21:$AB$33, MATCH(K668/$AH668, F!$O$21:$O$33,1), MATCH(E668, F!$P$20:$AB$20,1)),0) +  IFERROR( Q668*INDEX(F!$P$21:$AB$33, MATCH(O668/$AH668, F!$O$21:$O$33,1), MATCH(E668, F!$P$20:$AB$20,1)), 0) + IFERROR( U668*INDEX(F!$P$21:$AB$33, MATCH(S668/$AH668, F!$O$21:$O$33,1), MATCH(E668, F!$P$20:$AB$20,1)),0)  + IFERROR(Y668*INDEX(F!$P$21:$AB$33, MATCH(W668/$AH668, F!$O$21:$O$33,1), MATCH(E668, F!$P$20:$AB$20,1)),0)  + IFERROR( AC668*INDEX(F!$P$21:$AB$33, MATCH(AA668/$AH668, F!$O$21:$O$33,1), MATCH(E668, F!$P$20:$AB$20,1)),)</f>
        <v>0</v>
      </c>
      <c r="AL668" s="59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ht="15.75" hidden="1" customHeight="1">
      <c r="A669" s="59"/>
      <c r="B669" s="173" t="str">
        <f t="shared" ref="B669:F669" si="1335">IF(B613="","",B613)</f>
        <v/>
      </c>
      <c r="C669" s="174" t="str">
        <f t="shared" si="1335"/>
        <v/>
      </c>
      <c r="D669" s="175" t="str">
        <f t="shared" si="1335"/>
        <v/>
      </c>
      <c r="E669" s="48" t="str">
        <f t="shared" si="1335"/>
        <v/>
      </c>
      <c r="F669" s="176" t="str">
        <f t="shared" si="1335"/>
        <v/>
      </c>
      <c r="G669" s="177" t="str">
        <f t="shared" si="1323"/>
        <v/>
      </c>
      <c r="H669" s="178"/>
      <c r="I669" s="178"/>
      <c r="J669" s="179"/>
      <c r="K669" s="177" t="str">
        <f t="shared" si="1324"/>
        <v/>
      </c>
      <c r="L669" s="178"/>
      <c r="M669" s="178"/>
      <c r="N669" s="179"/>
      <c r="O669" s="177" t="str">
        <f t="shared" si="1325"/>
        <v/>
      </c>
      <c r="P669" s="178"/>
      <c r="Q669" s="178"/>
      <c r="R669" s="179"/>
      <c r="S669" s="177" t="str">
        <f t="shared" si="1326"/>
        <v/>
      </c>
      <c r="T669" s="178"/>
      <c r="U669" s="178"/>
      <c r="V669" s="179"/>
      <c r="W669" s="177" t="str">
        <f t="shared" si="1327"/>
        <v/>
      </c>
      <c r="X669" s="178"/>
      <c r="Y669" s="178"/>
      <c r="Z669" s="179"/>
      <c r="AA669" s="177" t="str">
        <f t="shared" si="1328"/>
        <v/>
      </c>
      <c r="AB669" s="178"/>
      <c r="AC669" s="178"/>
      <c r="AD669" s="179"/>
      <c r="AE669" s="180">
        <f t="shared" si="1329"/>
        <v>0</v>
      </c>
      <c r="AF669" s="181">
        <f t="shared" si="1234"/>
        <v>0</v>
      </c>
      <c r="AG669" s="182">
        <f t="shared" si="1330"/>
        <v>0</v>
      </c>
      <c r="AH669" s="76" t="str">
        <f t="shared" si="1331"/>
        <v/>
      </c>
      <c r="AI669" s="181">
        <f> ( IF(ISNUMBER(G669), VLOOKUP(G669/$AH669,F!$A1:$B101,2,1)*G669*$H669*$I669,0)+IF(ISNUMBER(K669), VLOOKUP(K669/$AH669,F!$A1:$B101,2,1)*K669*$L669*$M669,0)+IF(ISNUMBER(O669), VLOOKUP(O669/$AH669,F!$A1:$B101,2,1)*O669*$P669*$Q669,0)+IF(ISNUMBER(S669), VLOOKUP(S669/$AH669,F!$A1:$B101,2,1)*S669*$T669*$U669,0)+IF(ISNUMBER(W669), VLOOKUP(W669/$AH669,F!$A1:$B101,2,1)*W669*$X669*$Y669,0)+IF(ISNUMBER(AA669), VLOOKUP(AA669/$AH669,F!$A1:$B101,2,1)*AA669*$AB669*$AC669,0))*IF(ISNUMBER(F669),F669,1)*IF(ISNUMBER(E669),E669,1)</f>
        <v>0</v>
      </c>
      <c r="AJ669" s="178">
        <f t="shared" si="1332"/>
        <v>0</v>
      </c>
      <c r="AK669" s="183">
        <f t="array" ref="AK669">IFERROR(I669*INDEX(F!$P$21:$AB$33, MATCH(G669/$AH669, F!$O$21:$O$33,1), MATCH(E669, F!$P$20:$AB$20,1)), 0 ) +IFERROR( M669*INDEX(F!$P$21:$AB$33, MATCH(K669/$AH669, F!$O$21:$O$33,1), MATCH(E669, F!$P$20:$AB$20,1)),0) +  IFERROR( Q669*INDEX(F!$P$21:$AB$33, MATCH(O669/$AH669, F!$O$21:$O$33,1), MATCH(E669, F!$P$20:$AB$20,1)), 0) + IFERROR( U669*INDEX(F!$P$21:$AB$33, MATCH(S669/$AH669, F!$O$21:$O$33,1), MATCH(E669, F!$P$20:$AB$20,1)),0)  + IFERROR(Y669*INDEX(F!$P$21:$AB$33, MATCH(W669/$AH669, F!$O$21:$O$33,1), MATCH(E669, F!$P$20:$AB$20,1)),0)  + IFERROR( AC669*INDEX(F!$P$21:$AB$33, MATCH(AA669/$AH669, F!$O$21:$O$33,1), MATCH(E669, F!$P$20:$AB$20,1)),)</f>
        <v>0</v>
      </c>
      <c r="AL669" s="59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ht="15.75" hidden="1" customHeight="1">
      <c r="A670" s="59"/>
      <c r="B670" s="135" t="str">
        <f t="shared" ref="B670:F670" si="1336">IF(B614="","",B614)</f>
        <v/>
      </c>
      <c r="C670" s="136" t="str">
        <f t="shared" si="1336"/>
        <v/>
      </c>
      <c r="D670" s="137" t="str">
        <f t="shared" si="1336"/>
        <v/>
      </c>
      <c r="E670" s="48" t="str">
        <f t="shared" si="1336"/>
        <v/>
      </c>
      <c r="F670" s="138" t="str">
        <f t="shared" si="1336"/>
        <v/>
      </c>
      <c r="G670" s="139" t="str">
        <f t="shared" si="1323"/>
        <v/>
      </c>
      <c r="H670" s="140"/>
      <c r="I670" s="140"/>
      <c r="J670" s="141"/>
      <c r="K670" s="139" t="str">
        <f t="shared" si="1324"/>
        <v/>
      </c>
      <c r="L670" s="140"/>
      <c r="M670" s="140"/>
      <c r="N670" s="141"/>
      <c r="O670" s="139" t="str">
        <f t="shared" si="1325"/>
        <v/>
      </c>
      <c r="P670" s="140"/>
      <c r="Q670" s="140"/>
      <c r="R670" s="141"/>
      <c r="S670" s="139" t="str">
        <f t="shared" si="1326"/>
        <v/>
      </c>
      <c r="T670" s="140"/>
      <c r="U670" s="140"/>
      <c r="V670" s="141"/>
      <c r="W670" s="139" t="str">
        <f t="shared" si="1327"/>
        <v/>
      </c>
      <c r="X670" s="140"/>
      <c r="Y670" s="140"/>
      <c r="Z670" s="141"/>
      <c r="AA670" s="139" t="str">
        <f t="shared" si="1328"/>
        <v/>
      </c>
      <c r="AB670" s="140"/>
      <c r="AC670" s="140"/>
      <c r="AD670" s="141"/>
      <c r="AE670" s="142">
        <f t="shared" si="1329"/>
        <v>0</v>
      </c>
      <c r="AF670" s="143">
        <f t="shared" si="1234"/>
        <v>0</v>
      </c>
      <c r="AG670" s="144">
        <f t="shared" si="1330"/>
        <v>0</v>
      </c>
      <c r="AH670" s="76" t="str">
        <f t="shared" si="1331"/>
        <v/>
      </c>
      <c r="AI670" s="143">
        <f> ( IF(ISNUMBER(G670), VLOOKUP(G670/$AH670,F!$A1:$B101,2,1)*G670*$H670*$I670,0)+IF(ISNUMBER(K670), VLOOKUP(K670/$AH670,F!$A1:$B101,2,1)*K670*$L670*$M670,0)+IF(ISNUMBER(O670), VLOOKUP(O670/$AH670,F!$A1:$B101,2,1)*O670*$P670*$Q670,0)+IF(ISNUMBER(S670), VLOOKUP(S670/$AH670,F!$A1:$B101,2,1)*S670*$T670*$U670,0)+IF(ISNUMBER(W670), VLOOKUP(W670/$AH670,F!$A1:$B101,2,1)*W670*$X670*$Y670,0)+IF(ISNUMBER(AA670), VLOOKUP(AA670/$AH670,F!$A1:$B101,2,1)*AA670*$AB670*$AC670,0))*IF(ISNUMBER(F670),F670,1)*IF(ISNUMBER(E670),E670,1)</f>
        <v>0</v>
      </c>
      <c r="AJ670" s="140">
        <f t="shared" si="1332"/>
        <v>0</v>
      </c>
      <c r="AK670" s="145">
        <f t="array" ref="AK670">IFERROR(I670*INDEX(F!$P$21:$AB$33, MATCH(G670/$AH670, F!$O$21:$O$33,1), MATCH(E670, F!$P$20:$AB$20,1)), 0 ) +IFERROR( M670*INDEX(F!$P$21:$AB$33, MATCH(K670/$AH670, F!$O$21:$O$33,1), MATCH(E670, F!$P$20:$AB$20,1)),0) +  IFERROR( Q670*INDEX(F!$P$21:$AB$33, MATCH(O670/$AH670, F!$O$21:$O$33,1), MATCH(E670, F!$P$20:$AB$20,1)), 0) + IFERROR( U670*INDEX(F!$P$21:$AB$33, MATCH(S670/$AH670, F!$O$21:$O$33,1), MATCH(E670, F!$P$20:$AB$20,1)),0)  + IFERROR(Y670*INDEX(F!$P$21:$AB$33, MATCH(W670/$AH670, F!$O$21:$O$33,1), MATCH(E670, F!$P$20:$AB$20,1)),0)  + IFERROR( AC670*INDEX(F!$P$21:$AB$33, MATCH(AA670/$AH670, F!$O$21:$O$33,1), MATCH(E670, F!$P$20:$AB$20,1)),)</f>
        <v>0</v>
      </c>
      <c r="AL670" s="59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ht="15.75" hidden="1" customHeight="1">
      <c r="A671" s="59"/>
      <c r="B671" s="173" t="str">
        <f t="shared" ref="B671:F671" si="1337">IF(B615="","",B615)</f>
        <v/>
      </c>
      <c r="C671" s="174" t="str">
        <f t="shared" si="1337"/>
        <v/>
      </c>
      <c r="D671" s="175" t="str">
        <f t="shared" si="1337"/>
        <v/>
      </c>
      <c r="E671" s="48" t="str">
        <f t="shared" si="1337"/>
        <v/>
      </c>
      <c r="F671" s="176" t="str">
        <f t="shared" si="1337"/>
        <v/>
      </c>
      <c r="G671" s="177" t="str">
        <f t="shared" si="1323"/>
        <v/>
      </c>
      <c r="H671" s="178"/>
      <c r="I671" s="178"/>
      <c r="J671" s="179"/>
      <c r="K671" s="177" t="str">
        <f t="shared" si="1324"/>
        <v/>
      </c>
      <c r="L671" s="178"/>
      <c r="M671" s="178"/>
      <c r="N671" s="179"/>
      <c r="O671" s="177" t="str">
        <f t="shared" si="1325"/>
        <v/>
      </c>
      <c r="P671" s="178"/>
      <c r="Q671" s="178"/>
      <c r="R671" s="179"/>
      <c r="S671" s="177" t="str">
        <f t="shared" si="1326"/>
        <v/>
      </c>
      <c r="T671" s="178"/>
      <c r="U671" s="178"/>
      <c r="V671" s="179"/>
      <c r="W671" s="177" t="str">
        <f t="shared" si="1327"/>
        <v/>
      </c>
      <c r="X671" s="178"/>
      <c r="Y671" s="178"/>
      <c r="Z671" s="179"/>
      <c r="AA671" s="177" t="str">
        <f t="shared" si="1328"/>
        <v/>
      </c>
      <c r="AB671" s="178"/>
      <c r="AC671" s="178"/>
      <c r="AD671" s="179"/>
      <c r="AE671" s="180">
        <f t="shared" si="1329"/>
        <v>0</v>
      </c>
      <c r="AF671" s="181">
        <f t="shared" si="1234"/>
        <v>0</v>
      </c>
      <c r="AG671" s="182">
        <f t="shared" si="1330"/>
        <v>0</v>
      </c>
      <c r="AH671" s="76" t="str">
        <f t="shared" si="1331"/>
        <v/>
      </c>
      <c r="AI671" s="181">
        <f> ( IF(ISNUMBER(G671), VLOOKUP(G671/$AH671,F!$A1:$B101,2,1)*G671*$H671*$I671,0)+IF(ISNUMBER(K671), VLOOKUP(K671/$AH671,F!$A1:$B101,2,1)*K671*$L671*$M671,0)+IF(ISNUMBER(O671), VLOOKUP(O671/$AH671,F!$A1:$B101,2,1)*O671*$P671*$Q671,0)+IF(ISNUMBER(S671), VLOOKUP(S671/$AH671,F!$A1:$B101,2,1)*S671*$T671*$U671,0)+IF(ISNUMBER(W671), VLOOKUP(W671/$AH671,F!$A1:$B101,2,1)*W671*$X671*$Y671,0)+IF(ISNUMBER(AA671), VLOOKUP(AA671/$AH671,F!$A1:$B101,2,1)*AA671*$AB671*$AC671,0))*IF(ISNUMBER(F671),F671,1)*IF(ISNUMBER(E671),E671,1)</f>
        <v>0</v>
      </c>
      <c r="AJ671" s="178">
        <f t="shared" si="1332"/>
        <v>0</v>
      </c>
      <c r="AK671" s="183">
        <f t="array" ref="AK671">IFERROR(I671*INDEX(F!$P$21:$AB$33, MATCH(G671/$AH671, F!$O$21:$O$33,1), MATCH(E671, F!$P$20:$AB$20,1)), 0 ) +IFERROR( M671*INDEX(F!$P$21:$AB$33, MATCH(K671/$AH671, F!$O$21:$O$33,1), MATCH(E671, F!$P$20:$AB$20,1)),0) +  IFERROR( Q671*INDEX(F!$P$21:$AB$33, MATCH(O671/$AH671, F!$O$21:$O$33,1), MATCH(E671, F!$P$20:$AB$20,1)), 0) + IFERROR( U671*INDEX(F!$P$21:$AB$33, MATCH(S671/$AH671, F!$O$21:$O$33,1), MATCH(E671, F!$P$20:$AB$20,1)),0)  + IFERROR(Y671*INDEX(F!$P$21:$AB$33, MATCH(W671/$AH671, F!$O$21:$O$33,1), MATCH(E671, F!$P$20:$AB$20,1)),0)  + IFERROR( AC671*INDEX(F!$P$21:$AB$33, MATCH(AA671/$AH671, F!$O$21:$O$33,1), MATCH(E671, F!$P$20:$AB$20,1)),)</f>
        <v>0</v>
      </c>
      <c r="AL671" s="59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ht="15.75" hidden="1" customHeight="1">
      <c r="A672" s="59"/>
      <c r="B672" s="135" t="str">
        <f t="shared" ref="B672:F672" si="1338">IF(B616="","",B616)</f>
        <v/>
      </c>
      <c r="C672" s="136" t="str">
        <f t="shared" si="1338"/>
        <v/>
      </c>
      <c r="D672" s="137" t="str">
        <f t="shared" si="1338"/>
        <v/>
      </c>
      <c r="E672" s="48" t="str">
        <f t="shared" si="1338"/>
        <v/>
      </c>
      <c r="F672" s="138" t="str">
        <f t="shared" si="1338"/>
        <v/>
      </c>
      <c r="G672" s="139" t="str">
        <f t="shared" si="1323"/>
        <v/>
      </c>
      <c r="H672" s="140"/>
      <c r="I672" s="140"/>
      <c r="J672" s="141"/>
      <c r="K672" s="139" t="str">
        <f t="shared" si="1324"/>
        <v/>
      </c>
      <c r="L672" s="140"/>
      <c r="M672" s="140"/>
      <c r="N672" s="141"/>
      <c r="O672" s="139" t="str">
        <f t="shared" si="1325"/>
        <v/>
      </c>
      <c r="P672" s="140"/>
      <c r="Q672" s="140"/>
      <c r="R672" s="141"/>
      <c r="S672" s="139" t="str">
        <f t="shared" si="1326"/>
        <v/>
      </c>
      <c r="T672" s="140"/>
      <c r="U672" s="140"/>
      <c r="V672" s="141"/>
      <c r="W672" s="139" t="str">
        <f t="shared" si="1327"/>
        <v/>
      </c>
      <c r="X672" s="140"/>
      <c r="Y672" s="140"/>
      <c r="Z672" s="141"/>
      <c r="AA672" s="139" t="str">
        <f t="shared" si="1328"/>
        <v/>
      </c>
      <c r="AB672" s="140"/>
      <c r="AC672" s="140"/>
      <c r="AD672" s="141"/>
      <c r="AE672" s="142">
        <f t="shared" si="1329"/>
        <v>0</v>
      </c>
      <c r="AF672" s="143">
        <f t="shared" si="1234"/>
        <v>0</v>
      </c>
      <c r="AG672" s="144">
        <f t="shared" si="1330"/>
        <v>0</v>
      </c>
      <c r="AH672" s="76" t="str">
        <f t="shared" si="1331"/>
        <v/>
      </c>
      <c r="AI672" s="143">
        <f> ( IF(ISNUMBER(G672), VLOOKUP(G672/$AH672,F!$A1:$B101,2,1)*G672*$H672*$I672,0)+IF(ISNUMBER(K672), VLOOKUP(K672/$AH672,F!$A1:$B101,2,1)*K672*$L672*$M672,0)+IF(ISNUMBER(O672), VLOOKUP(O672/$AH672,F!$A1:$B101,2,1)*O672*$P672*$Q672,0)+IF(ISNUMBER(S672), VLOOKUP(S672/$AH672,F!$A1:$B101,2,1)*S672*$T672*$U672,0)+IF(ISNUMBER(W672), VLOOKUP(W672/$AH672,F!$A1:$B101,2,1)*W672*$X672*$Y672,0)+IF(ISNUMBER(AA672), VLOOKUP(AA672/$AH672,F!$A1:$B101,2,1)*AA672*$AB672*$AC672,0))*IF(ISNUMBER(F672),F672,1)*IF(ISNUMBER(E672),E672,1)</f>
        <v>0</v>
      </c>
      <c r="AJ672" s="140">
        <f t="shared" si="1332"/>
        <v>0</v>
      </c>
      <c r="AK672" s="145">
        <f t="array" ref="AK672">IFERROR(I672*INDEX(F!$P$21:$AB$33, MATCH(G672/$AH672, F!$O$21:$O$33,1), MATCH(E672, F!$P$20:$AB$20,1)), 0 ) +IFERROR( M672*INDEX(F!$P$21:$AB$33, MATCH(K672/$AH672, F!$O$21:$O$33,1), MATCH(E672, F!$P$20:$AB$20,1)),0) +  IFERROR( Q672*INDEX(F!$P$21:$AB$33, MATCH(O672/$AH672, F!$O$21:$O$33,1), MATCH(E672, F!$P$20:$AB$20,1)), 0) + IFERROR( U672*INDEX(F!$P$21:$AB$33, MATCH(S672/$AH672, F!$O$21:$O$33,1), MATCH(E672, F!$P$20:$AB$20,1)),0)  + IFERROR(Y672*INDEX(F!$P$21:$AB$33, MATCH(W672/$AH672, F!$O$21:$O$33,1), MATCH(E672, F!$P$20:$AB$20,1)),0)  + IFERROR( AC672*INDEX(F!$P$21:$AB$33, MATCH(AA672/$AH672, F!$O$21:$O$33,1), MATCH(E672, F!$P$20:$AB$20,1)),)</f>
        <v>0</v>
      </c>
      <c r="AL672" s="59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ht="15.75" hidden="1" customHeight="1">
      <c r="A673" s="98"/>
      <c r="B673" s="188"/>
      <c r="C673" s="189"/>
      <c r="D673" s="190"/>
      <c r="E673" s="102">
        <f>ROUND(IFERROR(SUMPRODUCT(AJ665:AJ672,E665:E672)/AJ673,0),3)</f>
        <v>0</v>
      </c>
      <c r="F673" s="191"/>
      <c r="G673" s="201"/>
      <c r="H673" s="193"/>
      <c r="I673" s="193"/>
      <c r="J673" s="194"/>
      <c r="K673" s="201"/>
      <c r="L673" s="193"/>
      <c r="M673" s="193"/>
      <c r="N673" s="194"/>
      <c r="O673" s="201"/>
      <c r="P673" s="193"/>
      <c r="Q673" s="193"/>
      <c r="R673" s="194"/>
      <c r="S673" s="201"/>
      <c r="T673" s="193"/>
      <c r="U673" s="193"/>
      <c r="V673" s="194"/>
      <c r="W673" s="201"/>
      <c r="X673" s="193"/>
      <c r="Y673" s="193"/>
      <c r="Z673" s="194"/>
      <c r="AA673" s="201"/>
      <c r="AB673" s="193"/>
      <c r="AC673" s="193"/>
      <c r="AD673" s="194"/>
      <c r="AE673" s="107">
        <f>SUM(AE665:AE672)</f>
        <v>0</v>
      </c>
      <c r="AF673" s="108">
        <f t="shared" si="1234"/>
        <v>0</v>
      </c>
      <c r="AG673" s="109">
        <f>IFERROR(  SUMPRODUCT(AG665:AG672,AJ665:AJ672)/AJ673,0)</f>
        <v>0</v>
      </c>
      <c r="AH673" s="157"/>
      <c r="AI673" s="111">
        <f t="shared" ref="AI673:AJ673" si="1339">SUM(AI665:AI672)</f>
        <v>0</v>
      </c>
      <c r="AJ673" s="111">
        <f t="shared" si="1339"/>
        <v>0</v>
      </c>
      <c r="AK673" s="112">
        <f>IF(SUM(AK665:AK672)=0,TIME(,0,),TIME(,SUM(AK665:AK672)+F!$V$37,))</f>
        <v>0</v>
      </c>
      <c r="AL673" s="98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ht="15.75" hidden="1" customHeight="1">
      <c r="A674" s="5">
        <f>A618</f>
        <v>7</v>
      </c>
      <c r="B674" s="6"/>
      <c r="C674" s="6"/>
      <c r="D674" s="6"/>
      <c r="E674" s="7">
        <f>IF(AJ674=0,0,(E684*AJ684 + E693*AJ693 + E702*AJ702 + E711*AJ711 + E720*AJ720 + E729*AJ729   ) /AJ674 )</f>
        <v>0</v>
      </c>
      <c r="F674" s="8" t="s">
        <v>0</v>
      </c>
      <c r="G674" s="9"/>
      <c r="H674" s="9"/>
      <c r="I674" s="9"/>
      <c r="J674" s="9"/>
      <c r="K674" s="9"/>
      <c r="L674" s="9"/>
      <c r="M674" s="10"/>
      <c r="N674" s="228">
        <f>N618+1</f>
        <v>13</v>
      </c>
      <c r="O674" s="222"/>
      <c r="P674" s="222"/>
      <c r="Q674" s="222"/>
      <c r="R674" s="222"/>
      <c r="S674" s="222"/>
      <c r="T674" s="222"/>
      <c r="U674" s="222"/>
      <c r="V674" s="222"/>
      <c r="W674" s="222"/>
      <c r="X674" s="222"/>
      <c r="Y674" s="222"/>
      <c r="Z674" s="222"/>
      <c r="AA674" s="222"/>
      <c r="AB674" s="222"/>
      <c r="AC674" s="222"/>
      <c r="AD674" s="223"/>
      <c r="AE674" s="5">
        <f>AE684+AE693+AE702+AE711+AE720+AE729</f>
        <v>0</v>
      </c>
      <c r="AF674" s="229">
        <f t="shared" si="1234"/>
        <v>0</v>
      </c>
      <c r="AG674" s="230">
        <f>IF(AJ674=0,0,(AG684*AJ684 + AG693*AJ693 + AG702*AJ702 + AG711*AJ711 + AG720*AJ720 + AG729*AJ729   ) /AJ674 )</f>
        <v>0</v>
      </c>
      <c r="AH674" s="210">
        <f>AH618</f>
        <v>0.02</v>
      </c>
      <c r="AI674" s="5">
        <f t="shared" ref="AI674:AK674" si="1340">AI684+AI693+AI702+AI711+AI720+AI729</f>
        <v>0</v>
      </c>
      <c r="AJ674" s="5">
        <f t="shared" si="1340"/>
        <v>0</v>
      </c>
      <c r="AK674" s="231">
        <f t="shared" si="1340"/>
        <v>0</v>
      </c>
      <c r="AL674" s="218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ht="15.75" hidden="1" customHeight="1">
      <c r="A675" s="19" t="s">
        <v>1</v>
      </c>
      <c r="B675" s="20" t="s">
        <v>2</v>
      </c>
      <c r="C675" s="20" t="s">
        <v>3</v>
      </c>
      <c r="D675" s="20" t="s">
        <v>4</v>
      </c>
      <c r="E675" s="20" t="s">
        <v>5</v>
      </c>
      <c r="F675" s="20" t="s">
        <v>6</v>
      </c>
      <c r="G675" s="20" t="s">
        <v>7</v>
      </c>
      <c r="H675" s="20" t="s">
        <v>8</v>
      </c>
      <c r="I675" s="20" t="s">
        <v>9</v>
      </c>
      <c r="J675" s="20" t="s">
        <v>10</v>
      </c>
      <c r="K675" s="20" t="s">
        <v>7</v>
      </c>
      <c r="L675" s="20" t="s">
        <v>8</v>
      </c>
      <c r="M675" s="20" t="s">
        <v>9</v>
      </c>
      <c r="N675" s="20" t="s">
        <v>10</v>
      </c>
      <c r="O675" s="20" t="s">
        <v>7</v>
      </c>
      <c r="P675" s="20" t="s">
        <v>8</v>
      </c>
      <c r="Q675" s="20" t="s">
        <v>9</v>
      </c>
      <c r="R675" s="20" t="s">
        <v>10</v>
      </c>
      <c r="S675" s="20" t="s">
        <v>7</v>
      </c>
      <c r="T675" s="20" t="s">
        <v>8</v>
      </c>
      <c r="U675" s="20" t="s">
        <v>9</v>
      </c>
      <c r="V675" s="20" t="s">
        <v>10</v>
      </c>
      <c r="W675" s="20" t="s">
        <v>7</v>
      </c>
      <c r="X675" s="20" t="s">
        <v>8</v>
      </c>
      <c r="Y675" s="20" t="s">
        <v>9</v>
      </c>
      <c r="Z675" s="20" t="s">
        <v>10</v>
      </c>
      <c r="AA675" s="20" t="s">
        <v>7</v>
      </c>
      <c r="AB675" s="20" t="s">
        <v>8</v>
      </c>
      <c r="AC675" s="20" t="s">
        <v>9</v>
      </c>
      <c r="AD675" s="21" t="s">
        <v>10</v>
      </c>
      <c r="AE675" s="20" t="s">
        <v>11</v>
      </c>
      <c r="AF675" s="20" t="s">
        <v>12</v>
      </c>
      <c r="AG675" s="20" t="s">
        <v>13</v>
      </c>
      <c r="AH675" s="213" t="s">
        <v>14</v>
      </c>
      <c r="AI675" s="23" t="s">
        <v>15</v>
      </c>
      <c r="AJ675" s="20" t="s">
        <v>16</v>
      </c>
      <c r="AK675" s="21" t="s">
        <v>17</v>
      </c>
      <c r="AL675" s="214" t="s">
        <v>18</v>
      </c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ht="15.75" hidden="1" customHeight="1">
      <c r="A676" s="25">
        <f>A677</f>
        <v>43864</v>
      </c>
      <c r="B676" s="26" t="str">
        <f t="shared" ref="B676:F676" si="1341">IF(B620="","",B620)</f>
        <v>Средняя</v>
      </c>
      <c r="C676" s="27" t="str">
        <f t="shared" si="1341"/>
        <v>ПР</v>
      </c>
      <c r="D676" s="28" t="str">
        <f t="shared" si="1341"/>
        <v>Присед</v>
      </c>
      <c r="E676" s="29">
        <f t="shared" si="1341"/>
        <v>1.2</v>
      </c>
      <c r="F676" s="30" t="str">
        <f t="shared" si="1341"/>
        <v/>
      </c>
      <c r="G676" s="31" t="str">
        <f t="shared" ref="G676:G683" si="1343">IF(J676&lt;&gt;0, IFERROR(IF( $F676=2,  MROUND($AH676*J676,1),    IF( OR($F676="",$F676=1),   MROUND($AH676*J676,2.5),  MROUND($AH676*J676, 0.1))), "" ), "")</f>
        <v/>
      </c>
      <c r="H676" s="32"/>
      <c r="I676" s="32"/>
      <c r="J676" s="33"/>
      <c r="K676" s="31" t="str">
        <f t="shared" ref="K676:K683" si="1344">IF(N676&lt;&gt;0, IFERROR(IF( $F676=2,  MROUND($AH676*N676,1),    IF( OR($F676="",$F676=1),   MROUND($AH676*N676,2.5),  MROUND($AH676*N676, 0.1))), "" ), "")</f>
        <v/>
      </c>
      <c r="L676" s="32"/>
      <c r="M676" s="32"/>
      <c r="N676" s="33"/>
      <c r="O676" s="31" t="str">
        <f t="shared" ref="O676:O683" si="1345">IF(R676&lt;&gt;0, IFERROR(IF( $F676=2,  MROUND($AH676*R676,1),    IF( OR($F676="",$F676=1),   MROUND($AH676*R676,2.5),  MROUND($AH676*R676, 0.1))), "" ), "")</f>
        <v/>
      </c>
      <c r="P676" s="32"/>
      <c r="Q676" s="32"/>
      <c r="R676" s="33"/>
      <c r="S676" s="31" t="str">
        <f t="shared" ref="S676:S683" si="1346">IF(V676&lt;&gt;0, IFERROR(IF( $F676=2,  MROUND($AH676*V676,1),    IF( OR($F676="",$F676=1),   MROUND($AH676*V676,2.5),  MROUND($AH676*V676, 0.1))), "" ), "")</f>
        <v/>
      </c>
      <c r="T676" s="32"/>
      <c r="U676" s="32"/>
      <c r="V676" s="33"/>
      <c r="W676" s="31" t="str">
        <f t="shared" ref="W676:W683" si="1347">IF(Z676&lt;&gt;0, IFERROR(IF( $F676=2,  MROUND($AH676*Z676,1),    IF( OR($F676="",$F676=1),   MROUND($AH676*Z676,2.5),  MROUND($AH676*Z676, 0.1))), "" ), "")</f>
        <v/>
      </c>
      <c r="X676" s="32"/>
      <c r="Y676" s="32"/>
      <c r="Z676" s="33"/>
      <c r="AA676" s="31" t="str">
        <f t="shared" ref="AA676:AA683" si="1348">IF(AD676&lt;&gt;0, IFERROR(IF( $F676=2,  MROUND($AH676*AD676,1),    IF( OR($F676="",$F676=1),   MROUND($AH676*AD676,2.5),  MROUND($AH676*AD676, 0.1))), "" ), "")</f>
        <v/>
      </c>
      <c r="AB676" s="32"/>
      <c r="AC676" s="32"/>
      <c r="AD676" s="33"/>
      <c r="AE676" s="35">
        <f t="shared" ref="AE676:AE683" si="1349">(IF(ISNUMBER(G676),G676,0)*H676*I676+IF(ISNUMBER(K676),K676,1)*L676*M676+IF(ISNUMBER(O676),O676,1)*P676*Q676+IF(ISNUMBER(S676),S676,1)*T676*U676+IF(ISNUMBER(W676),W676,1)*X676*Y676+IF(ISNUMBER(AA676),AA676,1)*AB676*AC676)*IF(ISNUMBER(F676),F676,1)</f>
        <v>0</v>
      </c>
      <c r="AF676" s="36">
        <f t="shared" ref="AF676:AF730" si="1350">IFERROR(AE676/AJ676,0)</f>
        <v>0</v>
      </c>
      <c r="AG676" s="195">
        <f t="shared" ref="AG676:AG683" si="1351">IFERROR((AF676/(AH676*IF(ISNUMBER(F676),F676,1))),0)</f>
        <v>0</v>
      </c>
      <c r="AH676" s="169">
        <f t="shared" ref="AH676:AH683" si="1352">IF(ISNUMBER(AH620), AH620+(AH620*$AH$674),"")</f>
        <v>171.2126423</v>
      </c>
      <c r="AI676" s="70">
        <f> ( IF(ISNUMBER(G676), VLOOKUP(G676/$AH676,F!$A1:$B101,2,1)*G676*$H676*$I676,0)+IF(ISNUMBER(K676), VLOOKUP(K676/$AH676,F!$A1:$B101,2,1)*K676*$L676*$M676,0)+IF(ISNUMBER(O676), VLOOKUP(O676/$AH676,F!$A1:$B101,2,1)*O676*$P676*$Q676,0)+IF(ISNUMBER(S676), VLOOKUP(S676/$AH676,F!$A1:$B101,2,1)*S676*$T676*$U676,0)+IF(ISNUMBER(W676), VLOOKUP(W676/$AH676,F!$A1:$B101,2,1)*W676*$X676*$Y676,0)+IF(ISNUMBER(AA676), VLOOKUP(AA676/$AH676,F!$A1:$B101,2,1)*AA676*$AB676*$AC676,0))*IF(ISNUMBER(F676),F676,1)*IF(ISNUMBER(E676),E676,1)</f>
        <v>0</v>
      </c>
      <c r="AJ676" s="40">
        <f t="shared" ref="AJ676:AJ683" si="1353">H676*I676+L676*M676+P676*Q676+T676*U676+X676*Y676+AB676*AC676</f>
        <v>0</v>
      </c>
      <c r="AK676" s="41">
        <f t="array" ref="AK676">IFERROR(I676*INDEX(F!$P$21:$AB$33, MATCH(G676/$AH676, F!$O$21:$O$33,1), MATCH(E676, F!$P$20:$AB$20,1)), 0 ) +IFERROR( M676*INDEX(F!$P$21:$AB$33, MATCH(K676/$AH676, F!$O$21:$O$33,1), MATCH(E676, F!$P$20:$AB$20,1)),0) +  IFERROR( Q676*INDEX(F!$P$21:$AB$33, MATCH(O676/$AH676, F!$O$21:$O$33,1), MATCH(E676, F!$P$20:$AB$20,1)), 0) + IFERROR( U676*INDEX(F!$P$21:$AB$33, MATCH(S676/$AH676, F!$O$21:$O$33,1), MATCH(E676, F!$P$20:$AB$20,1)),0)  + IFERROR(Y676*INDEX(F!$P$21:$AB$33, MATCH(W676/$AH676, F!$O$21:$O$33,1), MATCH(E676, F!$P$20:$AB$20,1)),0)  + IFERROR( AC676*INDEX(F!$P$21:$AB$33, MATCH(AA676/$AH676, F!$O$21:$O$33,1), MATCH(E676, F!$P$20:$AB$20,1)),)</f>
        <v>0</v>
      </c>
      <c r="AL676" s="42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ht="15.75" hidden="1" customHeight="1">
      <c r="A677" s="44">
        <f>A621+A618</f>
        <v>43864</v>
      </c>
      <c r="B677" s="45" t="str">
        <f t="shared" ref="B677:F677" si="1342">IF(B621="","",B621)</f>
        <v>Средняя</v>
      </c>
      <c r="C677" s="46" t="str">
        <f t="shared" si="1342"/>
        <v>ЖМ</v>
      </c>
      <c r="D677" s="47" t="str">
        <f t="shared" si="1342"/>
        <v>Жим лежа</v>
      </c>
      <c r="E677" s="48">
        <f t="shared" si="1342"/>
        <v>1</v>
      </c>
      <c r="F677" s="49" t="str">
        <f t="shared" si="1342"/>
        <v/>
      </c>
      <c r="G677" s="50" t="str">
        <f t="shared" si="1343"/>
        <v/>
      </c>
      <c r="H677" s="51"/>
      <c r="I677" s="51"/>
      <c r="J677" s="52"/>
      <c r="K677" s="50" t="str">
        <f t="shared" si="1344"/>
        <v/>
      </c>
      <c r="L677" s="51"/>
      <c r="M677" s="51"/>
      <c r="N677" s="52"/>
      <c r="O677" s="50" t="str">
        <f t="shared" si="1345"/>
        <v/>
      </c>
      <c r="P677" s="51"/>
      <c r="Q677" s="51"/>
      <c r="R677" s="52"/>
      <c r="S677" s="50" t="str">
        <f t="shared" si="1346"/>
        <v/>
      </c>
      <c r="T677" s="51"/>
      <c r="U677" s="51"/>
      <c r="V677" s="52"/>
      <c r="W677" s="50" t="str">
        <f t="shared" si="1347"/>
        <v/>
      </c>
      <c r="X677" s="51"/>
      <c r="Y677" s="51"/>
      <c r="Z677" s="52"/>
      <c r="AA677" s="50" t="str">
        <f t="shared" si="1348"/>
        <v/>
      </c>
      <c r="AB677" s="51"/>
      <c r="AC677" s="51"/>
      <c r="AD677" s="52"/>
      <c r="AE677" s="53">
        <f t="shared" si="1349"/>
        <v>0</v>
      </c>
      <c r="AF677" s="54">
        <f t="shared" si="1350"/>
        <v>0</v>
      </c>
      <c r="AG677" s="75">
        <f t="shared" si="1351"/>
        <v>0</v>
      </c>
      <c r="AH677" s="76">
        <f t="shared" si="1352"/>
        <v>120.4829705</v>
      </c>
      <c r="AI677" s="77">
        <f> ( IF(ISNUMBER(G677), VLOOKUP(G677/$AH677,F!$A1:$B101,2,1)*G677*$H677*$I677,0)+IF(ISNUMBER(K677), VLOOKUP(K677/$AH677,F!$A1:$B101,2,1)*K677*$L677*$M677,0)+IF(ISNUMBER(O677), VLOOKUP(O677/$AH677,F!$A1:$B101,2,1)*O677*$P677*$Q677,0)+IF(ISNUMBER(S677), VLOOKUP(S677/$AH677,F!$A1:$B101,2,1)*S677*$T677*$U677,0)+IF(ISNUMBER(W677), VLOOKUP(W677/$AH677,F!$A1:$B101,2,1)*W677*$X677*$Y677,0)+IF(ISNUMBER(AA677), VLOOKUP(AA677/$AH677,F!$A1:$B101,2,1)*AA677*$AB677*$AC677,0))*IF(ISNUMBER(F677),F677,1)*IF(ISNUMBER(E677),E677,1)</f>
        <v>0</v>
      </c>
      <c r="AJ677" s="57">
        <f t="shared" si="1353"/>
        <v>0</v>
      </c>
      <c r="AK677" s="58">
        <f t="array" ref="AK677">IFERROR(I677*INDEX(F!$P$21:$AB$33, MATCH(G677/$AH677, F!$O$21:$O$33,1), MATCH(E677, F!$P$20:$AB$20,1)), 0 ) +IFERROR( M677*INDEX(F!$P$21:$AB$33, MATCH(K677/$AH677, F!$O$21:$O$33,1), MATCH(E677, F!$P$20:$AB$20,1)),0) +  IFERROR( Q677*INDEX(F!$P$21:$AB$33, MATCH(O677/$AH677, F!$O$21:$O$33,1), MATCH(E677, F!$P$20:$AB$20,1)), 0) + IFERROR( U677*INDEX(F!$P$21:$AB$33, MATCH(S677/$AH677, F!$O$21:$O$33,1), MATCH(E677, F!$P$20:$AB$20,1)),0)  + IFERROR(Y677*INDEX(F!$P$21:$AB$33, MATCH(W677/$AH677, F!$O$21:$O$33,1), MATCH(E677, F!$P$20:$AB$20,1)),0)  + IFERROR( AC677*INDEX(F!$P$21:$AB$33, MATCH(AA677/$AH677, F!$O$21:$O$33,1), MATCH(E677, F!$P$20:$AB$20,1)),)</f>
        <v>0</v>
      </c>
      <c r="AL677" s="59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ht="15.75" hidden="1" customHeight="1">
      <c r="A678" s="59"/>
      <c r="B678" s="60" t="str">
        <f t="shared" ref="B678:F678" si="1354">IF(B622="","",B622)</f>
        <v>Тяжелая</v>
      </c>
      <c r="C678" s="61" t="str">
        <f t="shared" si="1354"/>
        <v>ПР</v>
      </c>
      <c r="D678" s="62" t="str">
        <f t="shared" si="1354"/>
        <v>Присед</v>
      </c>
      <c r="E678" s="48">
        <f t="shared" si="1354"/>
        <v>1.2</v>
      </c>
      <c r="F678" s="63" t="str">
        <f t="shared" si="1354"/>
        <v/>
      </c>
      <c r="G678" s="64" t="str">
        <f t="shared" si="1343"/>
        <v/>
      </c>
      <c r="H678" s="34"/>
      <c r="I678" s="34"/>
      <c r="J678" s="65"/>
      <c r="K678" s="64" t="str">
        <f t="shared" si="1344"/>
        <v/>
      </c>
      <c r="L678" s="34"/>
      <c r="M678" s="34"/>
      <c r="N678" s="65"/>
      <c r="O678" s="64" t="str">
        <f t="shared" si="1345"/>
        <v/>
      </c>
      <c r="P678" s="34"/>
      <c r="Q678" s="34"/>
      <c r="R678" s="65"/>
      <c r="S678" s="64" t="str">
        <f t="shared" si="1346"/>
        <v/>
      </c>
      <c r="T678" s="34"/>
      <c r="U678" s="34"/>
      <c r="V678" s="65"/>
      <c r="W678" s="64" t="str">
        <f t="shared" si="1347"/>
        <v/>
      </c>
      <c r="X678" s="34"/>
      <c r="Y678" s="34"/>
      <c r="Z678" s="65"/>
      <c r="AA678" s="64" t="str">
        <f t="shared" si="1348"/>
        <v/>
      </c>
      <c r="AB678" s="34"/>
      <c r="AC678" s="34"/>
      <c r="AD678" s="65"/>
      <c r="AE678" s="66">
        <f t="shared" si="1349"/>
        <v>0</v>
      </c>
      <c r="AF678" s="67">
        <f t="shared" si="1350"/>
        <v>0</v>
      </c>
      <c r="AG678" s="68">
        <f t="shared" si="1351"/>
        <v>0</v>
      </c>
      <c r="AH678" s="76">
        <f t="shared" si="1352"/>
        <v>171.2126423</v>
      </c>
      <c r="AI678" s="70">
        <f> ( IF(ISNUMBER(G678), VLOOKUP(G678/$AH678,F!$A1:$B101,2,1)*G678*$H678*$I678,0)+IF(ISNUMBER(K678), VLOOKUP(K678/$AH678,F!$A1:$B101,2,1)*K678*$L678*$M678,0)+IF(ISNUMBER(O678), VLOOKUP(O678/$AH678,F!$A1:$B101,2,1)*O678*$P678*$Q678,0)+IF(ISNUMBER(S678), VLOOKUP(S678/$AH678,F!$A1:$B101,2,1)*S678*$T678*$U678,0)+IF(ISNUMBER(W678), VLOOKUP(W678/$AH678,F!$A1:$B101,2,1)*W678*$X678*$Y678,0)+IF(ISNUMBER(AA678), VLOOKUP(AA678/$AH678,F!$A1:$B101,2,1)*AA678*$AB678*$AC678,0))*IF(ISNUMBER(F678),F678,1)*IF(ISNUMBER(E678),E678,1)</f>
        <v>0</v>
      </c>
      <c r="AJ678" s="71">
        <f t="shared" si="1353"/>
        <v>0</v>
      </c>
      <c r="AK678" s="72">
        <f t="array" ref="AK678">IFERROR(I678*INDEX(F!$P$21:$AB$33, MATCH(G678/$AH678, F!$O$21:$O$33,1), MATCH(E678, F!$P$20:$AB$20,1)), 0 ) +IFERROR( M678*INDEX(F!$P$21:$AB$33, MATCH(K678/$AH678, F!$O$21:$O$33,1), MATCH(E678, F!$P$20:$AB$20,1)),0) +  IFERROR( Q678*INDEX(F!$P$21:$AB$33, MATCH(O678/$AH678, F!$O$21:$O$33,1), MATCH(E678, F!$P$20:$AB$20,1)), 0) + IFERROR( U678*INDEX(F!$P$21:$AB$33, MATCH(S678/$AH678, F!$O$21:$O$33,1), MATCH(E678, F!$P$20:$AB$20,1)),0)  + IFERROR(Y678*INDEX(F!$P$21:$AB$33, MATCH(W678/$AH678, F!$O$21:$O$33,1), MATCH(E678, F!$P$20:$AB$20,1)),0)  + IFERROR( AC678*INDEX(F!$P$21:$AB$33, MATCH(AA678/$AH678, F!$O$21:$O$33,1), MATCH(E678, F!$P$20:$AB$20,1)),)</f>
        <v>0</v>
      </c>
      <c r="AL678" s="59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ht="15.75" hidden="1" customHeight="1">
      <c r="A679" s="59"/>
      <c r="B679" s="215" t="str">
        <f t="shared" ref="B679:F679" si="1355">IF(B623="","",B623)</f>
        <v>Средняя</v>
      </c>
      <c r="C679" s="73" t="str">
        <f t="shared" si="1355"/>
        <v>ЖМ</v>
      </c>
      <c r="D679" s="47" t="str">
        <f t="shared" si="1355"/>
        <v>Жим гантелей</v>
      </c>
      <c r="E679" s="48">
        <f t="shared" si="1355"/>
        <v>1</v>
      </c>
      <c r="F679" s="74">
        <f t="shared" si="1355"/>
        <v>2</v>
      </c>
      <c r="G679" s="50" t="str">
        <f t="shared" si="1343"/>
        <v/>
      </c>
      <c r="H679" s="51"/>
      <c r="I679" s="51"/>
      <c r="J679" s="52"/>
      <c r="K679" s="50" t="str">
        <f t="shared" si="1344"/>
        <v/>
      </c>
      <c r="L679" s="51"/>
      <c r="M679" s="51"/>
      <c r="N679" s="52"/>
      <c r="O679" s="50" t="str">
        <f t="shared" si="1345"/>
        <v/>
      </c>
      <c r="P679" s="51"/>
      <c r="Q679" s="51"/>
      <c r="R679" s="52"/>
      <c r="S679" s="50" t="str">
        <f t="shared" si="1346"/>
        <v/>
      </c>
      <c r="T679" s="51"/>
      <c r="U679" s="51"/>
      <c r="V679" s="52"/>
      <c r="W679" s="50" t="str">
        <f t="shared" si="1347"/>
        <v/>
      </c>
      <c r="X679" s="51"/>
      <c r="Y679" s="51"/>
      <c r="Z679" s="52"/>
      <c r="AA679" s="50" t="str">
        <f t="shared" si="1348"/>
        <v/>
      </c>
      <c r="AB679" s="51"/>
      <c r="AC679" s="51"/>
      <c r="AD679" s="52"/>
      <c r="AE679" s="53">
        <f t="shared" si="1349"/>
        <v>0</v>
      </c>
      <c r="AF679" s="54">
        <f t="shared" si="1350"/>
        <v>0</v>
      </c>
      <c r="AG679" s="75">
        <f t="shared" si="1351"/>
        <v>0</v>
      </c>
      <c r="AH679" s="76">
        <f t="shared" si="1352"/>
        <v>38.55455055</v>
      </c>
      <c r="AI679" s="77">
        <f> ( IF(ISNUMBER(G679), VLOOKUP(G679/$AH679,F!$A1:$B101,2,1)*G679*$H679*$I679,0)+IF(ISNUMBER(K679), VLOOKUP(K679/$AH679,F!$A1:$B101,2,1)*K679*$L679*$M679,0)+IF(ISNUMBER(O679), VLOOKUP(O679/$AH679,F!$A1:$B101,2,1)*O679*$P679*$Q679,0)+IF(ISNUMBER(S679), VLOOKUP(S679/$AH679,F!$A1:$B101,2,1)*S679*$T679*$U679,0)+IF(ISNUMBER(W679), VLOOKUP(W679/$AH679,F!$A1:$B101,2,1)*W679*$X679*$Y679,0)+IF(ISNUMBER(AA679), VLOOKUP(AA679/$AH679,F!$A1:$B101,2,1)*AA679*$AB679*$AC679,0))*IF(ISNUMBER(F679),F679,1)*IF(ISNUMBER(E679),E679,1)</f>
        <v>0</v>
      </c>
      <c r="AJ679" s="57">
        <f t="shared" si="1353"/>
        <v>0</v>
      </c>
      <c r="AK679" s="58">
        <f t="array" ref="AK679">IFERROR(I679*INDEX(F!$P$21:$AB$33, MATCH(G679/$AH679, F!$O$21:$O$33,1), MATCH(E679, F!$P$20:$AB$20,1)), 0 ) +IFERROR( M679*INDEX(F!$P$21:$AB$33, MATCH(K679/$AH679, F!$O$21:$O$33,1), MATCH(E679, F!$P$20:$AB$20,1)),0) +  IFERROR( Q679*INDEX(F!$P$21:$AB$33, MATCH(O679/$AH679, F!$O$21:$O$33,1), MATCH(E679, F!$P$20:$AB$20,1)), 0) + IFERROR( U679*INDEX(F!$P$21:$AB$33, MATCH(S679/$AH679, F!$O$21:$O$33,1), MATCH(E679, F!$P$20:$AB$20,1)),0)  + IFERROR(Y679*INDEX(F!$P$21:$AB$33, MATCH(W679/$AH679, F!$O$21:$O$33,1), MATCH(E679, F!$P$20:$AB$20,1)),0)  + IFERROR( AC679*INDEX(F!$P$21:$AB$33, MATCH(AA679/$AH679, F!$O$21:$O$33,1), MATCH(E679, F!$P$20:$AB$20,1)),)</f>
        <v>0</v>
      </c>
      <c r="AL679" s="59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ht="15.75" hidden="1" customHeight="1">
      <c r="A680" s="59"/>
      <c r="B680" s="216" t="str">
        <f t="shared" ref="B680:F680" si="1356">IF(B624="","",B624)</f>
        <v>Средняя</v>
      </c>
      <c r="C680" s="78" t="str">
        <f t="shared" si="1356"/>
        <v>ОФП</v>
      </c>
      <c r="D680" s="62" t="str">
        <f t="shared" si="1356"/>
        <v>Французский жим</v>
      </c>
      <c r="E680" s="48">
        <f t="shared" si="1356"/>
        <v>0.4</v>
      </c>
      <c r="F680" s="79" t="str">
        <f t="shared" si="1356"/>
        <v/>
      </c>
      <c r="G680" s="64" t="str">
        <f t="shared" si="1343"/>
        <v/>
      </c>
      <c r="H680" s="34"/>
      <c r="I680" s="34"/>
      <c r="J680" s="65"/>
      <c r="K680" s="64" t="str">
        <f t="shared" si="1344"/>
        <v/>
      </c>
      <c r="L680" s="34"/>
      <c r="M680" s="34"/>
      <c r="N680" s="65"/>
      <c r="O680" s="64" t="str">
        <f t="shared" si="1345"/>
        <v/>
      </c>
      <c r="P680" s="34"/>
      <c r="Q680" s="34"/>
      <c r="R680" s="65"/>
      <c r="S680" s="64" t="str">
        <f t="shared" si="1346"/>
        <v/>
      </c>
      <c r="T680" s="34"/>
      <c r="U680" s="34"/>
      <c r="V680" s="65"/>
      <c r="W680" s="64" t="str">
        <f t="shared" si="1347"/>
        <v/>
      </c>
      <c r="X680" s="34"/>
      <c r="Y680" s="34"/>
      <c r="Z680" s="65"/>
      <c r="AA680" s="64" t="str">
        <f t="shared" si="1348"/>
        <v/>
      </c>
      <c r="AB680" s="34"/>
      <c r="AC680" s="34"/>
      <c r="AD680" s="65"/>
      <c r="AE680" s="66">
        <f t="shared" si="1349"/>
        <v>0</v>
      </c>
      <c r="AF680" s="67">
        <f t="shared" si="1350"/>
        <v>0</v>
      </c>
      <c r="AG680" s="68">
        <f t="shared" si="1351"/>
        <v>0</v>
      </c>
      <c r="AH680" s="76">
        <f t="shared" si="1352"/>
        <v>55.42216642</v>
      </c>
      <c r="AI680" s="70">
        <f> ( IF(ISNUMBER(G680), VLOOKUP(G680/$AH680,F!$A1:$B101,2,1)*G680*$H680*$I680,0)+IF(ISNUMBER(K680), VLOOKUP(K680/$AH680,F!$A1:$B101,2,1)*K680*$L680*$M680,0)+IF(ISNUMBER(O680), VLOOKUP(O680/$AH680,F!$A1:$B101,2,1)*O680*$P680*$Q680,0)+IF(ISNUMBER(S680), VLOOKUP(S680/$AH680,F!$A1:$B101,2,1)*S680*$T680*$U680,0)+IF(ISNUMBER(W680), VLOOKUP(W680/$AH680,F!$A1:$B101,2,1)*W680*$X680*$Y680,0)+IF(ISNUMBER(AA680), VLOOKUP(AA680/$AH680,F!$A1:$B101,2,1)*AA680*$AB680*$AC680,0))*IF(ISNUMBER(F680),F680,1)*IF(ISNUMBER(E680),E680,1)</f>
        <v>0</v>
      </c>
      <c r="AJ680" s="71">
        <f t="shared" si="1353"/>
        <v>0</v>
      </c>
      <c r="AK680" s="72">
        <f t="array" ref="AK680">IFERROR(I680*INDEX(F!$P$21:$AB$33, MATCH(G680/$AH680, F!$O$21:$O$33,1), MATCH(E680, F!$P$20:$AB$20,1)), 0 ) +IFERROR( M680*INDEX(F!$P$21:$AB$33, MATCH(K680/$AH680, F!$O$21:$O$33,1), MATCH(E680, F!$P$20:$AB$20,1)),0) +  IFERROR( Q680*INDEX(F!$P$21:$AB$33, MATCH(O680/$AH680, F!$O$21:$O$33,1), MATCH(E680, F!$P$20:$AB$20,1)), 0) + IFERROR( U680*INDEX(F!$P$21:$AB$33, MATCH(S680/$AH680, F!$O$21:$O$33,1), MATCH(E680, F!$P$20:$AB$20,1)),0)  + IFERROR(Y680*INDEX(F!$P$21:$AB$33, MATCH(W680/$AH680, F!$O$21:$O$33,1), MATCH(E680, F!$P$20:$AB$20,1)),0)  + IFERROR( AC680*INDEX(F!$P$21:$AB$33, MATCH(AA680/$AH680, F!$O$21:$O$33,1), MATCH(E680, F!$P$20:$AB$20,1)),)</f>
        <v>0</v>
      </c>
      <c r="AL680" s="59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ht="15.75" hidden="1" customHeight="1">
      <c r="A681" s="59"/>
      <c r="B681" s="45" t="str">
        <f t="shared" ref="B681:F681" si="1357">IF(B625="","",B625)</f>
        <v/>
      </c>
      <c r="C681" s="46" t="str">
        <f t="shared" si="1357"/>
        <v/>
      </c>
      <c r="D681" s="197" t="str">
        <f t="shared" si="1357"/>
        <v/>
      </c>
      <c r="E681" s="48" t="str">
        <f t="shared" si="1357"/>
        <v/>
      </c>
      <c r="F681" s="83" t="str">
        <f t="shared" si="1357"/>
        <v/>
      </c>
      <c r="G681" s="50" t="str">
        <f t="shared" si="1343"/>
        <v/>
      </c>
      <c r="H681" s="51"/>
      <c r="I681" s="51"/>
      <c r="J681" s="52"/>
      <c r="K681" s="50" t="str">
        <f t="shared" si="1344"/>
        <v/>
      </c>
      <c r="L681" s="51"/>
      <c r="M681" s="51"/>
      <c r="N681" s="52"/>
      <c r="O681" s="50" t="str">
        <f t="shared" si="1345"/>
        <v/>
      </c>
      <c r="P681" s="51"/>
      <c r="Q681" s="51"/>
      <c r="R681" s="52"/>
      <c r="S681" s="50" t="str">
        <f t="shared" si="1346"/>
        <v/>
      </c>
      <c r="T681" s="51"/>
      <c r="U681" s="51"/>
      <c r="V681" s="52"/>
      <c r="W681" s="50" t="str">
        <f t="shared" si="1347"/>
        <v/>
      </c>
      <c r="X681" s="51"/>
      <c r="Y681" s="51"/>
      <c r="Z681" s="52"/>
      <c r="AA681" s="50" t="str">
        <f t="shared" si="1348"/>
        <v/>
      </c>
      <c r="AB681" s="51"/>
      <c r="AC681" s="51"/>
      <c r="AD681" s="52"/>
      <c r="AE681" s="53">
        <f t="shared" si="1349"/>
        <v>0</v>
      </c>
      <c r="AF681" s="54">
        <f t="shared" si="1350"/>
        <v>0</v>
      </c>
      <c r="AG681" s="75">
        <f t="shared" si="1351"/>
        <v>0</v>
      </c>
      <c r="AH681" s="76" t="str">
        <f t="shared" si="1352"/>
        <v/>
      </c>
      <c r="AI681" s="77">
        <f> ( IF(ISNUMBER(G681), VLOOKUP(G681/$AH681,F!$A1:$B101,2,1)*G681*$H681*$I681,0)+IF(ISNUMBER(K681), VLOOKUP(K681/$AH681,F!$A1:$B101,2,1)*K681*$L681*$M681,0)+IF(ISNUMBER(O681), VLOOKUP(O681/$AH681,F!$A1:$B101,2,1)*O681*$P681*$Q681,0)+IF(ISNUMBER(S681), VLOOKUP(S681/$AH681,F!$A1:$B101,2,1)*S681*$T681*$U681,0)+IF(ISNUMBER(W681), VLOOKUP(W681/$AH681,F!$A1:$B101,2,1)*W681*$X681*$Y681,0)+IF(ISNUMBER(AA681), VLOOKUP(AA681/$AH681,F!$A1:$B101,2,1)*AA681*$AB681*$AC681,0))*IF(ISNUMBER(F681),F681,1)*IF(ISNUMBER(E681),E681,1)</f>
        <v>0</v>
      </c>
      <c r="AJ681" s="86">
        <f t="shared" si="1353"/>
        <v>0</v>
      </c>
      <c r="AK681" s="58">
        <f t="array" ref="AK681">IFERROR(I681*INDEX(F!$P$21:$AB$33, MATCH(G681/$AH681, F!$O$21:$O$33,1), MATCH(E681, F!$P$20:$AB$20,1)), 0 ) +IFERROR( M681*INDEX(F!$P$21:$AB$33, MATCH(K681/$AH681, F!$O$21:$O$33,1), MATCH(E681, F!$P$20:$AB$20,1)),0) +  IFERROR( Q681*INDEX(F!$P$21:$AB$33, MATCH(O681/$AH681, F!$O$21:$O$33,1), MATCH(E681, F!$P$20:$AB$20,1)), 0) + IFERROR( U681*INDEX(F!$P$21:$AB$33, MATCH(S681/$AH681, F!$O$21:$O$33,1), MATCH(E681, F!$P$20:$AB$20,1)),0)  + IFERROR(Y681*INDEX(F!$P$21:$AB$33, MATCH(W681/$AH681, F!$O$21:$O$33,1), MATCH(E681, F!$P$20:$AB$20,1)),0)  + IFERROR( AC681*INDEX(F!$P$21:$AB$33, MATCH(AA681/$AH681, F!$O$21:$O$33,1), MATCH(E681, F!$P$20:$AB$20,1)),)</f>
        <v>0</v>
      </c>
      <c r="AL681" s="59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ht="15.0" hidden="1" customHeight="1">
      <c r="A682" s="59"/>
      <c r="B682" s="60" t="str">
        <f t="shared" ref="B682:F682" si="1358">IF(B626="","",B626)</f>
        <v/>
      </c>
      <c r="C682" s="61" t="str">
        <f t="shared" si="1358"/>
        <v/>
      </c>
      <c r="D682" s="198" t="str">
        <f t="shared" si="1358"/>
        <v/>
      </c>
      <c r="E682" s="48" t="str">
        <f t="shared" si="1358"/>
        <v/>
      </c>
      <c r="F682" s="79" t="str">
        <f t="shared" si="1358"/>
        <v/>
      </c>
      <c r="G682" s="64" t="str">
        <f t="shared" si="1343"/>
        <v/>
      </c>
      <c r="H682" s="34"/>
      <c r="I682" s="34"/>
      <c r="J682" s="65"/>
      <c r="K682" s="64" t="str">
        <f t="shared" si="1344"/>
        <v/>
      </c>
      <c r="L682" s="34"/>
      <c r="M682" s="34"/>
      <c r="N682" s="65"/>
      <c r="O682" s="64" t="str">
        <f t="shared" si="1345"/>
        <v/>
      </c>
      <c r="P682" s="34"/>
      <c r="Q682" s="34"/>
      <c r="R682" s="65"/>
      <c r="S682" s="64" t="str">
        <f t="shared" si="1346"/>
        <v/>
      </c>
      <c r="T682" s="34"/>
      <c r="U682" s="34"/>
      <c r="V682" s="65"/>
      <c r="W682" s="64" t="str">
        <f t="shared" si="1347"/>
        <v/>
      </c>
      <c r="X682" s="34"/>
      <c r="Y682" s="34"/>
      <c r="Z682" s="65"/>
      <c r="AA682" s="64" t="str">
        <f t="shared" si="1348"/>
        <v/>
      </c>
      <c r="AB682" s="34"/>
      <c r="AC682" s="34"/>
      <c r="AD682" s="65"/>
      <c r="AE682" s="66">
        <f t="shared" si="1349"/>
        <v>0</v>
      </c>
      <c r="AF682" s="67">
        <f t="shared" si="1350"/>
        <v>0</v>
      </c>
      <c r="AG682" s="68">
        <f t="shared" si="1351"/>
        <v>0</v>
      </c>
      <c r="AH682" s="76" t="str">
        <f t="shared" si="1352"/>
        <v/>
      </c>
      <c r="AI682" s="90">
        <f> ( IF(ISNUMBER(G682), VLOOKUP(G682/$AH682,F!$A1:$B101,2,1)*G682*$H682*$I682,0)+IF(ISNUMBER(K682), VLOOKUP(K682/$AH682,F!$A1:$B101,2,1)*K682*$L682*$M682,0)+IF(ISNUMBER(O682), VLOOKUP(O682/$AH682,F!$A1:$B101,2,1)*O682*$P682*$Q682,0)+IF(ISNUMBER(S682), VLOOKUP(S682/$AH682,F!$A1:$B101,2,1)*S682*$T682*$U682,0)+IF(ISNUMBER(W682), VLOOKUP(W682/$AH682,F!$A1:$B101,2,1)*W682*$X682*$Y682,0)+IF(ISNUMBER(AA682), VLOOKUP(AA682/$AH682,F!$A1:$B101,2,1)*AA682*$AB682*$AC682,0))*IF(ISNUMBER(F682),F682,1)*IF(ISNUMBER(E682),E682,1)</f>
        <v>0</v>
      </c>
      <c r="AJ682" s="34">
        <f t="shared" si="1353"/>
        <v>0</v>
      </c>
      <c r="AK682" s="91">
        <f t="array" ref="AK682">IFERROR(I682*INDEX(F!$P$21:$AB$33, MATCH(G682/$AH682, F!$O$21:$O$33,1), MATCH(E682, F!$P$20:$AB$20,1)), 0 ) +IFERROR( M682*INDEX(F!$P$21:$AB$33, MATCH(K682/$AH682, F!$O$21:$O$33,1), MATCH(E682, F!$P$20:$AB$20,1)),0) +  IFERROR( Q682*INDEX(F!$P$21:$AB$33, MATCH(O682/$AH682, F!$O$21:$O$33,1), MATCH(E682, F!$P$20:$AB$20,1)), 0) + IFERROR( U682*INDEX(F!$P$21:$AB$33, MATCH(S682/$AH682, F!$O$21:$O$33,1), MATCH(E682, F!$P$20:$AB$20,1)),0)  + IFERROR(Y682*INDEX(F!$P$21:$AB$33, MATCH(W682/$AH682, F!$O$21:$O$33,1), MATCH(E682, F!$P$20:$AB$20,1)),0)  + IFERROR( AC682*INDEX(F!$P$21:$AB$33, MATCH(AA682/$AH682, F!$O$21:$O$33,1), MATCH(E682, F!$P$20:$AB$20,1)),)</f>
        <v>0</v>
      </c>
      <c r="AL682" s="59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ht="15.0" hidden="1" customHeight="1">
      <c r="A683" s="59"/>
      <c r="B683" s="45" t="str">
        <f t="shared" ref="B683:F683" si="1359">IF(B627="","",B627)</f>
        <v/>
      </c>
      <c r="C683" s="46" t="str">
        <f t="shared" si="1359"/>
        <v/>
      </c>
      <c r="D683" s="92" t="str">
        <f t="shared" si="1359"/>
        <v/>
      </c>
      <c r="E683" s="48" t="str">
        <f t="shared" si="1359"/>
        <v/>
      </c>
      <c r="F683" s="74" t="str">
        <f t="shared" si="1359"/>
        <v/>
      </c>
      <c r="G683" s="50" t="str">
        <f t="shared" si="1343"/>
        <v/>
      </c>
      <c r="H683" s="51"/>
      <c r="I683" s="51"/>
      <c r="J683" s="52"/>
      <c r="K683" s="50" t="str">
        <f t="shared" si="1344"/>
        <v/>
      </c>
      <c r="L683" s="51"/>
      <c r="M683" s="51"/>
      <c r="N683" s="52"/>
      <c r="O683" s="50" t="str">
        <f t="shared" si="1345"/>
        <v/>
      </c>
      <c r="P683" s="51"/>
      <c r="Q683" s="51"/>
      <c r="R683" s="52"/>
      <c r="S683" s="50" t="str">
        <f t="shared" si="1346"/>
        <v/>
      </c>
      <c r="T683" s="51"/>
      <c r="U683" s="51"/>
      <c r="V683" s="52"/>
      <c r="W683" s="50" t="str">
        <f t="shared" si="1347"/>
        <v/>
      </c>
      <c r="X683" s="51"/>
      <c r="Y683" s="51"/>
      <c r="Z683" s="52"/>
      <c r="AA683" s="50" t="str">
        <f t="shared" si="1348"/>
        <v/>
      </c>
      <c r="AB683" s="51"/>
      <c r="AC683" s="51"/>
      <c r="AD683" s="52"/>
      <c r="AE683" s="53">
        <f t="shared" si="1349"/>
        <v>0</v>
      </c>
      <c r="AF683" s="93">
        <f t="shared" si="1350"/>
        <v>0</v>
      </c>
      <c r="AG683" s="94">
        <f t="shared" si="1351"/>
        <v>0</v>
      </c>
      <c r="AH683" s="76" t="str">
        <f t="shared" si="1352"/>
        <v/>
      </c>
      <c r="AI683" s="95">
        <f> ( IF(ISNUMBER(G683), VLOOKUP(G683/$AH683,F!$A1:$B101,2,1)*G683*$H683*$I683,0)+IF(ISNUMBER(K683), VLOOKUP(K683/$AH683,F!$A1:$B101,2,1)*K683*$L683*$M683,0)+IF(ISNUMBER(O683), VLOOKUP(O683/$AH683,F!$A1:$B101,2,1)*O683*$P683*$Q683,0)+IF(ISNUMBER(S683), VLOOKUP(S683/$AH683,F!$A1:$B101,2,1)*S683*$T683*$U683,0)+IF(ISNUMBER(W683), VLOOKUP(W683/$AH683,F!$A1:$B101,2,1)*W683*$X683*$Y683,0)+IF(ISNUMBER(AA683), VLOOKUP(AA683/$AH683,F!$A1:$B101,2,1)*AA683*$AB683*$AC683,0))*IF(ISNUMBER(F683),F683,1)*IF(ISNUMBER(E683),E683,1)</f>
        <v>0</v>
      </c>
      <c r="AJ683" s="96">
        <f t="shared" si="1353"/>
        <v>0</v>
      </c>
      <c r="AK683" s="97">
        <f t="array" ref="AK683">IFERROR(I683*INDEX(F!$P$21:$AB$33, MATCH(G683/$AH683, F!$O$21:$O$33,1), MATCH(E683, F!$P$20:$AB$20,1)), 0 ) +IFERROR( M683*INDEX(F!$P$21:$AB$33, MATCH(K683/$AH683, F!$O$21:$O$33,1), MATCH(E683, F!$P$20:$AB$20,1)),0) +  IFERROR( Q683*INDEX(F!$P$21:$AB$33, MATCH(O683/$AH683, F!$O$21:$O$33,1), MATCH(E683, F!$P$20:$AB$20,1)), 0) + IFERROR( U683*INDEX(F!$P$21:$AB$33, MATCH(S683/$AH683, F!$O$21:$O$33,1), MATCH(E683, F!$P$20:$AB$20,1)),0)  + IFERROR(Y683*INDEX(F!$P$21:$AB$33, MATCH(W683/$AH683, F!$O$21:$O$33,1), MATCH(E683, F!$P$20:$AB$20,1)),0)  + IFERROR( AC683*INDEX(F!$P$21:$AB$33, MATCH(AA683/$AH683, F!$O$21:$O$33,1), MATCH(E683, F!$P$20:$AB$20,1)),)</f>
        <v>0</v>
      </c>
      <c r="AL683" s="59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ht="15.75" hidden="1" customHeight="1">
      <c r="A684" s="98"/>
      <c r="B684" s="99"/>
      <c r="C684" s="100"/>
      <c r="D684" s="101"/>
      <c r="E684" s="102">
        <f>ROUND(IFERROR(SUMPRODUCT(AJ676:AJ683,E676:E683)/AJ684,0),3)</f>
        <v>0</v>
      </c>
      <c r="F684" s="199"/>
      <c r="G684" s="104"/>
      <c r="H684" s="105"/>
      <c r="I684" s="105"/>
      <c r="J684" s="106"/>
      <c r="K684" s="104"/>
      <c r="L684" s="105"/>
      <c r="M684" s="105"/>
      <c r="N684" s="106"/>
      <c r="O684" s="104"/>
      <c r="P684" s="105"/>
      <c r="Q684" s="105"/>
      <c r="R684" s="106"/>
      <c r="S684" s="104"/>
      <c r="T684" s="105"/>
      <c r="U684" s="105"/>
      <c r="V684" s="106"/>
      <c r="W684" s="104"/>
      <c r="X684" s="105"/>
      <c r="Y684" s="105"/>
      <c r="Z684" s="106"/>
      <c r="AA684" s="104"/>
      <c r="AB684" s="105"/>
      <c r="AC684" s="105"/>
      <c r="AD684" s="106"/>
      <c r="AE684" s="107">
        <f>SUM(AE676:AE683)</f>
        <v>0</v>
      </c>
      <c r="AF684" s="108">
        <f t="shared" si="1350"/>
        <v>0</v>
      </c>
      <c r="AG684" s="109">
        <f>IFERROR(  SUMPRODUCT(AG676:AG683,AJ676:AJ683)/AJ684,0)</f>
        <v>0</v>
      </c>
      <c r="AH684" s="157"/>
      <c r="AI684" s="111">
        <f t="shared" ref="AI684:AJ684" si="1360">SUM(AI676:AI683)</f>
        <v>0</v>
      </c>
      <c r="AJ684" s="111">
        <f t="shared" si="1360"/>
        <v>0</v>
      </c>
      <c r="AK684" s="112">
        <f>IF(SUM(AK676:AK683)=0,TIME(,0,),TIME(,SUM(AK676:AK683)+F!$V$37,))</f>
        <v>0</v>
      </c>
      <c r="AL684" s="98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ht="15.75" hidden="1" customHeight="1">
      <c r="A685" s="113">
        <f>A686</f>
        <v>43866</v>
      </c>
      <c r="B685" s="114" t="str">
        <f t="shared" ref="B685:F685" si="1361">IF(B629="","",B629)</f>
        <v>Тяжелая</v>
      </c>
      <c r="C685" s="115" t="str">
        <f t="shared" si="1361"/>
        <v>ТГ</v>
      </c>
      <c r="D685" s="116" t="str">
        <f t="shared" si="1361"/>
        <v>Становая тяга</v>
      </c>
      <c r="E685" s="29">
        <f t="shared" si="1361"/>
        <v>1.4</v>
      </c>
      <c r="F685" s="117" t="str">
        <f t="shared" si="1361"/>
        <v/>
      </c>
      <c r="G685" s="118" t="str">
        <f t="shared" ref="G685:G692" si="1363">IF(J685&lt;&gt;0, IFERROR(IF( $F685=2,  MROUND($AH685*J685,1),    IF( OR($F685="",$F685=1),   MROUND($AH685*J685,2.5),  MROUND($AH685*J685, 0.1))), "" ), "")</f>
        <v/>
      </c>
      <c r="H685" s="119"/>
      <c r="I685" s="119"/>
      <c r="J685" s="120"/>
      <c r="K685" s="118" t="str">
        <f t="shared" ref="K685:K692" si="1364">IF(N685&lt;&gt;0, IFERROR(IF( $F685=2,  MROUND($AH685*N685,1),    IF( OR($F685="",$F685=1),   MROUND($AH685*N685,2.5),  MROUND($AH685*N685, 0.1))), "" ), "")</f>
        <v/>
      </c>
      <c r="L685" s="119"/>
      <c r="M685" s="119"/>
      <c r="N685" s="120"/>
      <c r="O685" s="118" t="str">
        <f t="shared" ref="O685:O692" si="1365">IF(R685&lt;&gt;0, IFERROR(IF( $F685=2,  MROUND($AH685*R685,1),    IF( OR($F685="",$F685=1),   MROUND($AH685*R685,2.5),  MROUND($AH685*R685, 0.1))), "" ), "")</f>
        <v/>
      </c>
      <c r="P685" s="119"/>
      <c r="Q685" s="119"/>
      <c r="R685" s="120"/>
      <c r="S685" s="118" t="str">
        <f t="shared" ref="S685:S692" si="1366">IF(V685&lt;&gt;0, IFERROR(IF( $F685=2,  MROUND($AH685*V685,1),    IF( OR($F685="",$F685=1),   MROUND($AH685*V685,2.5),  MROUND($AH685*V685, 0.1))), "" ), "")</f>
        <v/>
      </c>
      <c r="T685" s="119"/>
      <c r="U685" s="119"/>
      <c r="V685" s="120"/>
      <c r="W685" s="118" t="str">
        <f t="shared" ref="W685:W692" si="1367">IF(Z685&lt;&gt;0, IFERROR(IF( $F685=2,  MROUND($AH685*Z685,1),    IF( OR($F685="",$F685=1),   MROUND($AH685*Z685,2.5),  MROUND($AH685*Z685, 0.1))), "" ), "")</f>
        <v/>
      </c>
      <c r="X685" s="119"/>
      <c r="Y685" s="119"/>
      <c r="Z685" s="120"/>
      <c r="AA685" s="118" t="str">
        <f t="shared" ref="AA685:AA692" si="1368">IF(AD685&lt;&gt;0, IFERROR(IF( $F685=2,  MROUND($AH685*AD685,1),    IF( OR($F685="",$F685=1),   MROUND($AH685*AD685,2.5),  MROUND($AH685*AD685, 0.1))), "" ), "")</f>
        <v/>
      </c>
      <c r="AB685" s="119"/>
      <c r="AC685" s="119"/>
      <c r="AD685" s="120"/>
      <c r="AE685" s="121">
        <f t="shared" ref="AE685:AE692" si="1369">(IF(ISNUMBER(G685),G685,0)*H685*I685+IF(ISNUMBER(K685),K685,1)*L685*M685+IF(ISNUMBER(O685),O685,1)*P685*Q685+IF(ISNUMBER(S685),S685,1)*T685*U685+IF(ISNUMBER(W685),W685,1)*X685*Y685+IF(ISNUMBER(AA685),AA685,1)*AB685*AC685)*IF(ISNUMBER(F685),F685,1)</f>
        <v>0</v>
      </c>
      <c r="AF685" s="122">
        <f t="shared" si="1350"/>
        <v>0</v>
      </c>
      <c r="AG685" s="200">
        <f t="shared" ref="AG685:AG692" si="1370">IFERROR((AF685/(AH685*IF(ISNUMBER(F685),F685,1))),0)</f>
        <v>0</v>
      </c>
      <c r="AH685" s="169">
        <f t="shared" ref="AH685:AH692" si="1371">IF(ISNUMBER(AH629), AH629+(AH629*$AH$674),"")</f>
        <v>234.624732</v>
      </c>
      <c r="AI685" s="122">
        <f> ( IF(ISNUMBER(G685), VLOOKUP(G685/$AH685,F!$A1:$B101,2,1)*G685*$H685*$I685,0)+IF(ISNUMBER(K685), VLOOKUP(K685/$AH685,F!$A1:$B101,2,1)*K685*$L685*$M685,0)+IF(ISNUMBER(O685), VLOOKUP(O685/$AH685,F!$A1:$B101,2,1)*O685*$P685*$Q685,0)+IF(ISNUMBER(S685), VLOOKUP(S685/$AH685,F!$A1:$B101,2,1)*S685*$T685*$U685,0)+IF(ISNUMBER(W685), VLOOKUP(W685/$AH685,F!$A1:$B101,2,1)*W685*$X685*$Y685,0)+IF(ISNUMBER(AA685), VLOOKUP(AA685/$AH685,F!$A1:$B101,2,1)*AA685*$AB685*$AC685,0))*IF(ISNUMBER(F685),F685,1)*IF(ISNUMBER(E685),E685,1)</f>
        <v>0</v>
      </c>
      <c r="AJ685" s="119">
        <f t="shared" ref="AJ685:AJ692" si="1372">H685*I685+L685*M685+P685*Q685+T685*U685+X685*Y685+AB685*AC685</f>
        <v>0</v>
      </c>
      <c r="AK685" s="125">
        <f t="array" ref="AK685">IFERROR(I685*INDEX(F!$P$21:$AB$33, MATCH(G685/$AH685, F!$O$21:$O$33,1), MATCH(E685, F!$P$20:$AB$20,1)), 0 ) +IFERROR( M685*INDEX(F!$P$21:$AB$33, MATCH(K685/$AH685, F!$O$21:$O$33,1), MATCH(E685, F!$P$20:$AB$20,1)),0) +  IFERROR( Q685*INDEX(F!$P$21:$AB$33, MATCH(O685/$AH685, F!$O$21:$O$33,1), MATCH(E685, F!$P$20:$AB$20,1)), 0) + IFERROR( U685*INDEX(F!$P$21:$AB$33, MATCH(S685/$AH685, F!$O$21:$O$33,1), MATCH(E685, F!$P$20:$AB$20,1)),0)  + IFERROR(Y685*INDEX(F!$P$21:$AB$33, MATCH(W685/$AH685, F!$O$21:$O$33,1), MATCH(E685, F!$P$20:$AB$20,1)),0)  + IFERROR( AC685*INDEX(F!$P$21:$AB$33, MATCH(AA685/$AH685, F!$O$21:$O$33,1), MATCH(E685, F!$P$20:$AB$20,1)),)</f>
        <v>0</v>
      </c>
      <c r="AL685" s="42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ht="15.75" hidden="1" customHeight="1">
      <c r="A686" s="44">
        <f>A630+A618</f>
        <v>43866</v>
      </c>
      <c r="B686" s="126" t="str">
        <f t="shared" ref="B686:F686" si="1362">IF(B630="","",B630)</f>
        <v>Средняя</v>
      </c>
      <c r="C686" s="127" t="str">
        <f t="shared" si="1362"/>
        <v>ЖМ</v>
      </c>
      <c r="D686" s="128" t="str">
        <f t="shared" si="1362"/>
        <v>Жим лежа</v>
      </c>
      <c r="E686" s="48">
        <f t="shared" si="1362"/>
        <v>1</v>
      </c>
      <c r="F686" s="129" t="str">
        <f t="shared" si="1362"/>
        <v/>
      </c>
      <c r="G686" s="130" t="str">
        <f t="shared" si="1363"/>
        <v/>
      </c>
      <c r="H686" s="34"/>
      <c r="I686" s="34"/>
      <c r="J686" s="65"/>
      <c r="K686" s="130" t="str">
        <f t="shared" si="1364"/>
        <v/>
      </c>
      <c r="L686" s="34"/>
      <c r="M686" s="34"/>
      <c r="N686" s="65"/>
      <c r="O686" s="130" t="str">
        <f t="shared" si="1365"/>
        <v/>
      </c>
      <c r="P686" s="34"/>
      <c r="Q686" s="34"/>
      <c r="R686" s="65"/>
      <c r="S686" s="130" t="str">
        <f t="shared" si="1366"/>
        <v/>
      </c>
      <c r="T686" s="34"/>
      <c r="U686" s="34"/>
      <c r="V686" s="65"/>
      <c r="W686" s="130" t="str">
        <f t="shared" si="1367"/>
        <v/>
      </c>
      <c r="X686" s="34"/>
      <c r="Y686" s="34"/>
      <c r="Z686" s="65"/>
      <c r="AA686" s="130" t="str">
        <f t="shared" si="1368"/>
        <v/>
      </c>
      <c r="AB686" s="34"/>
      <c r="AC686" s="34"/>
      <c r="AD686" s="65"/>
      <c r="AE686" s="131">
        <f t="shared" si="1369"/>
        <v>0</v>
      </c>
      <c r="AF686" s="132">
        <f t="shared" si="1350"/>
        <v>0</v>
      </c>
      <c r="AG686" s="133">
        <f t="shared" si="1370"/>
        <v>0</v>
      </c>
      <c r="AH686" s="76">
        <f t="shared" si="1371"/>
        <v>120.4829705</v>
      </c>
      <c r="AI686" s="132">
        <f> ( IF(ISNUMBER(G686), VLOOKUP(G686/$AH686,F!$A1:$B101,2,1)*G686*$H686*$I686,0)+IF(ISNUMBER(K686), VLOOKUP(K686/$AH686,F!$A1:$B101,2,1)*K686*$L686*$M686,0)+IF(ISNUMBER(O686), VLOOKUP(O686/$AH686,F!$A1:$B101,2,1)*O686*$P686*$Q686,0)+IF(ISNUMBER(S686), VLOOKUP(S686/$AH686,F!$A1:$B101,2,1)*S686*$T686*$U686,0)+IF(ISNUMBER(W686), VLOOKUP(W686/$AH686,F!$A1:$B101,2,1)*W686*$X686*$Y686,0)+IF(ISNUMBER(AA686), VLOOKUP(AA686/$AH686,F!$A1:$B101,2,1)*AA686*$AB686*$AC686,0))*IF(ISNUMBER(F686),F686,1)*IF(ISNUMBER(E686),E686,1)</f>
        <v>0</v>
      </c>
      <c r="AJ686" s="34">
        <f t="shared" si="1372"/>
        <v>0</v>
      </c>
      <c r="AK686" s="134">
        <f t="array" ref="AK686">IFERROR(I686*INDEX(F!$P$21:$AB$33, MATCH(G686/$AH686, F!$O$21:$O$33,1), MATCH(E686, F!$P$20:$AB$20,1)), 0 ) +IFERROR( M686*INDEX(F!$P$21:$AB$33, MATCH(K686/$AH686, F!$O$21:$O$33,1), MATCH(E686, F!$P$20:$AB$20,1)),0) +  IFERROR( Q686*INDEX(F!$P$21:$AB$33, MATCH(O686/$AH686, F!$O$21:$O$33,1), MATCH(E686, F!$P$20:$AB$20,1)), 0) + IFERROR( U686*INDEX(F!$P$21:$AB$33, MATCH(S686/$AH686, F!$O$21:$O$33,1), MATCH(E686, F!$P$20:$AB$20,1)),0)  + IFERROR(Y686*INDEX(F!$P$21:$AB$33, MATCH(W686/$AH686, F!$O$21:$O$33,1), MATCH(E686, F!$P$20:$AB$20,1)),0)  + IFERROR( AC686*INDEX(F!$P$21:$AB$33, MATCH(AA686/$AH686, F!$O$21:$O$33,1), MATCH(E686, F!$P$20:$AB$20,1)),)</f>
        <v>0</v>
      </c>
      <c r="AL686" s="59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ht="15.75" hidden="1" customHeight="1">
      <c r="A687" s="59"/>
      <c r="B687" s="135" t="str">
        <f t="shared" ref="B687:F687" si="1373">IF(B631="","",B631)</f>
        <v>Легкая</v>
      </c>
      <c r="C687" s="136" t="str">
        <f t="shared" si="1373"/>
        <v>ОФП</v>
      </c>
      <c r="D687" s="137" t="str">
        <f t="shared" si="1373"/>
        <v>Наклоны со штангой</v>
      </c>
      <c r="E687" s="48">
        <f t="shared" si="1373"/>
        <v>0.8</v>
      </c>
      <c r="F687" s="138" t="str">
        <f t="shared" si="1373"/>
        <v/>
      </c>
      <c r="G687" s="139" t="str">
        <f t="shared" si="1363"/>
        <v/>
      </c>
      <c r="H687" s="140"/>
      <c r="I687" s="140"/>
      <c r="J687" s="141"/>
      <c r="K687" s="139" t="str">
        <f t="shared" si="1364"/>
        <v/>
      </c>
      <c r="L687" s="140"/>
      <c r="M687" s="140"/>
      <c r="N687" s="141"/>
      <c r="O687" s="139" t="str">
        <f t="shared" si="1365"/>
        <v/>
      </c>
      <c r="P687" s="140"/>
      <c r="Q687" s="140"/>
      <c r="R687" s="141"/>
      <c r="S687" s="139" t="str">
        <f t="shared" si="1366"/>
        <v/>
      </c>
      <c r="T687" s="140"/>
      <c r="U687" s="140"/>
      <c r="V687" s="141"/>
      <c r="W687" s="139" t="str">
        <f t="shared" si="1367"/>
        <v/>
      </c>
      <c r="X687" s="140"/>
      <c r="Y687" s="140"/>
      <c r="Z687" s="141"/>
      <c r="AA687" s="139" t="str">
        <f t="shared" si="1368"/>
        <v/>
      </c>
      <c r="AB687" s="140"/>
      <c r="AC687" s="140"/>
      <c r="AD687" s="141"/>
      <c r="AE687" s="142">
        <f t="shared" si="1369"/>
        <v>0</v>
      </c>
      <c r="AF687" s="143">
        <f t="shared" si="1350"/>
        <v>0</v>
      </c>
      <c r="AG687" s="144">
        <f t="shared" si="1370"/>
        <v>0</v>
      </c>
      <c r="AH687" s="76">
        <f t="shared" si="1371"/>
        <v>129.0436026</v>
      </c>
      <c r="AI687" s="143">
        <f> ( IF(ISNUMBER(G687), VLOOKUP(G687/$AH687,F!$A1:$B101,2,1)*G687*$H687*$I687,0)+IF(ISNUMBER(K687), VLOOKUP(K687/$AH687,F!$A1:$B101,2,1)*K687*$L687*$M687,0)+IF(ISNUMBER(O687), VLOOKUP(O687/$AH687,F!$A1:$B101,2,1)*O687*$P687*$Q687,0)+IF(ISNUMBER(S687), VLOOKUP(S687/$AH687,F!$A1:$B101,2,1)*S687*$T687*$U687,0)+IF(ISNUMBER(W687), VLOOKUP(W687/$AH687,F!$A1:$B101,2,1)*W687*$X687*$Y687,0)+IF(ISNUMBER(AA687), VLOOKUP(AA687/$AH687,F!$A1:$B101,2,1)*AA687*$AB687*$AC687,0))*IF(ISNUMBER(F687),F687,1)*IF(ISNUMBER(E687),E687,1)</f>
        <v>0</v>
      </c>
      <c r="AJ687" s="140">
        <f t="shared" si="1372"/>
        <v>0</v>
      </c>
      <c r="AK687" s="145">
        <f t="array" ref="AK687">IFERROR(I687*INDEX(F!$P$21:$AB$33, MATCH(G687/$AH687, F!$O$21:$O$33,1), MATCH(E687, F!$P$20:$AB$20,1)), 0 ) +IFERROR( M687*INDEX(F!$P$21:$AB$33, MATCH(K687/$AH687, F!$O$21:$O$33,1), MATCH(E687, F!$P$20:$AB$20,1)),0) +  IFERROR( Q687*INDEX(F!$P$21:$AB$33, MATCH(O687/$AH687, F!$O$21:$O$33,1), MATCH(E687, F!$P$20:$AB$20,1)), 0) + IFERROR( U687*INDEX(F!$P$21:$AB$33, MATCH(S687/$AH687, F!$O$21:$O$33,1), MATCH(E687, F!$P$20:$AB$20,1)),0)  + IFERROR(Y687*INDEX(F!$P$21:$AB$33, MATCH(W687/$AH687, F!$O$21:$O$33,1), MATCH(E687, F!$P$20:$AB$20,1)),0)  + IFERROR( AC687*INDEX(F!$P$21:$AB$33, MATCH(AA687/$AH687, F!$O$21:$O$33,1), MATCH(E687, F!$P$20:$AB$20,1)),)</f>
        <v>0</v>
      </c>
      <c r="AL687" s="59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ht="15.75" hidden="1" customHeight="1">
      <c r="A688" s="59"/>
      <c r="B688" s="126" t="str">
        <f t="shared" ref="B688:F688" si="1374">IF(B632="","",B632)</f>
        <v>Средняя</v>
      </c>
      <c r="C688" s="127" t="str">
        <f t="shared" si="1374"/>
        <v>ОФП</v>
      </c>
      <c r="D688" s="128" t="str">
        <f t="shared" si="1374"/>
        <v>Жим стоя</v>
      </c>
      <c r="E688" s="48">
        <f t="shared" si="1374"/>
        <v>1</v>
      </c>
      <c r="F688" s="129" t="str">
        <f t="shared" si="1374"/>
        <v/>
      </c>
      <c r="G688" s="130" t="str">
        <f t="shared" si="1363"/>
        <v/>
      </c>
      <c r="H688" s="34"/>
      <c r="I688" s="34"/>
      <c r="J688" s="65"/>
      <c r="K688" s="130" t="str">
        <f t="shared" si="1364"/>
        <v/>
      </c>
      <c r="L688" s="34"/>
      <c r="M688" s="34"/>
      <c r="N688" s="65"/>
      <c r="O688" s="130" t="str">
        <f t="shared" si="1365"/>
        <v/>
      </c>
      <c r="P688" s="34"/>
      <c r="Q688" s="34"/>
      <c r="R688" s="65"/>
      <c r="S688" s="130" t="str">
        <f t="shared" si="1366"/>
        <v/>
      </c>
      <c r="T688" s="34"/>
      <c r="U688" s="34"/>
      <c r="V688" s="65"/>
      <c r="W688" s="130" t="str">
        <f t="shared" si="1367"/>
        <v/>
      </c>
      <c r="X688" s="34"/>
      <c r="Y688" s="34"/>
      <c r="Z688" s="65"/>
      <c r="AA688" s="130" t="str">
        <f t="shared" si="1368"/>
        <v/>
      </c>
      <c r="AB688" s="34"/>
      <c r="AC688" s="34"/>
      <c r="AD688" s="65"/>
      <c r="AE688" s="131">
        <f t="shared" si="1369"/>
        <v>0</v>
      </c>
      <c r="AF688" s="132">
        <f t="shared" si="1350"/>
        <v>0</v>
      </c>
      <c r="AG688" s="133">
        <f t="shared" si="1370"/>
        <v>0</v>
      </c>
      <c r="AH688" s="76">
        <f t="shared" si="1371"/>
        <v>72.28978229</v>
      </c>
      <c r="AI688" s="132">
        <f> ( IF(ISNUMBER(G688), VLOOKUP(G688/$AH688,F!$A1:$B101,2,1)*G688*$H688*$I688,0)+IF(ISNUMBER(K688), VLOOKUP(K688/$AH688,F!$A1:$B101,2,1)*K688*$L688*$M688,0)+IF(ISNUMBER(O688), VLOOKUP(O688/$AH688,F!$A1:$B101,2,1)*O688*$P688*$Q688,0)+IF(ISNUMBER(S688), VLOOKUP(S688/$AH688,F!$A1:$B101,2,1)*S688*$T688*$U688,0)+IF(ISNUMBER(W688), VLOOKUP(W688/$AH688,F!$A1:$B101,2,1)*W688*$X688*$Y688,0)+IF(ISNUMBER(AA688), VLOOKUP(AA688/$AH688,F!$A1:$B101,2,1)*AA688*$AB688*$AC688,0))*IF(ISNUMBER(F688),F688,1)*IF(ISNUMBER(E688),E688,1)</f>
        <v>0</v>
      </c>
      <c r="AJ688" s="34">
        <f t="shared" si="1372"/>
        <v>0</v>
      </c>
      <c r="AK688" s="134">
        <f t="array" ref="AK688">IFERROR(I688*INDEX(F!$P$21:$AB$33, MATCH(G688/$AH688, F!$O$21:$O$33,1), MATCH(E688, F!$P$20:$AB$20,1)), 0 ) +IFERROR( M688*INDEX(F!$P$21:$AB$33, MATCH(K688/$AH688, F!$O$21:$O$33,1), MATCH(E688, F!$P$20:$AB$20,1)),0) +  IFERROR( Q688*INDEX(F!$P$21:$AB$33, MATCH(O688/$AH688, F!$O$21:$O$33,1), MATCH(E688, F!$P$20:$AB$20,1)), 0) + IFERROR( U688*INDEX(F!$P$21:$AB$33, MATCH(S688/$AH688, F!$O$21:$O$33,1), MATCH(E688, F!$P$20:$AB$20,1)),0)  + IFERROR(Y688*INDEX(F!$P$21:$AB$33, MATCH(W688/$AH688, F!$O$21:$O$33,1), MATCH(E688, F!$P$20:$AB$20,1)),0)  + IFERROR( AC688*INDEX(F!$P$21:$AB$33, MATCH(AA688/$AH688, F!$O$21:$O$33,1), MATCH(E688, F!$P$20:$AB$20,1)),)</f>
        <v>0</v>
      </c>
      <c r="AL688" s="59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ht="15.75" hidden="1" customHeight="1">
      <c r="A689" s="59"/>
      <c r="B689" s="135" t="str">
        <f t="shared" ref="B689:F689" si="1375">IF(B633="","",B633)</f>
        <v>Средняя</v>
      </c>
      <c r="C689" s="136" t="str">
        <f t="shared" si="1375"/>
        <v>ЖМ</v>
      </c>
      <c r="D689" s="137" t="str">
        <f t="shared" si="1375"/>
        <v>Жим средним хватом</v>
      </c>
      <c r="E689" s="48">
        <f t="shared" si="1375"/>
        <v>1</v>
      </c>
      <c r="F689" s="138" t="str">
        <f t="shared" si="1375"/>
        <v/>
      </c>
      <c r="G689" s="139" t="str">
        <f t="shared" si="1363"/>
        <v/>
      </c>
      <c r="H689" s="140"/>
      <c r="I689" s="140"/>
      <c r="J689" s="141"/>
      <c r="K689" s="139" t="str">
        <f t="shared" si="1364"/>
        <v/>
      </c>
      <c r="L689" s="140"/>
      <c r="M689" s="140"/>
      <c r="N689" s="141"/>
      <c r="O689" s="139" t="str">
        <f t="shared" si="1365"/>
        <v/>
      </c>
      <c r="P689" s="140"/>
      <c r="Q689" s="140"/>
      <c r="R689" s="141"/>
      <c r="S689" s="139" t="str">
        <f t="shared" si="1366"/>
        <v/>
      </c>
      <c r="T689" s="140"/>
      <c r="U689" s="140"/>
      <c r="V689" s="141"/>
      <c r="W689" s="139" t="str">
        <f t="shared" si="1367"/>
        <v/>
      </c>
      <c r="X689" s="140"/>
      <c r="Y689" s="140"/>
      <c r="Z689" s="141"/>
      <c r="AA689" s="139" t="str">
        <f t="shared" si="1368"/>
        <v/>
      </c>
      <c r="AB689" s="140"/>
      <c r="AC689" s="140"/>
      <c r="AD689" s="141"/>
      <c r="AE689" s="142">
        <f t="shared" si="1369"/>
        <v>0</v>
      </c>
      <c r="AF689" s="143">
        <f t="shared" si="1350"/>
        <v>0</v>
      </c>
      <c r="AG689" s="144">
        <f t="shared" si="1370"/>
        <v>0</v>
      </c>
      <c r="AH689" s="76">
        <f t="shared" si="1371"/>
        <v>102.4105249</v>
      </c>
      <c r="AI689" s="143">
        <f> ( IF(ISNUMBER(G689), VLOOKUP(G689/$AH689,F!$A1:$B101,2,1)*G689*$H689*$I689,0)+IF(ISNUMBER(K689), VLOOKUP(K689/$AH689,F!$A1:$B101,2,1)*K689*$L689*$M689,0)+IF(ISNUMBER(O689), VLOOKUP(O689/$AH689,F!$A1:$B101,2,1)*O689*$P689*$Q689,0)+IF(ISNUMBER(S689), VLOOKUP(S689/$AH689,F!$A1:$B101,2,1)*S689*$T689*$U689,0)+IF(ISNUMBER(W689), VLOOKUP(W689/$AH689,F!$A1:$B101,2,1)*W689*$X689*$Y689,0)+IF(ISNUMBER(AA689), VLOOKUP(AA689/$AH689,F!$A1:$B101,2,1)*AA689*$AB689*$AC689,0))*IF(ISNUMBER(F689),F689,1)*IF(ISNUMBER(E689),E689,1)</f>
        <v>0</v>
      </c>
      <c r="AJ689" s="140">
        <f t="shared" si="1372"/>
        <v>0</v>
      </c>
      <c r="AK689" s="145">
        <f t="array" ref="AK689">IFERROR(I689*INDEX(F!$P$21:$AB$33, MATCH(G689/$AH689, F!$O$21:$O$33,1), MATCH(E689, F!$P$20:$AB$20,1)), 0 ) +IFERROR( M689*INDEX(F!$P$21:$AB$33, MATCH(K689/$AH689, F!$O$21:$O$33,1), MATCH(E689, F!$P$20:$AB$20,1)),0) +  IFERROR( Q689*INDEX(F!$P$21:$AB$33, MATCH(O689/$AH689, F!$O$21:$O$33,1), MATCH(E689, F!$P$20:$AB$20,1)), 0) + IFERROR( U689*INDEX(F!$P$21:$AB$33, MATCH(S689/$AH689, F!$O$21:$O$33,1), MATCH(E689, F!$P$20:$AB$20,1)),0)  + IFERROR(Y689*INDEX(F!$P$21:$AB$33, MATCH(W689/$AH689, F!$O$21:$O$33,1), MATCH(E689, F!$P$20:$AB$20,1)),0)  + IFERROR( AC689*INDEX(F!$P$21:$AB$33, MATCH(AA689/$AH689, F!$O$21:$O$33,1), MATCH(E689, F!$P$20:$AB$20,1)),)</f>
        <v>0</v>
      </c>
      <c r="AL689" s="59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ht="15.75" hidden="1" customHeight="1">
      <c r="A690" s="59"/>
      <c r="B690" s="126" t="str">
        <f t="shared" ref="B690:F690" si="1376">IF(B634="","",B634)</f>
        <v/>
      </c>
      <c r="C690" s="127" t="str">
        <f t="shared" si="1376"/>
        <v/>
      </c>
      <c r="D690" s="128" t="str">
        <f t="shared" si="1376"/>
        <v/>
      </c>
      <c r="E690" s="48" t="str">
        <f t="shared" si="1376"/>
        <v/>
      </c>
      <c r="F690" s="129" t="str">
        <f t="shared" si="1376"/>
        <v/>
      </c>
      <c r="G690" s="130" t="str">
        <f t="shared" si="1363"/>
        <v/>
      </c>
      <c r="H690" s="34"/>
      <c r="I690" s="34"/>
      <c r="J690" s="65"/>
      <c r="K690" s="130" t="str">
        <f t="shared" si="1364"/>
        <v/>
      </c>
      <c r="L690" s="34"/>
      <c r="M690" s="34"/>
      <c r="N690" s="65"/>
      <c r="O690" s="130" t="str">
        <f t="shared" si="1365"/>
        <v/>
      </c>
      <c r="P690" s="34"/>
      <c r="Q690" s="34"/>
      <c r="R690" s="65"/>
      <c r="S690" s="130" t="str">
        <f t="shared" si="1366"/>
        <v/>
      </c>
      <c r="T690" s="34"/>
      <c r="U690" s="34"/>
      <c r="V690" s="65"/>
      <c r="W690" s="130" t="str">
        <f t="shared" si="1367"/>
        <v/>
      </c>
      <c r="X690" s="34"/>
      <c r="Y690" s="34"/>
      <c r="Z690" s="65"/>
      <c r="AA690" s="130" t="str">
        <f t="shared" si="1368"/>
        <v/>
      </c>
      <c r="AB690" s="34"/>
      <c r="AC690" s="34"/>
      <c r="AD690" s="65"/>
      <c r="AE690" s="131">
        <f t="shared" si="1369"/>
        <v>0</v>
      </c>
      <c r="AF690" s="132">
        <f t="shared" si="1350"/>
        <v>0</v>
      </c>
      <c r="AG690" s="133">
        <f t="shared" si="1370"/>
        <v>0</v>
      </c>
      <c r="AH690" s="76" t="str">
        <f t="shared" si="1371"/>
        <v/>
      </c>
      <c r="AI690" s="132">
        <f> ( IF(ISNUMBER(G690), VLOOKUP(G690/$AH690,F!$A1:$B101,2,1)*G690*$H690*$I690,0)+IF(ISNUMBER(K690), VLOOKUP(K690/$AH690,F!$A1:$B101,2,1)*K690*$L690*$M690,0)+IF(ISNUMBER(O690), VLOOKUP(O690/$AH690,F!$A1:$B101,2,1)*O690*$P690*$Q690,0)+IF(ISNUMBER(S690), VLOOKUP(S690/$AH690,F!$A1:$B101,2,1)*S690*$T690*$U690,0)+IF(ISNUMBER(W690), VLOOKUP(W690/$AH690,F!$A1:$B101,2,1)*W690*$X690*$Y690,0)+IF(ISNUMBER(AA690), VLOOKUP(AA690/$AH690,F!$A1:$B101,2,1)*AA690*$AB690*$AC690,0))*IF(ISNUMBER(F690),F690,1)*IF(ISNUMBER(E690),E690,1)</f>
        <v>0</v>
      </c>
      <c r="AJ690" s="34">
        <f t="shared" si="1372"/>
        <v>0</v>
      </c>
      <c r="AK690" s="134">
        <f t="array" ref="AK690">IFERROR(I690*INDEX(F!$P$21:$AB$33, MATCH(G690/$AH690, F!$O$21:$O$33,1), MATCH(E690, F!$P$20:$AB$20,1)), 0 ) +IFERROR( M690*INDEX(F!$P$21:$AB$33, MATCH(K690/$AH690, F!$O$21:$O$33,1), MATCH(E690, F!$P$20:$AB$20,1)),0) +  IFERROR( Q690*INDEX(F!$P$21:$AB$33, MATCH(O690/$AH690, F!$O$21:$O$33,1), MATCH(E690, F!$P$20:$AB$20,1)), 0) + IFERROR( U690*INDEX(F!$P$21:$AB$33, MATCH(S690/$AH690, F!$O$21:$O$33,1), MATCH(E690, F!$P$20:$AB$20,1)),0)  + IFERROR(Y690*INDEX(F!$P$21:$AB$33, MATCH(W690/$AH690, F!$O$21:$O$33,1), MATCH(E690, F!$P$20:$AB$20,1)),0)  + IFERROR( AC690*INDEX(F!$P$21:$AB$33, MATCH(AA690/$AH690, F!$O$21:$O$33,1), MATCH(E690, F!$P$20:$AB$20,1)),)</f>
        <v>0</v>
      </c>
      <c r="AL690" s="59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ht="15.75" hidden="1" customHeight="1">
      <c r="A691" s="59"/>
      <c r="B691" s="135" t="str">
        <f t="shared" ref="B691:F691" si="1377">IF(B635="","",B635)</f>
        <v/>
      </c>
      <c r="C691" s="136" t="str">
        <f t="shared" si="1377"/>
        <v/>
      </c>
      <c r="D691" s="137" t="str">
        <f t="shared" si="1377"/>
        <v/>
      </c>
      <c r="E691" s="48" t="str">
        <f t="shared" si="1377"/>
        <v/>
      </c>
      <c r="F691" s="138" t="str">
        <f t="shared" si="1377"/>
        <v/>
      </c>
      <c r="G691" s="139" t="str">
        <f t="shared" si="1363"/>
        <v/>
      </c>
      <c r="H691" s="140"/>
      <c r="I691" s="140"/>
      <c r="J691" s="141"/>
      <c r="K691" s="139" t="str">
        <f t="shared" si="1364"/>
        <v/>
      </c>
      <c r="L691" s="140"/>
      <c r="M691" s="140"/>
      <c r="N691" s="141"/>
      <c r="O691" s="139" t="str">
        <f t="shared" si="1365"/>
        <v/>
      </c>
      <c r="P691" s="140"/>
      <c r="Q691" s="140"/>
      <c r="R691" s="141"/>
      <c r="S691" s="139" t="str">
        <f t="shared" si="1366"/>
        <v/>
      </c>
      <c r="T691" s="140"/>
      <c r="U691" s="140"/>
      <c r="V691" s="141"/>
      <c r="W691" s="139" t="str">
        <f t="shared" si="1367"/>
        <v/>
      </c>
      <c r="X691" s="140"/>
      <c r="Y691" s="140"/>
      <c r="Z691" s="141"/>
      <c r="AA691" s="139" t="str">
        <f t="shared" si="1368"/>
        <v/>
      </c>
      <c r="AB691" s="140"/>
      <c r="AC691" s="140"/>
      <c r="AD691" s="141"/>
      <c r="AE691" s="142">
        <f t="shared" si="1369"/>
        <v>0</v>
      </c>
      <c r="AF691" s="143">
        <f t="shared" si="1350"/>
        <v>0</v>
      </c>
      <c r="AG691" s="144">
        <f t="shared" si="1370"/>
        <v>0</v>
      </c>
      <c r="AH691" s="76" t="str">
        <f t="shared" si="1371"/>
        <v/>
      </c>
      <c r="AI691" s="143">
        <f> ( IF(ISNUMBER(G691), VLOOKUP(G691/$AH691,F!$A1:$B101,2,1)*G691*$H691*$I691,0)+IF(ISNUMBER(K691), VLOOKUP(K691/$AH691,F!$A1:$B101,2,1)*K691*$L691*$M691,0)+IF(ISNUMBER(O691), VLOOKUP(O691/$AH691,F!$A1:$B101,2,1)*O691*$P691*$Q691,0)+IF(ISNUMBER(S691), VLOOKUP(S691/$AH691,F!$A1:$B101,2,1)*S691*$T691*$U691,0)+IF(ISNUMBER(W691), VLOOKUP(W691/$AH691,F!$A1:$B101,2,1)*W691*$X691*$Y691,0)+IF(ISNUMBER(AA691), VLOOKUP(AA691/$AH691,F!$A1:$B101,2,1)*AA691*$AB691*$AC691,0))*IF(ISNUMBER(F691),F691,1)*IF(ISNUMBER(E691),E691,1)</f>
        <v>0</v>
      </c>
      <c r="AJ691" s="140">
        <f t="shared" si="1372"/>
        <v>0</v>
      </c>
      <c r="AK691" s="145">
        <f t="array" ref="AK691">IFERROR(I691*INDEX(F!$P$21:$AB$33, MATCH(G691/$AH691, F!$O$21:$O$33,1), MATCH(E691, F!$P$20:$AB$20,1)), 0 ) +IFERROR( M691*INDEX(F!$P$21:$AB$33, MATCH(K691/$AH691, F!$O$21:$O$33,1), MATCH(E691, F!$P$20:$AB$20,1)),0) +  IFERROR( Q691*INDEX(F!$P$21:$AB$33, MATCH(O691/$AH691, F!$O$21:$O$33,1), MATCH(E691, F!$P$20:$AB$20,1)), 0) + IFERROR( U691*INDEX(F!$P$21:$AB$33, MATCH(S691/$AH691, F!$O$21:$O$33,1), MATCH(E691, F!$P$20:$AB$20,1)),0)  + IFERROR(Y691*INDEX(F!$P$21:$AB$33, MATCH(W691/$AH691, F!$O$21:$O$33,1), MATCH(E691, F!$P$20:$AB$20,1)),0)  + IFERROR( AC691*INDEX(F!$P$21:$AB$33, MATCH(AA691/$AH691, F!$O$21:$O$33,1), MATCH(E691, F!$P$20:$AB$20,1)),)</f>
        <v>0</v>
      </c>
      <c r="AL691" s="59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ht="15.75" hidden="1" customHeight="1">
      <c r="A692" s="59"/>
      <c r="B692" s="126" t="str">
        <f t="shared" ref="B692:F692" si="1378">IF(B636="","",B636)</f>
        <v/>
      </c>
      <c r="C692" s="127" t="str">
        <f t="shared" si="1378"/>
        <v/>
      </c>
      <c r="D692" s="128" t="str">
        <f t="shared" si="1378"/>
        <v/>
      </c>
      <c r="E692" s="48" t="str">
        <f t="shared" si="1378"/>
        <v/>
      </c>
      <c r="F692" s="129" t="str">
        <f t="shared" si="1378"/>
        <v/>
      </c>
      <c r="G692" s="130" t="str">
        <f t="shared" si="1363"/>
        <v/>
      </c>
      <c r="H692" s="34"/>
      <c r="I692" s="34"/>
      <c r="J692" s="65"/>
      <c r="K692" s="130" t="str">
        <f t="shared" si="1364"/>
        <v/>
      </c>
      <c r="L692" s="34"/>
      <c r="M692" s="34"/>
      <c r="N692" s="65"/>
      <c r="O692" s="130" t="str">
        <f t="shared" si="1365"/>
        <v/>
      </c>
      <c r="P692" s="34"/>
      <c r="Q692" s="34"/>
      <c r="R692" s="65"/>
      <c r="S692" s="130" t="str">
        <f t="shared" si="1366"/>
        <v/>
      </c>
      <c r="T692" s="34"/>
      <c r="U692" s="34"/>
      <c r="V692" s="65"/>
      <c r="W692" s="130" t="str">
        <f t="shared" si="1367"/>
        <v/>
      </c>
      <c r="X692" s="34"/>
      <c r="Y692" s="34"/>
      <c r="Z692" s="65"/>
      <c r="AA692" s="130" t="str">
        <f t="shared" si="1368"/>
        <v/>
      </c>
      <c r="AB692" s="34"/>
      <c r="AC692" s="34"/>
      <c r="AD692" s="65"/>
      <c r="AE692" s="131">
        <f t="shared" si="1369"/>
        <v>0</v>
      </c>
      <c r="AF692" s="132">
        <f t="shared" si="1350"/>
        <v>0</v>
      </c>
      <c r="AG692" s="133">
        <f t="shared" si="1370"/>
        <v>0</v>
      </c>
      <c r="AH692" s="76" t="str">
        <f t="shared" si="1371"/>
        <v/>
      </c>
      <c r="AI692" s="132">
        <f> ( IF(ISNUMBER(G692), VLOOKUP(G692/$AH692,F!$A1:$B101,2,1)*G692*$H692*$I692,0)+IF(ISNUMBER(K692), VLOOKUP(K692/$AH692,F!$A1:$B101,2,1)*K692*$L692*$M692,0)+IF(ISNUMBER(O692), VLOOKUP(O692/$AH692,F!$A1:$B101,2,1)*O692*$P692*$Q692,0)+IF(ISNUMBER(S692), VLOOKUP(S692/$AH692,F!$A1:$B101,2,1)*S692*$T692*$U692,0)+IF(ISNUMBER(W692), VLOOKUP(W692/$AH692,F!$A1:$B101,2,1)*W692*$X692*$Y692,0)+IF(ISNUMBER(AA692), VLOOKUP(AA692/$AH692,F!$A1:$B101,2,1)*AA692*$AB692*$AC692,0))*IF(ISNUMBER(F692),F692,1)*IF(ISNUMBER(E692),E692,1)</f>
        <v>0</v>
      </c>
      <c r="AJ692" s="34">
        <f t="shared" si="1372"/>
        <v>0</v>
      </c>
      <c r="AK692" s="134">
        <f t="array" ref="AK692">IFERROR(I692*INDEX(F!$P$21:$AB$33, MATCH(G692/$AH692, F!$O$21:$O$33,1), MATCH(E692, F!$P$20:$AB$20,1)), 0 ) +IFERROR( M692*INDEX(F!$P$21:$AB$33, MATCH(K692/$AH692, F!$O$21:$O$33,1), MATCH(E692, F!$P$20:$AB$20,1)),0) +  IFERROR( Q692*INDEX(F!$P$21:$AB$33, MATCH(O692/$AH692, F!$O$21:$O$33,1), MATCH(E692, F!$P$20:$AB$20,1)), 0) + IFERROR( U692*INDEX(F!$P$21:$AB$33, MATCH(S692/$AH692, F!$O$21:$O$33,1), MATCH(E692, F!$P$20:$AB$20,1)),0)  + IFERROR(Y692*INDEX(F!$P$21:$AB$33, MATCH(W692/$AH692, F!$O$21:$O$33,1), MATCH(E692, F!$P$20:$AB$20,1)),0)  + IFERROR( AC692*INDEX(F!$P$21:$AB$33, MATCH(AA692/$AH692, F!$O$21:$O$33,1), MATCH(E692, F!$P$20:$AB$20,1)),)</f>
        <v>0</v>
      </c>
      <c r="AL692" s="59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ht="15.75" hidden="1" customHeight="1">
      <c r="A693" s="98"/>
      <c r="B693" s="150"/>
      <c r="C693" s="151"/>
      <c r="D693" s="152"/>
      <c r="E693" s="102">
        <f>ROUND(IFERROR(SUMPRODUCT(AJ685:AJ692,E685:E692)/AJ693,0),3)</f>
        <v>0</v>
      </c>
      <c r="F693" s="153"/>
      <c r="G693" s="154"/>
      <c r="H693" s="155"/>
      <c r="I693" s="155"/>
      <c r="J693" s="156"/>
      <c r="K693" s="154"/>
      <c r="L693" s="155"/>
      <c r="M693" s="155"/>
      <c r="N693" s="156"/>
      <c r="O693" s="154"/>
      <c r="P693" s="155"/>
      <c r="Q693" s="155"/>
      <c r="R693" s="156"/>
      <c r="S693" s="154"/>
      <c r="T693" s="155"/>
      <c r="U693" s="155"/>
      <c r="V693" s="156"/>
      <c r="W693" s="154"/>
      <c r="X693" s="155"/>
      <c r="Y693" s="155"/>
      <c r="Z693" s="156"/>
      <c r="AA693" s="154"/>
      <c r="AB693" s="155"/>
      <c r="AC693" s="155"/>
      <c r="AD693" s="156"/>
      <c r="AE693" s="107">
        <f>SUM(AE685:AE692)</f>
        <v>0</v>
      </c>
      <c r="AF693" s="108">
        <f t="shared" si="1350"/>
        <v>0</v>
      </c>
      <c r="AG693" s="109">
        <f>IFERROR(  SUMPRODUCT(AG685:AG692,AJ685:AJ692)/AJ693,0)</f>
        <v>0</v>
      </c>
      <c r="AH693" s="157"/>
      <c r="AI693" s="111">
        <f t="shared" ref="AI693:AJ693" si="1379">SUM(AI685:AI692)</f>
        <v>0</v>
      </c>
      <c r="AJ693" s="111">
        <f t="shared" si="1379"/>
        <v>0</v>
      </c>
      <c r="AK693" s="112">
        <f>IF(SUM(AK685:AK692)=0,TIME(,0,),TIME(,SUM(AK685:AK692)+F!$V$37,))</f>
        <v>0</v>
      </c>
      <c r="AL693" s="98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ht="15.75" hidden="1" customHeight="1">
      <c r="A694" s="158">
        <f>A695</f>
        <v>43868</v>
      </c>
      <c r="B694" s="159" t="str">
        <f t="shared" ref="B694:F694" si="1380">IF(B638="","",B638)</f>
        <v>Тяжелая</v>
      </c>
      <c r="C694" s="160" t="str">
        <f t="shared" si="1380"/>
        <v>ПР</v>
      </c>
      <c r="D694" s="161" t="str">
        <f t="shared" si="1380"/>
        <v>Присед</v>
      </c>
      <c r="E694" s="29">
        <f t="shared" si="1380"/>
        <v>1.2</v>
      </c>
      <c r="F694" s="162" t="str">
        <f t="shared" si="1380"/>
        <v/>
      </c>
      <c r="G694" s="163" t="str">
        <f t="shared" ref="G694:G701" si="1382">IF(J694&lt;&gt;0, IFERROR(IF( $F694=2,  MROUND($AH694*J694,1),    IF( OR($F694="",$F694=1),   MROUND($AH694*J694,2.5),  MROUND($AH694*J694, 0.1))), "" ), "")</f>
        <v/>
      </c>
      <c r="H694" s="164"/>
      <c r="I694" s="164"/>
      <c r="J694" s="165"/>
      <c r="K694" s="163" t="str">
        <f t="shared" ref="K694:K701" si="1383">IF(N694&lt;&gt;0, IFERROR(IF( $F694=2,  MROUND($AH694*N694,1),    IF( OR($F694="",$F694=1),   MROUND($AH694*N694,2.5),  MROUND($AH694*N694, 0.1))), "" ), "")</f>
        <v/>
      </c>
      <c r="L694" s="164"/>
      <c r="M694" s="164"/>
      <c r="N694" s="165"/>
      <c r="O694" s="163" t="str">
        <f t="shared" ref="O694:O701" si="1384">IF(R694&lt;&gt;0, IFERROR(IF( $F694=2,  MROUND($AH694*R694,1),    IF( OR($F694="",$F694=1),   MROUND($AH694*R694,2.5),  MROUND($AH694*R694, 0.1))), "" ), "")</f>
        <v/>
      </c>
      <c r="P694" s="164"/>
      <c r="Q694" s="164"/>
      <c r="R694" s="165"/>
      <c r="S694" s="163" t="str">
        <f t="shared" ref="S694:S701" si="1385">IF(V694&lt;&gt;0, IFERROR(IF( $F694=2,  MROUND($AH694*V694,1),    IF( OR($F694="",$F694=1),   MROUND($AH694*V694,2.5),  MROUND($AH694*V694, 0.1))), "" ), "")</f>
        <v/>
      </c>
      <c r="T694" s="164"/>
      <c r="U694" s="164"/>
      <c r="V694" s="165"/>
      <c r="W694" s="163" t="str">
        <f t="shared" ref="W694:W701" si="1386">IF(Z694&lt;&gt;0, IFERROR(IF( $F694=2,  MROUND($AH694*Z694,1),    IF( OR($F694="",$F694=1),   MROUND($AH694*Z694,2.5),  MROUND($AH694*Z694, 0.1))), "" ), "")</f>
        <v/>
      </c>
      <c r="X694" s="164"/>
      <c r="Y694" s="164"/>
      <c r="Z694" s="165"/>
      <c r="AA694" s="163" t="str">
        <f t="shared" ref="AA694:AA701" si="1387">IF(AD694&lt;&gt;0, IFERROR(IF( $F694=2,  MROUND($AH694*AD694,1),    IF( OR($F694="",$F694=1),   MROUND($AH694*AD694,2.5),  MROUND($AH694*AD694, 0.1))), "" ), "")</f>
        <v/>
      </c>
      <c r="AB694" s="164"/>
      <c r="AC694" s="164"/>
      <c r="AD694" s="165"/>
      <c r="AE694" s="166">
        <f t="shared" ref="AE694:AE701" si="1388">(IF(ISNUMBER(G694),G694,0)*H694*I694+IF(ISNUMBER(K694),K694,1)*L694*M694+IF(ISNUMBER(O694),O694,1)*P694*Q694+IF(ISNUMBER(S694),S694,1)*T694*U694+IF(ISNUMBER(W694),W694,1)*X694*Y694+IF(ISNUMBER(AA694),AA694,1)*AB694*AC694)*IF(ISNUMBER(F694),F694,1)</f>
        <v>0</v>
      </c>
      <c r="AF694" s="167">
        <f t="shared" si="1350"/>
        <v>0</v>
      </c>
      <c r="AG694" s="168">
        <f t="shared" ref="AG694:AG701" si="1389">IFERROR((AF694/(AH694*IF(ISNUMBER(F694),F694,1))),0)</f>
        <v>0</v>
      </c>
      <c r="AH694" s="169">
        <f t="shared" ref="AH694:AH701" si="1390">IF(ISNUMBER(AH638), AH638+(AH638*$AH$674),"")</f>
        <v>171.2126423</v>
      </c>
      <c r="AI694" s="167">
        <f> ( IF(ISNUMBER(G694), VLOOKUP(G694/$AH694,F!$A1:$B101,2,1)*G694*$H694*$I694,0)+IF(ISNUMBER(K694), VLOOKUP(K694/$AH694,F!$A1:$B101,2,1)*K694*$L694*$M694,0)+IF(ISNUMBER(O694), VLOOKUP(O694/$AH694,F!$A1:$B101,2,1)*O694*$P694*$Q694,0)+IF(ISNUMBER(S694), VLOOKUP(S694/$AH694,F!$A1:$B101,2,1)*S694*$T694*$U694,0)+IF(ISNUMBER(W694), VLOOKUP(W694/$AH694,F!$A1:$B101,2,1)*W694*$X694*$Y694,0)+IF(ISNUMBER(AA694), VLOOKUP(AA694/$AH694,F!$A1:$B101,2,1)*AA694*$AB694*$AC694,0))*IF(ISNUMBER(F694),F694,1)*IF(ISNUMBER(E694),E694,1)</f>
        <v>0</v>
      </c>
      <c r="AJ694" s="164">
        <f t="shared" ref="AJ694:AJ701" si="1391">H694*I694+L694*M694+P694*Q694+T694*U694+X694*Y694+AB694*AC694</f>
        <v>0</v>
      </c>
      <c r="AK694" s="170">
        <f t="array" ref="AK694">IFERROR(I694*INDEX(F!$P$21:$AB$33, MATCH(G694/$AH694, F!$O$21:$O$33,1), MATCH(E694, F!$P$20:$AB$20,1)), 0 ) +IFERROR( M694*INDEX(F!$P$21:$AB$33, MATCH(K694/$AH694, F!$O$21:$O$33,1), MATCH(E694, F!$P$20:$AB$20,1)),0) +  IFERROR( Q694*INDEX(F!$P$21:$AB$33, MATCH(O694/$AH694, F!$O$21:$O$33,1), MATCH(E694, F!$P$20:$AB$20,1)), 0) + IFERROR( U694*INDEX(F!$P$21:$AB$33, MATCH(S694/$AH694, F!$O$21:$O$33,1), MATCH(E694, F!$P$20:$AB$20,1)),0)  + IFERROR(Y694*INDEX(F!$P$21:$AB$33, MATCH(W694/$AH694, F!$O$21:$O$33,1), MATCH(E694, F!$P$20:$AB$20,1)),0)  + IFERROR( AC694*INDEX(F!$P$21:$AB$33, MATCH(AA694/$AH694, F!$O$21:$O$33,1), MATCH(E694, F!$P$20:$AB$20,1)),)</f>
        <v>0</v>
      </c>
      <c r="AL694" s="42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ht="15.75" hidden="1" customHeight="1">
      <c r="A695" s="44">
        <f>A639+A618</f>
        <v>43868</v>
      </c>
      <c r="B695" s="135" t="str">
        <f t="shared" ref="B695:F695" si="1381">IF(B639="","",B639)</f>
        <v>Тяжелая</v>
      </c>
      <c r="C695" s="136" t="str">
        <f t="shared" si="1381"/>
        <v>ЖМ</v>
      </c>
      <c r="D695" s="137" t="str">
        <f t="shared" si="1381"/>
        <v>Жим лежа</v>
      </c>
      <c r="E695" s="48">
        <f t="shared" si="1381"/>
        <v>1</v>
      </c>
      <c r="F695" s="138" t="str">
        <f t="shared" si="1381"/>
        <v/>
      </c>
      <c r="G695" s="139" t="str">
        <f t="shared" si="1382"/>
        <v/>
      </c>
      <c r="H695" s="140"/>
      <c r="I695" s="140"/>
      <c r="J695" s="141"/>
      <c r="K695" s="139" t="str">
        <f t="shared" si="1383"/>
        <v/>
      </c>
      <c r="L695" s="140"/>
      <c r="M695" s="140"/>
      <c r="N695" s="141"/>
      <c r="O695" s="139" t="str">
        <f t="shared" si="1384"/>
        <v/>
      </c>
      <c r="P695" s="140"/>
      <c r="Q695" s="140"/>
      <c r="R695" s="141"/>
      <c r="S695" s="139" t="str">
        <f t="shared" si="1385"/>
        <v/>
      </c>
      <c r="T695" s="140"/>
      <c r="U695" s="140"/>
      <c r="V695" s="141"/>
      <c r="W695" s="139" t="str">
        <f t="shared" si="1386"/>
        <v/>
      </c>
      <c r="X695" s="140"/>
      <c r="Y695" s="140"/>
      <c r="Z695" s="141"/>
      <c r="AA695" s="139" t="str">
        <f t="shared" si="1387"/>
        <v/>
      </c>
      <c r="AB695" s="140"/>
      <c r="AC695" s="140"/>
      <c r="AD695" s="141"/>
      <c r="AE695" s="142">
        <f t="shared" si="1388"/>
        <v>0</v>
      </c>
      <c r="AF695" s="143">
        <f t="shared" si="1350"/>
        <v>0</v>
      </c>
      <c r="AG695" s="144">
        <f t="shared" si="1389"/>
        <v>0</v>
      </c>
      <c r="AH695" s="76">
        <f t="shared" si="1390"/>
        <v>120.4829705</v>
      </c>
      <c r="AI695" s="143">
        <f> ( IF(ISNUMBER(G695), VLOOKUP(G695/$AH695,F!$A1:$B101,2,1)*G695*$H695*$I695,0)+IF(ISNUMBER(K695), VLOOKUP(K695/$AH695,F!$A1:$B101,2,1)*K695*$L695*$M695,0)+IF(ISNUMBER(O695), VLOOKUP(O695/$AH695,F!$A1:$B101,2,1)*O695*$P695*$Q695,0)+IF(ISNUMBER(S695), VLOOKUP(S695/$AH695,F!$A1:$B101,2,1)*S695*$T695*$U695,0)+IF(ISNUMBER(W695), VLOOKUP(W695/$AH695,F!$A1:$B101,2,1)*W695*$X695*$Y695,0)+IF(ISNUMBER(AA695), VLOOKUP(AA695/$AH695,F!$A1:$B101,2,1)*AA695*$AB695*$AC695,0))*IF(ISNUMBER(F695),F695,1)*IF(ISNUMBER(E695),E695,1)</f>
        <v>0</v>
      </c>
      <c r="AJ695" s="140">
        <f t="shared" si="1391"/>
        <v>0</v>
      </c>
      <c r="AK695" s="145">
        <f t="array" ref="AK695">IFERROR(I695*INDEX(F!$P$21:$AB$33, MATCH(G695/$AH695, F!$O$21:$O$33,1), MATCH(E695, F!$P$20:$AB$20,1)), 0 ) +IFERROR( M695*INDEX(F!$P$21:$AB$33, MATCH(K695/$AH695, F!$O$21:$O$33,1), MATCH(E695, F!$P$20:$AB$20,1)),0) +  IFERROR( Q695*INDEX(F!$P$21:$AB$33, MATCH(O695/$AH695, F!$O$21:$O$33,1), MATCH(E695, F!$P$20:$AB$20,1)), 0) + IFERROR( U695*INDEX(F!$P$21:$AB$33, MATCH(S695/$AH695, F!$O$21:$O$33,1), MATCH(E695, F!$P$20:$AB$20,1)),0)  + IFERROR(Y695*INDEX(F!$P$21:$AB$33, MATCH(W695/$AH695, F!$O$21:$O$33,1), MATCH(E695, F!$P$20:$AB$20,1)),0)  + IFERROR( AC695*INDEX(F!$P$21:$AB$33, MATCH(AA695/$AH695, F!$O$21:$O$33,1), MATCH(E695, F!$P$20:$AB$20,1)),)</f>
        <v>0</v>
      </c>
      <c r="AL695" s="59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ht="15.75" hidden="1" customHeight="1">
      <c r="A696" s="59"/>
      <c r="B696" s="173" t="str">
        <f t="shared" ref="B696:F696" si="1392">IF(B640="","",B640)</f>
        <v>Средняя</v>
      </c>
      <c r="C696" s="174" t="str">
        <f t="shared" si="1392"/>
        <v>ПР</v>
      </c>
      <c r="D696" s="175" t="str">
        <f t="shared" si="1392"/>
        <v>Присед</v>
      </c>
      <c r="E696" s="48">
        <f t="shared" si="1392"/>
        <v>1.2</v>
      </c>
      <c r="F696" s="176" t="str">
        <f t="shared" si="1392"/>
        <v/>
      </c>
      <c r="G696" s="177" t="str">
        <f t="shared" si="1382"/>
        <v/>
      </c>
      <c r="H696" s="178"/>
      <c r="I696" s="178"/>
      <c r="J696" s="179"/>
      <c r="K696" s="177" t="str">
        <f t="shared" si="1383"/>
        <v/>
      </c>
      <c r="L696" s="178"/>
      <c r="M696" s="178"/>
      <c r="N696" s="179"/>
      <c r="O696" s="177" t="str">
        <f t="shared" si="1384"/>
        <v/>
      </c>
      <c r="P696" s="178"/>
      <c r="Q696" s="178"/>
      <c r="R696" s="179"/>
      <c r="S696" s="177" t="str">
        <f t="shared" si="1385"/>
        <v/>
      </c>
      <c r="T696" s="178"/>
      <c r="U696" s="178"/>
      <c r="V696" s="179"/>
      <c r="W696" s="177" t="str">
        <f t="shared" si="1386"/>
        <v/>
      </c>
      <c r="X696" s="178"/>
      <c r="Y696" s="178"/>
      <c r="Z696" s="179"/>
      <c r="AA696" s="177" t="str">
        <f t="shared" si="1387"/>
        <v/>
      </c>
      <c r="AB696" s="178"/>
      <c r="AC696" s="178"/>
      <c r="AD696" s="179"/>
      <c r="AE696" s="180">
        <f t="shared" si="1388"/>
        <v>0</v>
      </c>
      <c r="AF696" s="181">
        <f t="shared" si="1350"/>
        <v>0</v>
      </c>
      <c r="AG696" s="182">
        <f t="shared" si="1389"/>
        <v>0</v>
      </c>
      <c r="AH696" s="76">
        <f t="shared" si="1390"/>
        <v>171.2126423</v>
      </c>
      <c r="AI696" s="181">
        <f> ( IF(ISNUMBER(G696), VLOOKUP(G696/$AH696,F!$A1:$B101,2,1)*G696*$H696*$I696,0)+IF(ISNUMBER(K696), VLOOKUP(K696/$AH696,F!$A1:$B101,2,1)*K696*$L696*$M696,0)+IF(ISNUMBER(O696), VLOOKUP(O696/$AH696,F!$A1:$B101,2,1)*O696*$P696*$Q696,0)+IF(ISNUMBER(S696), VLOOKUP(S696/$AH696,F!$A1:$B101,2,1)*S696*$T696*$U696,0)+IF(ISNUMBER(W696), VLOOKUP(W696/$AH696,F!$A1:$B101,2,1)*W696*$X696*$Y696,0)+IF(ISNUMBER(AA696), VLOOKUP(AA696/$AH696,F!$A1:$B101,2,1)*AA696*$AB696*$AC696,0))*IF(ISNUMBER(F696),F696,1)*IF(ISNUMBER(E696),E696,1)</f>
        <v>0</v>
      </c>
      <c r="AJ696" s="178">
        <f t="shared" si="1391"/>
        <v>0</v>
      </c>
      <c r="AK696" s="183">
        <f t="array" ref="AK696">IFERROR(I696*INDEX(F!$P$21:$AB$33, MATCH(G696/$AH696, F!$O$21:$O$33,1), MATCH(E696, F!$P$20:$AB$20,1)), 0 ) +IFERROR( M696*INDEX(F!$P$21:$AB$33, MATCH(K696/$AH696, F!$O$21:$O$33,1), MATCH(E696, F!$P$20:$AB$20,1)),0) +  IFERROR( Q696*INDEX(F!$P$21:$AB$33, MATCH(O696/$AH696, F!$O$21:$O$33,1), MATCH(E696, F!$P$20:$AB$20,1)), 0) + IFERROR( U696*INDEX(F!$P$21:$AB$33, MATCH(S696/$AH696, F!$O$21:$O$33,1), MATCH(E696, F!$P$20:$AB$20,1)),0)  + IFERROR(Y696*INDEX(F!$P$21:$AB$33, MATCH(W696/$AH696, F!$O$21:$O$33,1), MATCH(E696, F!$P$20:$AB$20,1)),0)  + IFERROR( AC696*INDEX(F!$P$21:$AB$33, MATCH(AA696/$AH696, F!$O$21:$O$33,1), MATCH(E696, F!$P$20:$AB$20,1)),)</f>
        <v>0</v>
      </c>
      <c r="AL696" s="59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ht="15.75" hidden="1" customHeight="1">
      <c r="A697" s="59"/>
      <c r="B697" s="135" t="str">
        <f t="shared" ref="B697:F697" si="1393">IF(B641="","",B641)</f>
        <v>Средняя</v>
      </c>
      <c r="C697" s="136" t="str">
        <f t="shared" si="1393"/>
        <v>ЖМ</v>
      </c>
      <c r="D697" s="137" t="str">
        <f t="shared" si="1393"/>
        <v>Жим на наклонной скамье</v>
      </c>
      <c r="E697" s="48">
        <f t="shared" si="1393"/>
        <v>1</v>
      </c>
      <c r="F697" s="138" t="str">
        <f t="shared" si="1393"/>
        <v/>
      </c>
      <c r="G697" s="139" t="str">
        <f t="shared" si="1382"/>
        <v/>
      </c>
      <c r="H697" s="140"/>
      <c r="I697" s="140"/>
      <c r="J697" s="141"/>
      <c r="K697" s="139" t="str">
        <f t="shared" si="1383"/>
        <v/>
      </c>
      <c r="L697" s="140"/>
      <c r="M697" s="140"/>
      <c r="N697" s="141"/>
      <c r="O697" s="139" t="str">
        <f t="shared" si="1384"/>
        <v/>
      </c>
      <c r="P697" s="140"/>
      <c r="Q697" s="140"/>
      <c r="R697" s="141"/>
      <c r="S697" s="139" t="str">
        <f t="shared" si="1385"/>
        <v/>
      </c>
      <c r="T697" s="140"/>
      <c r="U697" s="140"/>
      <c r="V697" s="141"/>
      <c r="W697" s="139" t="str">
        <f t="shared" si="1386"/>
        <v/>
      </c>
      <c r="X697" s="140"/>
      <c r="Y697" s="140"/>
      <c r="Z697" s="141"/>
      <c r="AA697" s="139" t="str">
        <f t="shared" si="1387"/>
        <v/>
      </c>
      <c r="AB697" s="140"/>
      <c r="AC697" s="140"/>
      <c r="AD697" s="141"/>
      <c r="AE697" s="142">
        <f t="shared" si="1388"/>
        <v>0</v>
      </c>
      <c r="AF697" s="143">
        <f t="shared" si="1350"/>
        <v>0</v>
      </c>
      <c r="AG697" s="144">
        <f t="shared" si="1389"/>
        <v>0</v>
      </c>
      <c r="AH697" s="76">
        <f t="shared" si="1390"/>
        <v>96.38637639</v>
      </c>
      <c r="AI697" s="143">
        <f> ( IF(ISNUMBER(G697), VLOOKUP(G697/$AH697,F!$A1:$B101,2,1)*G697*$H697*$I697,0)+IF(ISNUMBER(K697), VLOOKUP(K697/$AH697,F!$A1:$B101,2,1)*K697*$L697*$M697,0)+IF(ISNUMBER(O697), VLOOKUP(O697/$AH697,F!$A1:$B101,2,1)*O697*$P697*$Q697,0)+IF(ISNUMBER(S697), VLOOKUP(S697/$AH697,F!$A1:$B101,2,1)*S697*$T697*$U697,0)+IF(ISNUMBER(W697), VLOOKUP(W697/$AH697,F!$A1:$B101,2,1)*W697*$X697*$Y697,0)+IF(ISNUMBER(AA697), VLOOKUP(AA697/$AH697,F!$A1:$B101,2,1)*AA697*$AB697*$AC697,0))*IF(ISNUMBER(F697),F697,1)*IF(ISNUMBER(E697),E697,1)</f>
        <v>0</v>
      </c>
      <c r="AJ697" s="140">
        <f t="shared" si="1391"/>
        <v>0</v>
      </c>
      <c r="AK697" s="145">
        <f t="array" ref="AK697">IFERROR(I697*INDEX(F!$P$21:$AB$33, MATCH(G697/$AH697, F!$O$21:$O$33,1), MATCH(E697, F!$P$20:$AB$20,1)), 0 ) +IFERROR( M697*INDEX(F!$P$21:$AB$33, MATCH(K697/$AH697, F!$O$21:$O$33,1), MATCH(E697, F!$P$20:$AB$20,1)),0) +  IFERROR( Q697*INDEX(F!$P$21:$AB$33, MATCH(O697/$AH697, F!$O$21:$O$33,1), MATCH(E697, F!$P$20:$AB$20,1)), 0) + IFERROR( U697*INDEX(F!$P$21:$AB$33, MATCH(S697/$AH697, F!$O$21:$O$33,1), MATCH(E697, F!$P$20:$AB$20,1)),0)  + IFERROR(Y697*INDEX(F!$P$21:$AB$33, MATCH(W697/$AH697, F!$O$21:$O$33,1), MATCH(E697, F!$P$20:$AB$20,1)),0)  + IFERROR( AC697*INDEX(F!$P$21:$AB$33, MATCH(AA697/$AH697, F!$O$21:$O$33,1), MATCH(E697, F!$P$20:$AB$20,1)),)</f>
        <v>0</v>
      </c>
      <c r="AL697" s="59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ht="15.75" hidden="1" customHeight="1">
      <c r="A698" s="59"/>
      <c r="B698" s="173" t="str">
        <f t="shared" ref="B698:F698" si="1394">IF(B642="","",B642)</f>
        <v>Средняя</v>
      </c>
      <c r="C698" s="174" t="str">
        <f t="shared" si="1394"/>
        <v>ОФП</v>
      </c>
      <c r="D698" s="175" t="str">
        <f t="shared" si="1394"/>
        <v>Бицепс стоя</v>
      </c>
      <c r="E698" s="48">
        <f t="shared" si="1394"/>
        <v>0.5</v>
      </c>
      <c r="F698" s="176" t="str">
        <f t="shared" si="1394"/>
        <v/>
      </c>
      <c r="G698" s="177" t="str">
        <f t="shared" si="1382"/>
        <v/>
      </c>
      <c r="H698" s="178"/>
      <c r="I698" s="178"/>
      <c r="J698" s="179"/>
      <c r="K698" s="177" t="str">
        <f t="shared" si="1383"/>
        <v/>
      </c>
      <c r="L698" s="178"/>
      <c r="M698" s="178"/>
      <c r="N698" s="179"/>
      <c r="O698" s="177" t="str">
        <f t="shared" si="1384"/>
        <v/>
      </c>
      <c r="P698" s="178"/>
      <c r="Q698" s="178"/>
      <c r="R698" s="179"/>
      <c r="S698" s="177" t="str">
        <f t="shared" si="1385"/>
        <v/>
      </c>
      <c r="T698" s="178"/>
      <c r="U698" s="178"/>
      <c r="V698" s="179"/>
      <c r="W698" s="177" t="str">
        <f t="shared" si="1386"/>
        <v/>
      </c>
      <c r="X698" s="178"/>
      <c r="Y698" s="178"/>
      <c r="Z698" s="179"/>
      <c r="AA698" s="177" t="str">
        <f t="shared" si="1387"/>
        <v/>
      </c>
      <c r="AB698" s="178"/>
      <c r="AC698" s="178"/>
      <c r="AD698" s="179"/>
      <c r="AE698" s="180">
        <f t="shared" si="1388"/>
        <v>0</v>
      </c>
      <c r="AF698" s="181">
        <f t="shared" si="1350"/>
        <v>0</v>
      </c>
      <c r="AG698" s="182">
        <f t="shared" si="1389"/>
        <v>0</v>
      </c>
      <c r="AH698" s="76" t="str">
        <f t="shared" si="1390"/>
        <v/>
      </c>
      <c r="AI698" s="181">
        <f> ( IF(ISNUMBER(G698), VLOOKUP(G698/$AH698,F!$A1:$B101,2,1)*G698*$H698*$I698,0)+IF(ISNUMBER(K698), VLOOKUP(K698/$AH698,F!$A1:$B101,2,1)*K698*$L698*$M698,0)+IF(ISNUMBER(O698), VLOOKUP(O698/$AH698,F!$A1:$B101,2,1)*O698*$P698*$Q698,0)+IF(ISNUMBER(S698), VLOOKUP(S698/$AH698,F!$A1:$B101,2,1)*S698*$T698*$U698,0)+IF(ISNUMBER(W698), VLOOKUP(W698/$AH698,F!$A1:$B101,2,1)*W698*$X698*$Y698,0)+IF(ISNUMBER(AA698), VLOOKUP(AA698/$AH698,F!$A1:$B101,2,1)*AA698*$AB698*$AC698,0))*IF(ISNUMBER(F698),F698,1)*IF(ISNUMBER(E698),E698,1)</f>
        <v>0</v>
      </c>
      <c r="AJ698" s="178">
        <f t="shared" si="1391"/>
        <v>0</v>
      </c>
      <c r="AK698" s="183">
        <f t="array" ref="AK698">IFERROR(I698*INDEX(F!$P$21:$AB$33, MATCH(G698/$AH698, F!$O$21:$O$33,1), MATCH(E698, F!$P$20:$AB$20,1)), 0 ) +IFERROR( M698*INDEX(F!$P$21:$AB$33, MATCH(K698/$AH698, F!$O$21:$O$33,1), MATCH(E698, F!$P$20:$AB$20,1)),0) +  IFERROR( Q698*INDEX(F!$P$21:$AB$33, MATCH(O698/$AH698, F!$O$21:$O$33,1), MATCH(E698, F!$P$20:$AB$20,1)), 0) + IFERROR( U698*INDEX(F!$P$21:$AB$33, MATCH(S698/$AH698, F!$O$21:$O$33,1), MATCH(E698, F!$P$20:$AB$20,1)),0)  + IFERROR(Y698*INDEX(F!$P$21:$AB$33, MATCH(W698/$AH698, F!$O$21:$O$33,1), MATCH(E698, F!$P$20:$AB$20,1)),0)  + IFERROR( AC698*INDEX(F!$P$21:$AB$33, MATCH(AA698/$AH698, F!$O$21:$O$33,1), MATCH(E698, F!$P$20:$AB$20,1)),)</f>
        <v>0</v>
      </c>
      <c r="AL698" s="59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ht="15.75" hidden="1" customHeight="1">
      <c r="A699" s="59"/>
      <c r="B699" s="135" t="str">
        <f t="shared" ref="B699:F699" si="1395">IF(B643="","",B643)</f>
        <v/>
      </c>
      <c r="C699" s="136" t="str">
        <f t="shared" si="1395"/>
        <v/>
      </c>
      <c r="D699" s="137" t="str">
        <f t="shared" si="1395"/>
        <v/>
      </c>
      <c r="E699" s="48" t="str">
        <f t="shared" si="1395"/>
        <v/>
      </c>
      <c r="F699" s="138" t="str">
        <f t="shared" si="1395"/>
        <v/>
      </c>
      <c r="G699" s="139" t="str">
        <f t="shared" si="1382"/>
        <v/>
      </c>
      <c r="H699" s="140"/>
      <c r="I699" s="140"/>
      <c r="J699" s="141"/>
      <c r="K699" s="139" t="str">
        <f t="shared" si="1383"/>
        <v/>
      </c>
      <c r="L699" s="140"/>
      <c r="M699" s="140"/>
      <c r="N699" s="141"/>
      <c r="O699" s="139" t="str">
        <f t="shared" si="1384"/>
        <v/>
      </c>
      <c r="P699" s="140"/>
      <c r="Q699" s="140"/>
      <c r="R699" s="141"/>
      <c r="S699" s="139" t="str">
        <f t="shared" si="1385"/>
        <v/>
      </c>
      <c r="T699" s="140"/>
      <c r="U699" s="140"/>
      <c r="V699" s="141"/>
      <c r="W699" s="139" t="str">
        <f t="shared" si="1386"/>
        <v/>
      </c>
      <c r="X699" s="140"/>
      <c r="Y699" s="140"/>
      <c r="Z699" s="141"/>
      <c r="AA699" s="139" t="str">
        <f t="shared" si="1387"/>
        <v/>
      </c>
      <c r="AB699" s="140"/>
      <c r="AC699" s="140"/>
      <c r="AD699" s="141"/>
      <c r="AE699" s="142">
        <f t="shared" si="1388"/>
        <v>0</v>
      </c>
      <c r="AF699" s="143">
        <f t="shared" si="1350"/>
        <v>0</v>
      </c>
      <c r="AG699" s="144">
        <f t="shared" si="1389"/>
        <v>0</v>
      </c>
      <c r="AH699" s="76" t="str">
        <f t="shared" si="1390"/>
        <v/>
      </c>
      <c r="AI699" s="143">
        <f> ( IF(ISNUMBER(G699), VLOOKUP(G699/$AH699,F!$A1:$B101,2,1)*G699*$H699*$I699,0)+IF(ISNUMBER(K699), VLOOKUP(K699/$AH699,F!$A1:$B101,2,1)*K699*$L699*$M699,0)+IF(ISNUMBER(O699), VLOOKUP(O699/$AH699,F!$A1:$B101,2,1)*O699*$P699*$Q699,0)+IF(ISNUMBER(S699), VLOOKUP(S699/$AH699,F!$A1:$B101,2,1)*S699*$T699*$U699,0)+IF(ISNUMBER(W699), VLOOKUP(W699/$AH699,F!$A1:$B101,2,1)*W699*$X699*$Y699,0)+IF(ISNUMBER(AA699), VLOOKUP(AA699/$AH699,F!$A1:$B101,2,1)*AA699*$AB699*$AC699,0))*IF(ISNUMBER(F699),F699,1)*IF(ISNUMBER(E699),E699,1)</f>
        <v>0</v>
      </c>
      <c r="AJ699" s="140">
        <f t="shared" si="1391"/>
        <v>0</v>
      </c>
      <c r="AK699" s="145">
        <f t="array" ref="AK699">IFERROR(I699*INDEX(F!$P$21:$AB$33, MATCH(G699/$AH699, F!$O$21:$O$33,1), MATCH(E699, F!$P$20:$AB$20,1)), 0 ) +IFERROR( M699*INDEX(F!$P$21:$AB$33, MATCH(K699/$AH699, F!$O$21:$O$33,1), MATCH(E699, F!$P$20:$AB$20,1)),0) +  IFERROR( Q699*INDEX(F!$P$21:$AB$33, MATCH(O699/$AH699, F!$O$21:$O$33,1), MATCH(E699, F!$P$20:$AB$20,1)), 0) + IFERROR( U699*INDEX(F!$P$21:$AB$33, MATCH(S699/$AH699, F!$O$21:$O$33,1), MATCH(E699, F!$P$20:$AB$20,1)),0)  + IFERROR(Y699*INDEX(F!$P$21:$AB$33, MATCH(W699/$AH699, F!$O$21:$O$33,1), MATCH(E699, F!$P$20:$AB$20,1)),0)  + IFERROR( AC699*INDEX(F!$P$21:$AB$33, MATCH(AA699/$AH699, F!$O$21:$O$33,1), MATCH(E699, F!$P$20:$AB$20,1)),)</f>
        <v>0</v>
      </c>
      <c r="AL699" s="59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ht="15.75" hidden="1" customHeight="1">
      <c r="A700" s="59"/>
      <c r="B700" s="173" t="str">
        <f t="shared" ref="B700:F700" si="1396">IF(B644="","",B644)</f>
        <v/>
      </c>
      <c r="C700" s="174" t="str">
        <f t="shared" si="1396"/>
        <v/>
      </c>
      <c r="D700" s="175" t="str">
        <f t="shared" si="1396"/>
        <v/>
      </c>
      <c r="E700" s="48" t="str">
        <f t="shared" si="1396"/>
        <v/>
      </c>
      <c r="F700" s="176" t="str">
        <f t="shared" si="1396"/>
        <v/>
      </c>
      <c r="G700" s="177" t="str">
        <f t="shared" si="1382"/>
        <v/>
      </c>
      <c r="H700" s="178"/>
      <c r="I700" s="178"/>
      <c r="J700" s="179"/>
      <c r="K700" s="177" t="str">
        <f t="shared" si="1383"/>
        <v/>
      </c>
      <c r="L700" s="178"/>
      <c r="M700" s="178"/>
      <c r="N700" s="179"/>
      <c r="O700" s="177" t="str">
        <f t="shared" si="1384"/>
        <v/>
      </c>
      <c r="P700" s="178"/>
      <c r="Q700" s="178"/>
      <c r="R700" s="179"/>
      <c r="S700" s="177" t="str">
        <f t="shared" si="1385"/>
        <v/>
      </c>
      <c r="T700" s="178"/>
      <c r="U700" s="178"/>
      <c r="V700" s="179"/>
      <c r="W700" s="177" t="str">
        <f t="shared" si="1386"/>
        <v/>
      </c>
      <c r="X700" s="178"/>
      <c r="Y700" s="178"/>
      <c r="Z700" s="179"/>
      <c r="AA700" s="177" t="str">
        <f t="shared" si="1387"/>
        <v/>
      </c>
      <c r="AB700" s="178"/>
      <c r="AC700" s="178"/>
      <c r="AD700" s="179"/>
      <c r="AE700" s="180">
        <f t="shared" si="1388"/>
        <v>0</v>
      </c>
      <c r="AF700" s="181">
        <f t="shared" si="1350"/>
        <v>0</v>
      </c>
      <c r="AG700" s="182">
        <f t="shared" si="1389"/>
        <v>0</v>
      </c>
      <c r="AH700" s="76" t="str">
        <f t="shared" si="1390"/>
        <v/>
      </c>
      <c r="AI700" s="181">
        <f> ( IF(ISNUMBER(G700), VLOOKUP(G700/$AH700,F!$A1:$B101,2,1)*G700*$H700*$I700,0)+IF(ISNUMBER(K700), VLOOKUP(K700/$AH700,F!$A1:$B101,2,1)*K700*$L700*$M700,0)+IF(ISNUMBER(O700), VLOOKUP(O700/$AH700,F!$A1:$B101,2,1)*O700*$P700*$Q700,0)+IF(ISNUMBER(S700), VLOOKUP(S700/$AH700,F!$A1:$B101,2,1)*S700*$T700*$U700,0)+IF(ISNUMBER(W700), VLOOKUP(W700/$AH700,F!$A1:$B101,2,1)*W700*$X700*$Y700,0)+IF(ISNUMBER(AA700), VLOOKUP(AA700/$AH700,F!$A1:$B101,2,1)*AA700*$AB700*$AC700,0))*IF(ISNUMBER(F700),F700,1)*IF(ISNUMBER(E700),E700,1)</f>
        <v>0</v>
      </c>
      <c r="AJ700" s="178">
        <f t="shared" si="1391"/>
        <v>0</v>
      </c>
      <c r="AK700" s="183">
        <f t="array" ref="AK700">IFERROR(I700*INDEX(F!$P$21:$AB$33, MATCH(G700/$AH700, F!$O$21:$O$33,1), MATCH(E700, F!$P$20:$AB$20,1)), 0 ) +IFERROR( M700*INDEX(F!$P$21:$AB$33, MATCH(K700/$AH700, F!$O$21:$O$33,1), MATCH(E700, F!$P$20:$AB$20,1)),0) +  IFERROR( Q700*INDEX(F!$P$21:$AB$33, MATCH(O700/$AH700, F!$O$21:$O$33,1), MATCH(E700, F!$P$20:$AB$20,1)), 0) + IFERROR( U700*INDEX(F!$P$21:$AB$33, MATCH(S700/$AH700, F!$O$21:$O$33,1), MATCH(E700, F!$P$20:$AB$20,1)),0)  + IFERROR(Y700*INDEX(F!$P$21:$AB$33, MATCH(W700/$AH700, F!$O$21:$O$33,1), MATCH(E700, F!$P$20:$AB$20,1)),0)  + IFERROR( AC700*INDEX(F!$P$21:$AB$33, MATCH(AA700/$AH700, F!$O$21:$O$33,1), MATCH(E700, F!$P$20:$AB$20,1)),)</f>
        <v>0</v>
      </c>
      <c r="AL700" s="59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ht="15.75" hidden="1" customHeight="1">
      <c r="A701" s="59"/>
      <c r="B701" s="135" t="str">
        <f t="shared" ref="B701:F701" si="1397">IF(B645="","",B645)</f>
        <v/>
      </c>
      <c r="C701" s="136" t="str">
        <f t="shared" si="1397"/>
        <v/>
      </c>
      <c r="D701" s="137" t="str">
        <f t="shared" si="1397"/>
        <v/>
      </c>
      <c r="E701" s="48" t="str">
        <f t="shared" si="1397"/>
        <v/>
      </c>
      <c r="F701" s="138" t="str">
        <f t="shared" si="1397"/>
        <v/>
      </c>
      <c r="G701" s="139" t="str">
        <f t="shared" si="1382"/>
        <v/>
      </c>
      <c r="H701" s="140"/>
      <c r="I701" s="140"/>
      <c r="J701" s="141"/>
      <c r="K701" s="139" t="str">
        <f t="shared" si="1383"/>
        <v/>
      </c>
      <c r="L701" s="140"/>
      <c r="M701" s="140"/>
      <c r="N701" s="141"/>
      <c r="O701" s="139" t="str">
        <f t="shared" si="1384"/>
        <v/>
      </c>
      <c r="P701" s="140"/>
      <c r="Q701" s="140"/>
      <c r="R701" s="141"/>
      <c r="S701" s="139" t="str">
        <f t="shared" si="1385"/>
        <v/>
      </c>
      <c r="T701" s="140"/>
      <c r="U701" s="140"/>
      <c r="V701" s="141"/>
      <c r="W701" s="139" t="str">
        <f t="shared" si="1386"/>
        <v/>
      </c>
      <c r="X701" s="140"/>
      <c r="Y701" s="140"/>
      <c r="Z701" s="141"/>
      <c r="AA701" s="139" t="str">
        <f t="shared" si="1387"/>
        <v/>
      </c>
      <c r="AB701" s="140"/>
      <c r="AC701" s="140"/>
      <c r="AD701" s="141"/>
      <c r="AE701" s="142">
        <f t="shared" si="1388"/>
        <v>0</v>
      </c>
      <c r="AF701" s="143">
        <f t="shared" si="1350"/>
        <v>0</v>
      </c>
      <c r="AG701" s="144">
        <f t="shared" si="1389"/>
        <v>0</v>
      </c>
      <c r="AH701" s="76" t="str">
        <f t="shared" si="1390"/>
        <v/>
      </c>
      <c r="AI701" s="143">
        <f> ( IF(ISNUMBER(G701), VLOOKUP(G701/$AH701,F!$A1:$B101,2,1)*G701*$H701*$I701,0)+IF(ISNUMBER(K701), VLOOKUP(K701/$AH701,F!$A1:$B101,2,1)*K701*$L701*$M701,0)+IF(ISNUMBER(O701), VLOOKUP(O701/$AH701,F!$A1:$B101,2,1)*O701*$P701*$Q701,0)+IF(ISNUMBER(S701), VLOOKUP(S701/$AH701,F!$A1:$B101,2,1)*S701*$T701*$U701,0)+IF(ISNUMBER(W701), VLOOKUP(W701/$AH701,F!$A1:$B101,2,1)*W701*$X701*$Y701,0)+IF(ISNUMBER(AA701), VLOOKUP(AA701/$AH701,F!$A1:$B101,2,1)*AA701*$AB701*$AC701,0))*IF(ISNUMBER(F701),F701,1)*IF(ISNUMBER(E701),E701,1)</f>
        <v>0</v>
      </c>
      <c r="AJ701" s="140">
        <f t="shared" si="1391"/>
        <v>0</v>
      </c>
      <c r="AK701" s="145">
        <f t="array" ref="AK701">IFERROR(I701*INDEX(F!$P$21:$AB$33, MATCH(G701/$AH701, F!$O$21:$O$33,1), MATCH(E701, F!$P$20:$AB$20,1)), 0 ) +IFERROR( M701*INDEX(F!$P$21:$AB$33, MATCH(K701/$AH701, F!$O$21:$O$33,1), MATCH(E701, F!$P$20:$AB$20,1)),0) +  IFERROR( Q701*INDEX(F!$P$21:$AB$33, MATCH(O701/$AH701, F!$O$21:$O$33,1), MATCH(E701, F!$P$20:$AB$20,1)), 0) + IFERROR( U701*INDEX(F!$P$21:$AB$33, MATCH(S701/$AH701, F!$O$21:$O$33,1), MATCH(E701, F!$P$20:$AB$20,1)),0)  + IFERROR(Y701*INDEX(F!$P$21:$AB$33, MATCH(W701/$AH701, F!$O$21:$O$33,1), MATCH(E701, F!$P$20:$AB$20,1)),0)  + IFERROR( AC701*INDEX(F!$P$21:$AB$33, MATCH(AA701/$AH701, F!$O$21:$O$33,1), MATCH(E701, F!$P$20:$AB$20,1)),)</f>
        <v>0</v>
      </c>
      <c r="AL701" s="59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ht="15.75" hidden="1" customHeight="1">
      <c r="A702" s="98"/>
      <c r="B702" s="188"/>
      <c r="C702" s="189"/>
      <c r="D702" s="190"/>
      <c r="E702" s="102">
        <f>ROUND(IFERROR(SUMPRODUCT(AJ694:AJ701,E694:E701)/AJ702,0),3)</f>
        <v>0</v>
      </c>
      <c r="F702" s="191"/>
      <c r="G702" s="192"/>
      <c r="H702" s="193"/>
      <c r="I702" s="193"/>
      <c r="J702" s="194"/>
      <c r="K702" s="192"/>
      <c r="L702" s="193"/>
      <c r="M702" s="193"/>
      <c r="N702" s="194"/>
      <c r="O702" s="192"/>
      <c r="P702" s="193"/>
      <c r="Q702" s="193"/>
      <c r="R702" s="194"/>
      <c r="S702" s="192"/>
      <c r="T702" s="193"/>
      <c r="U702" s="193"/>
      <c r="V702" s="194"/>
      <c r="W702" s="192"/>
      <c r="X702" s="193"/>
      <c r="Y702" s="193"/>
      <c r="Z702" s="194"/>
      <c r="AA702" s="192"/>
      <c r="AB702" s="193"/>
      <c r="AC702" s="193"/>
      <c r="AD702" s="194"/>
      <c r="AE702" s="107">
        <f>SUM(AE694:AE701)</f>
        <v>0</v>
      </c>
      <c r="AF702" s="108">
        <f t="shared" si="1350"/>
        <v>0</v>
      </c>
      <c r="AG702" s="109">
        <f>IFERROR(  SUMPRODUCT(AG694:AG701,AJ694:AJ701)/AJ702,0)</f>
        <v>0</v>
      </c>
      <c r="AH702" s="157"/>
      <c r="AI702" s="111">
        <f t="shared" ref="AI702:AJ702" si="1398">SUM(AI694:AI701)</f>
        <v>0</v>
      </c>
      <c r="AJ702" s="111">
        <f t="shared" si="1398"/>
        <v>0</v>
      </c>
      <c r="AK702" s="112">
        <f>IF(SUM(AK694:AK701)=0,TIME(,0,),TIME(,SUM(AK694:AK701)+F!$V$37,))</f>
        <v>0</v>
      </c>
      <c r="AL702" s="98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ht="15.75" hidden="1" customHeight="1">
      <c r="A703" s="25">
        <f>A704</f>
        <v>43869</v>
      </c>
      <c r="B703" s="26" t="str">
        <f t="shared" ref="B703:F703" si="1399">IF(B647="","",B647)</f>
        <v/>
      </c>
      <c r="C703" s="27" t="str">
        <f t="shared" si="1399"/>
        <v/>
      </c>
      <c r="D703" s="28" t="str">
        <f t="shared" si="1399"/>
        <v/>
      </c>
      <c r="E703" s="29" t="str">
        <f t="shared" si="1399"/>
        <v/>
      </c>
      <c r="F703" s="30" t="str">
        <f t="shared" si="1399"/>
        <v/>
      </c>
      <c r="G703" s="31" t="str">
        <f t="shared" ref="G703:G710" si="1401">IF(J703&lt;&gt;0, IFERROR(IF( $F703=2,  MROUND($AH703*J703,1),    IF( OR($F703="",$F703=1),   MROUND($AH703*J703,2.5),  MROUND($AH703*J703, 0.1))), "" ), "")</f>
        <v/>
      </c>
      <c r="H703" s="32"/>
      <c r="I703" s="32"/>
      <c r="J703" s="33"/>
      <c r="K703" s="31" t="str">
        <f t="shared" ref="K703:K710" si="1402">IF(N703&lt;&gt;0, IFERROR(IF( $F703=2,  MROUND($AH703*N703,1),    IF( OR($F703="",$F703=1),   MROUND($AH703*N703,2.5),  MROUND($AH703*N703, 0.1))), "" ), "")</f>
        <v/>
      </c>
      <c r="L703" s="32"/>
      <c r="M703" s="32"/>
      <c r="N703" s="33"/>
      <c r="O703" s="31" t="str">
        <f t="shared" ref="O703:O710" si="1403">IF(R703&lt;&gt;0, IFERROR(IF( $F703=2,  MROUND($AH703*R703,1),    IF( OR($F703="",$F703=1),   MROUND($AH703*R703,2.5),  MROUND($AH703*R703, 0.1))), "" ), "")</f>
        <v/>
      </c>
      <c r="P703" s="32"/>
      <c r="Q703" s="32"/>
      <c r="R703" s="33"/>
      <c r="S703" s="31" t="str">
        <f t="shared" ref="S703:S710" si="1404">IF(V703&lt;&gt;0, IFERROR(IF( $F703=2,  MROUND($AH703*V703,1),    IF( OR($F703="",$F703=1),   MROUND($AH703*V703,2.5),  MROUND($AH703*V703, 0.1))), "" ), "")</f>
        <v/>
      </c>
      <c r="T703" s="32"/>
      <c r="U703" s="32"/>
      <c r="V703" s="33"/>
      <c r="W703" s="31" t="str">
        <f t="shared" ref="W703:W710" si="1405">IF(Z703&lt;&gt;0, IFERROR(IF( $F703=2,  MROUND($AH703*Z703,1),    IF( OR($F703="",$F703=1),   MROUND($AH703*Z703,2.5),  MROUND($AH703*Z703, 0.1))), "" ), "")</f>
        <v/>
      </c>
      <c r="X703" s="32"/>
      <c r="Y703" s="32"/>
      <c r="Z703" s="33"/>
      <c r="AA703" s="31" t="str">
        <f t="shared" ref="AA703:AA710" si="1406">IF(AD703&lt;&gt;0, IFERROR(IF( $F703=2,  MROUND($AH703*AD703,1),    IF( OR($F703="",$F703=1),   MROUND($AH703*AD703,2.5),  MROUND($AH703*AD703, 0.1))), "" ), "")</f>
        <v/>
      </c>
      <c r="AB703" s="32"/>
      <c r="AC703" s="32"/>
      <c r="AD703" s="33"/>
      <c r="AE703" s="35">
        <f t="shared" ref="AE703:AE710" si="1407">(IF(ISNUMBER(G703),G703,0)*H703*I703+IF(ISNUMBER(K703),K703,1)*L703*M703+IF(ISNUMBER(O703),O703,1)*P703*Q703+IF(ISNUMBER(S703),S703,1)*T703*U703+IF(ISNUMBER(W703),W703,1)*X703*Y703+IF(ISNUMBER(AA703),AA703,1)*AB703*AC703)*IF(ISNUMBER(F703),F703,1)</f>
        <v>0</v>
      </c>
      <c r="AF703" s="36">
        <f t="shared" si="1350"/>
        <v>0</v>
      </c>
      <c r="AG703" s="195">
        <f t="shared" ref="AG703:AG710" si="1408">IFERROR((AF703/(AH703*IF(ISNUMBER(F703),F703,1))),0)</f>
        <v>0</v>
      </c>
      <c r="AH703" s="169" t="str">
        <f t="shared" ref="AH703:AH710" si="1409">IF(ISNUMBER(AH647), AH647+(AH647*$AH$674),"")</f>
        <v/>
      </c>
      <c r="AI703" s="196">
        <f> ( IF(ISNUMBER(G703), VLOOKUP(G703/$AH703,F!$A1:$B101,2,1)*G703*$H703*$I703,0)+IF(ISNUMBER(K703), VLOOKUP(K703/$AH703,F!$A1:$B101,2,1)*K703*$L703*$M703,0)+IF(ISNUMBER(O703), VLOOKUP(O703/$AH703,F!$A1:$B101,2,1)*O703*$P703*$Q703,0)+IF(ISNUMBER(S703), VLOOKUP(S703/$AH703,F!$A1:$B101,2,1)*S703*$T703*$U703,0)+IF(ISNUMBER(W703), VLOOKUP(W703/$AH703,F!$A1:$B101,2,1)*W703*$X703*$Y703,0)+IF(ISNUMBER(AA703), VLOOKUP(AA703/$AH703,F!$A1:$B101,2,1)*AA703*$AB703*$AC703,0))*IF(ISNUMBER(F703),F703,1)*IF(ISNUMBER(E703),E703,1)</f>
        <v>0</v>
      </c>
      <c r="AJ703" s="40">
        <f t="shared" ref="AJ703:AJ710" si="1410">H703*I703+L703*M703+P703*Q703+T703*U703+X703*Y703+AB703*AC703</f>
        <v>0</v>
      </c>
      <c r="AK703" s="41">
        <f t="array" ref="AK703">IFERROR(I703*INDEX(F!$P$21:$AB$33, MATCH(G703/$AH703, F!$O$21:$O$33,1), MATCH(E703, F!$P$20:$AB$20,1)), 0 ) +IFERROR( M703*INDEX(F!$P$21:$AB$33, MATCH(K703/$AH703, F!$O$21:$O$33,1), MATCH(E703, F!$P$20:$AB$20,1)),0) +  IFERROR( Q703*INDEX(F!$P$21:$AB$33, MATCH(O703/$AH703, F!$O$21:$O$33,1), MATCH(E703, F!$P$20:$AB$20,1)), 0) + IFERROR( U703*INDEX(F!$P$21:$AB$33, MATCH(S703/$AH703, F!$O$21:$O$33,1), MATCH(E703, F!$P$20:$AB$20,1)),0)  + IFERROR(Y703*INDEX(F!$P$21:$AB$33, MATCH(W703/$AH703, F!$O$21:$O$33,1), MATCH(E703, F!$P$20:$AB$20,1)),0)  + IFERROR( AC703*INDEX(F!$P$21:$AB$33, MATCH(AA703/$AH703, F!$O$21:$O$33,1), MATCH(E703, F!$P$20:$AB$20,1)),)</f>
        <v>0</v>
      </c>
      <c r="AL703" s="42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ht="15.75" hidden="1" customHeight="1">
      <c r="A704" s="44">
        <f>A648+A618</f>
        <v>43869</v>
      </c>
      <c r="B704" s="45" t="str">
        <f t="shared" ref="B704:F704" si="1400">IF(B648="","",B648)</f>
        <v/>
      </c>
      <c r="C704" s="46" t="str">
        <f t="shared" si="1400"/>
        <v/>
      </c>
      <c r="D704" s="47" t="str">
        <f t="shared" si="1400"/>
        <v/>
      </c>
      <c r="E704" s="48" t="str">
        <f t="shared" si="1400"/>
        <v/>
      </c>
      <c r="F704" s="49" t="str">
        <f t="shared" si="1400"/>
        <v/>
      </c>
      <c r="G704" s="50" t="str">
        <f t="shared" si="1401"/>
        <v/>
      </c>
      <c r="H704" s="51"/>
      <c r="I704" s="51"/>
      <c r="J704" s="52"/>
      <c r="K704" s="50" t="str">
        <f t="shared" si="1402"/>
        <v/>
      </c>
      <c r="L704" s="51"/>
      <c r="M704" s="51"/>
      <c r="N704" s="52"/>
      <c r="O704" s="50" t="str">
        <f t="shared" si="1403"/>
        <v/>
      </c>
      <c r="P704" s="51"/>
      <c r="Q704" s="51"/>
      <c r="R704" s="52"/>
      <c r="S704" s="50" t="str">
        <f t="shared" si="1404"/>
        <v/>
      </c>
      <c r="T704" s="51"/>
      <c r="U704" s="51"/>
      <c r="V704" s="52"/>
      <c r="W704" s="50" t="str">
        <f t="shared" si="1405"/>
        <v/>
      </c>
      <c r="X704" s="51"/>
      <c r="Y704" s="51"/>
      <c r="Z704" s="52"/>
      <c r="AA704" s="50" t="str">
        <f t="shared" si="1406"/>
        <v/>
      </c>
      <c r="AB704" s="51"/>
      <c r="AC704" s="51"/>
      <c r="AD704" s="52"/>
      <c r="AE704" s="53">
        <f t="shared" si="1407"/>
        <v>0</v>
      </c>
      <c r="AF704" s="54">
        <f t="shared" si="1350"/>
        <v>0</v>
      </c>
      <c r="AG704" s="75">
        <f t="shared" si="1408"/>
        <v>0</v>
      </c>
      <c r="AH704" s="76" t="str">
        <f t="shared" si="1409"/>
        <v/>
      </c>
      <c r="AI704" s="77">
        <f> ( IF(ISNUMBER(G704), VLOOKUP(G704/$AH704,F!$A1:$B101,2,1)*G704*$H704*$I704,0)+IF(ISNUMBER(K704), VLOOKUP(K704/$AH704,F!$A1:$B101,2,1)*K704*$L704*$M704,0)+IF(ISNUMBER(O704), VLOOKUP(O704/$AH704,F!$A1:$B101,2,1)*O704*$P704*$Q704,0)+IF(ISNUMBER(S704), VLOOKUP(S704/$AH704,F!$A1:$B101,2,1)*S704*$T704*$U704,0)+IF(ISNUMBER(W704), VLOOKUP(W704/$AH704,F!$A1:$B101,2,1)*W704*$X704*$Y704,0)+IF(ISNUMBER(AA704), VLOOKUP(AA704/$AH704,F!$A1:$B101,2,1)*AA704*$AB704*$AC704,0))*IF(ISNUMBER(F704),F704,1)*IF(ISNUMBER(E704),E704,1)</f>
        <v>0</v>
      </c>
      <c r="AJ704" s="57">
        <f t="shared" si="1410"/>
        <v>0</v>
      </c>
      <c r="AK704" s="58">
        <f t="array" ref="AK704">IFERROR(I704*INDEX(F!$P$21:$AB$33, MATCH(G704/$AH704, F!$O$21:$O$33,1), MATCH(E704, F!$P$20:$AB$20,1)), 0 ) +IFERROR( M704*INDEX(F!$P$21:$AB$33, MATCH(K704/$AH704, F!$O$21:$O$33,1), MATCH(E704, F!$P$20:$AB$20,1)),0) +  IFERROR( Q704*INDEX(F!$P$21:$AB$33, MATCH(O704/$AH704, F!$O$21:$O$33,1), MATCH(E704, F!$P$20:$AB$20,1)), 0) + IFERROR( U704*INDEX(F!$P$21:$AB$33, MATCH(S704/$AH704, F!$O$21:$O$33,1), MATCH(E704, F!$P$20:$AB$20,1)),0)  + IFERROR(Y704*INDEX(F!$P$21:$AB$33, MATCH(W704/$AH704, F!$O$21:$O$33,1), MATCH(E704, F!$P$20:$AB$20,1)),0)  + IFERROR( AC704*INDEX(F!$P$21:$AB$33, MATCH(AA704/$AH704, F!$O$21:$O$33,1), MATCH(E704, F!$P$20:$AB$20,1)),)</f>
        <v>0</v>
      </c>
      <c r="AL704" s="59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ht="15.75" hidden="1" customHeight="1">
      <c r="A705" s="59"/>
      <c r="B705" s="60" t="str">
        <f t="shared" ref="B705:F705" si="1411">IF(B649="","",B649)</f>
        <v/>
      </c>
      <c r="C705" s="61" t="str">
        <f t="shared" si="1411"/>
        <v/>
      </c>
      <c r="D705" s="62" t="str">
        <f t="shared" si="1411"/>
        <v/>
      </c>
      <c r="E705" s="48" t="str">
        <f t="shared" si="1411"/>
        <v/>
      </c>
      <c r="F705" s="63" t="str">
        <f t="shared" si="1411"/>
        <v/>
      </c>
      <c r="G705" s="64" t="str">
        <f t="shared" si="1401"/>
        <v/>
      </c>
      <c r="H705" s="34"/>
      <c r="I705" s="34"/>
      <c r="J705" s="65"/>
      <c r="K705" s="64" t="str">
        <f t="shared" si="1402"/>
        <v/>
      </c>
      <c r="L705" s="34"/>
      <c r="M705" s="34"/>
      <c r="N705" s="65"/>
      <c r="O705" s="64" t="str">
        <f t="shared" si="1403"/>
        <v/>
      </c>
      <c r="P705" s="34"/>
      <c r="Q705" s="34"/>
      <c r="R705" s="65"/>
      <c r="S705" s="64" t="str">
        <f t="shared" si="1404"/>
        <v/>
      </c>
      <c r="T705" s="34"/>
      <c r="U705" s="34"/>
      <c r="V705" s="65"/>
      <c r="W705" s="64" t="str">
        <f t="shared" si="1405"/>
        <v/>
      </c>
      <c r="X705" s="34"/>
      <c r="Y705" s="34"/>
      <c r="Z705" s="65"/>
      <c r="AA705" s="64" t="str">
        <f t="shared" si="1406"/>
        <v/>
      </c>
      <c r="AB705" s="34"/>
      <c r="AC705" s="34"/>
      <c r="AD705" s="65"/>
      <c r="AE705" s="66">
        <f t="shared" si="1407"/>
        <v>0</v>
      </c>
      <c r="AF705" s="67">
        <f t="shared" si="1350"/>
        <v>0</v>
      </c>
      <c r="AG705" s="68">
        <f t="shared" si="1408"/>
        <v>0</v>
      </c>
      <c r="AH705" s="76" t="str">
        <f t="shared" si="1409"/>
        <v/>
      </c>
      <c r="AI705" s="70">
        <f> ( IF(ISNUMBER(G705), VLOOKUP(G705/$AH705,F!$A1:$B101,2,1)*G705*$H705*$I705,0)+IF(ISNUMBER(K705), VLOOKUP(K705/$AH705,F!$A1:$B101,2,1)*K705*$L705*$M705,0)+IF(ISNUMBER(O705), VLOOKUP(O705/$AH705,F!$A1:$B101,2,1)*O705*$P705*$Q705,0)+IF(ISNUMBER(S705), VLOOKUP(S705/$AH705,F!$A1:$B101,2,1)*S705*$T705*$U705,0)+IF(ISNUMBER(W705), VLOOKUP(W705/$AH705,F!$A1:$B101,2,1)*W705*$X705*$Y705,0)+IF(ISNUMBER(AA705), VLOOKUP(AA705/$AH705,F!$A1:$B101,2,1)*AA705*$AB705*$AC705,0))*IF(ISNUMBER(F705),F705,1)*IF(ISNUMBER(E705),E705,1)</f>
        <v>0</v>
      </c>
      <c r="AJ705" s="71">
        <f t="shared" si="1410"/>
        <v>0</v>
      </c>
      <c r="AK705" s="72">
        <f t="array" ref="AK705">IFERROR(I705*INDEX(F!$P$21:$AB$33, MATCH(G705/$AH705, F!$O$21:$O$33,1), MATCH(E705, F!$P$20:$AB$20,1)), 0 ) +IFERROR( M705*INDEX(F!$P$21:$AB$33, MATCH(K705/$AH705, F!$O$21:$O$33,1), MATCH(E705, F!$P$20:$AB$20,1)),0) +  IFERROR( Q705*INDEX(F!$P$21:$AB$33, MATCH(O705/$AH705, F!$O$21:$O$33,1), MATCH(E705, F!$P$20:$AB$20,1)), 0) + IFERROR( U705*INDEX(F!$P$21:$AB$33, MATCH(S705/$AH705, F!$O$21:$O$33,1), MATCH(E705, F!$P$20:$AB$20,1)),0)  + IFERROR(Y705*INDEX(F!$P$21:$AB$33, MATCH(W705/$AH705, F!$O$21:$O$33,1), MATCH(E705, F!$P$20:$AB$20,1)),0)  + IFERROR( AC705*INDEX(F!$P$21:$AB$33, MATCH(AA705/$AH705, F!$O$21:$O$33,1), MATCH(E705, F!$P$20:$AB$20,1)),)</f>
        <v>0</v>
      </c>
      <c r="AL705" s="59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ht="15.75" hidden="1" customHeight="1">
      <c r="A706" s="59"/>
      <c r="B706" s="215" t="str">
        <f t="shared" ref="B706:F706" si="1412">IF(B650="","",B650)</f>
        <v/>
      </c>
      <c r="C706" s="73" t="str">
        <f t="shared" si="1412"/>
        <v/>
      </c>
      <c r="D706" s="47" t="str">
        <f t="shared" si="1412"/>
        <v/>
      </c>
      <c r="E706" s="48" t="str">
        <f t="shared" si="1412"/>
        <v/>
      </c>
      <c r="F706" s="74" t="str">
        <f t="shared" si="1412"/>
        <v/>
      </c>
      <c r="G706" s="50" t="str">
        <f t="shared" si="1401"/>
        <v/>
      </c>
      <c r="H706" s="51"/>
      <c r="I706" s="51"/>
      <c r="J706" s="52"/>
      <c r="K706" s="50" t="str">
        <f t="shared" si="1402"/>
        <v/>
      </c>
      <c r="L706" s="51"/>
      <c r="M706" s="51"/>
      <c r="N706" s="52"/>
      <c r="O706" s="50" t="str">
        <f t="shared" si="1403"/>
        <v/>
      </c>
      <c r="P706" s="51"/>
      <c r="Q706" s="51"/>
      <c r="R706" s="52"/>
      <c r="S706" s="50" t="str">
        <f t="shared" si="1404"/>
        <v/>
      </c>
      <c r="T706" s="51"/>
      <c r="U706" s="51"/>
      <c r="V706" s="52"/>
      <c r="W706" s="50" t="str">
        <f t="shared" si="1405"/>
        <v/>
      </c>
      <c r="X706" s="51"/>
      <c r="Y706" s="51"/>
      <c r="Z706" s="52"/>
      <c r="AA706" s="50" t="str">
        <f t="shared" si="1406"/>
        <v/>
      </c>
      <c r="AB706" s="51"/>
      <c r="AC706" s="51"/>
      <c r="AD706" s="52"/>
      <c r="AE706" s="53">
        <f t="shared" si="1407"/>
        <v>0</v>
      </c>
      <c r="AF706" s="54">
        <f t="shared" si="1350"/>
        <v>0</v>
      </c>
      <c r="AG706" s="75">
        <f t="shared" si="1408"/>
        <v>0</v>
      </c>
      <c r="AH706" s="76" t="str">
        <f t="shared" si="1409"/>
        <v/>
      </c>
      <c r="AI706" s="77">
        <f> ( IF(ISNUMBER(G706), VLOOKUP(G706/$AH706,F!$A1:$B101,2,1)*G706*$H706*$I706,0)+IF(ISNUMBER(K706), VLOOKUP(K706/$AH706,F!$A1:$B101,2,1)*K706*$L706*$M706,0)+IF(ISNUMBER(O706), VLOOKUP(O706/$AH706,F!$A1:$B101,2,1)*O706*$P706*$Q706,0)+IF(ISNUMBER(S706), VLOOKUP(S706/$AH706,F!$A1:$B101,2,1)*S706*$T706*$U706,0)+IF(ISNUMBER(W706), VLOOKUP(W706/$AH706,F!$A1:$B101,2,1)*W706*$X706*$Y706,0)+IF(ISNUMBER(AA706), VLOOKUP(AA706/$AH706,F!$A1:$B101,2,1)*AA706*$AB706*$AC706,0))*IF(ISNUMBER(F706),F706,1)*IF(ISNUMBER(E706),E706,1)</f>
        <v>0</v>
      </c>
      <c r="AJ706" s="57">
        <f t="shared" si="1410"/>
        <v>0</v>
      </c>
      <c r="AK706" s="58">
        <f t="array" ref="AK706">IFERROR(I706*INDEX(F!$P$21:$AB$33, MATCH(G706/$AH706, F!$O$21:$O$33,1), MATCH(E706, F!$P$20:$AB$20,1)), 0 ) +IFERROR( M706*INDEX(F!$P$21:$AB$33, MATCH(K706/$AH706, F!$O$21:$O$33,1), MATCH(E706, F!$P$20:$AB$20,1)),0) +  IFERROR( Q706*INDEX(F!$P$21:$AB$33, MATCH(O706/$AH706, F!$O$21:$O$33,1), MATCH(E706, F!$P$20:$AB$20,1)), 0) + IFERROR( U706*INDEX(F!$P$21:$AB$33, MATCH(S706/$AH706, F!$O$21:$O$33,1), MATCH(E706, F!$P$20:$AB$20,1)),0)  + IFERROR(Y706*INDEX(F!$P$21:$AB$33, MATCH(W706/$AH706, F!$O$21:$O$33,1), MATCH(E706, F!$P$20:$AB$20,1)),0)  + IFERROR( AC706*INDEX(F!$P$21:$AB$33, MATCH(AA706/$AH706, F!$O$21:$O$33,1), MATCH(E706, F!$P$20:$AB$20,1)),)</f>
        <v>0</v>
      </c>
      <c r="AL706" s="59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ht="15.75" hidden="1" customHeight="1">
      <c r="A707" s="59"/>
      <c r="B707" s="216" t="str">
        <f t="shared" ref="B707:F707" si="1413">IF(B651="","",B651)</f>
        <v/>
      </c>
      <c r="C707" s="78" t="str">
        <f t="shared" si="1413"/>
        <v/>
      </c>
      <c r="D707" s="62" t="str">
        <f t="shared" si="1413"/>
        <v/>
      </c>
      <c r="E707" s="48" t="str">
        <f t="shared" si="1413"/>
        <v/>
      </c>
      <c r="F707" s="79" t="str">
        <f t="shared" si="1413"/>
        <v/>
      </c>
      <c r="G707" s="64" t="str">
        <f t="shared" si="1401"/>
        <v/>
      </c>
      <c r="H707" s="34"/>
      <c r="I707" s="34"/>
      <c r="J707" s="65"/>
      <c r="K707" s="64" t="str">
        <f t="shared" si="1402"/>
        <v/>
      </c>
      <c r="L707" s="34"/>
      <c r="M707" s="34"/>
      <c r="N707" s="65"/>
      <c r="O707" s="64" t="str">
        <f t="shared" si="1403"/>
        <v/>
      </c>
      <c r="P707" s="34"/>
      <c r="Q707" s="34"/>
      <c r="R707" s="65"/>
      <c r="S707" s="64" t="str">
        <f t="shared" si="1404"/>
        <v/>
      </c>
      <c r="T707" s="34"/>
      <c r="U707" s="34"/>
      <c r="V707" s="65"/>
      <c r="W707" s="64" t="str">
        <f t="shared" si="1405"/>
        <v/>
      </c>
      <c r="X707" s="34"/>
      <c r="Y707" s="34"/>
      <c r="Z707" s="65"/>
      <c r="AA707" s="64" t="str">
        <f t="shared" si="1406"/>
        <v/>
      </c>
      <c r="AB707" s="34"/>
      <c r="AC707" s="34"/>
      <c r="AD707" s="65"/>
      <c r="AE707" s="66">
        <f t="shared" si="1407"/>
        <v>0</v>
      </c>
      <c r="AF707" s="67">
        <f t="shared" si="1350"/>
        <v>0</v>
      </c>
      <c r="AG707" s="68">
        <f t="shared" si="1408"/>
        <v>0</v>
      </c>
      <c r="AH707" s="76" t="str">
        <f t="shared" si="1409"/>
        <v/>
      </c>
      <c r="AI707" s="70">
        <f> ( IF(ISNUMBER(G707), VLOOKUP(G707/$AH707,F!$A1:$B101,2,1)*G707*$H707*$I707,0)+IF(ISNUMBER(K707), VLOOKUP(K707/$AH707,F!$A1:$B101,2,1)*K707*$L707*$M707,0)+IF(ISNUMBER(O707), VLOOKUP(O707/$AH707,F!$A1:$B101,2,1)*O707*$P707*$Q707,0)+IF(ISNUMBER(S707), VLOOKUP(S707/$AH707,F!$A1:$B101,2,1)*S707*$T707*$U707,0)+IF(ISNUMBER(W707), VLOOKUP(W707/$AH707,F!$A1:$B101,2,1)*W707*$X707*$Y707,0)+IF(ISNUMBER(AA707), VLOOKUP(AA707/$AH707,F!$A1:$B101,2,1)*AA707*$AB707*$AC707,0))*IF(ISNUMBER(F707),F707,1)*IF(ISNUMBER(E707),E707,1)</f>
        <v>0</v>
      </c>
      <c r="AJ707" s="71">
        <f t="shared" si="1410"/>
        <v>0</v>
      </c>
      <c r="AK707" s="72">
        <f t="array" ref="AK707">IFERROR(I707*INDEX(F!$P$21:$AB$33, MATCH(G707/$AH707, F!$O$21:$O$33,1), MATCH(E707, F!$P$20:$AB$20,1)), 0 ) +IFERROR( M707*INDEX(F!$P$21:$AB$33, MATCH(K707/$AH707, F!$O$21:$O$33,1), MATCH(E707, F!$P$20:$AB$20,1)),0) +  IFERROR( Q707*INDEX(F!$P$21:$AB$33, MATCH(O707/$AH707, F!$O$21:$O$33,1), MATCH(E707, F!$P$20:$AB$20,1)), 0) + IFERROR( U707*INDEX(F!$P$21:$AB$33, MATCH(S707/$AH707, F!$O$21:$O$33,1), MATCH(E707, F!$P$20:$AB$20,1)),0)  + IFERROR(Y707*INDEX(F!$P$21:$AB$33, MATCH(W707/$AH707, F!$O$21:$O$33,1), MATCH(E707, F!$P$20:$AB$20,1)),0)  + IFERROR( AC707*INDEX(F!$P$21:$AB$33, MATCH(AA707/$AH707, F!$O$21:$O$33,1), MATCH(E707, F!$P$20:$AB$20,1)),)</f>
        <v>0</v>
      </c>
      <c r="AL707" s="59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ht="15.75" hidden="1" customHeight="1">
      <c r="A708" s="59"/>
      <c r="B708" s="45" t="str">
        <f t="shared" ref="B708:F708" si="1414">IF(B652="","",B652)</f>
        <v/>
      </c>
      <c r="C708" s="46" t="str">
        <f t="shared" si="1414"/>
        <v/>
      </c>
      <c r="D708" s="197" t="str">
        <f t="shared" si="1414"/>
        <v/>
      </c>
      <c r="E708" s="48" t="str">
        <f t="shared" si="1414"/>
        <v/>
      </c>
      <c r="F708" s="83" t="str">
        <f t="shared" si="1414"/>
        <v/>
      </c>
      <c r="G708" s="50" t="str">
        <f t="shared" si="1401"/>
        <v/>
      </c>
      <c r="H708" s="51"/>
      <c r="I708" s="51"/>
      <c r="J708" s="52"/>
      <c r="K708" s="50" t="str">
        <f t="shared" si="1402"/>
        <v/>
      </c>
      <c r="L708" s="51"/>
      <c r="M708" s="51"/>
      <c r="N708" s="52"/>
      <c r="O708" s="50" t="str">
        <f t="shared" si="1403"/>
        <v/>
      </c>
      <c r="P708" s="51"/>
      <c r="Q708" s="51"/>
      <c r="R708" s="52"/>
      <c r="S708" s="50" t="str">
        <f t="shared" si="1404"/>
        <v/>
      </c>
      <c r="T708" s="51"/>
      <c r="U708" s="51"/>
      <c r="V708" s="52"/>
      <c r="W708" s="50" t="str">
        <f t="shared" si="1405"/>
        <v/>
      </c>
      <c r="X708" s="51"/>
      <c r="Y708" s="51"/>
      <c r="Z708" s="52"/>
      <c r="AA708" s="50" t="str">
        <f t="shared" si="1406"/>
        <v/>
      </c>
      <c r="AB708" s="51"/>
      <c r="AC708" s="51"/>
      <c r="AD708" s="52"/>
      <c r="AE708" s="53">
        <f t="shared" si="1407"/>
        <v>0</v>
      </c>
      <c r="AF708" s="54">
        <f t="shared" si="1350"/>
        <v>0</v>
      </c>
      <c r="AG708" s="75">
        <f t="shared" si="1408"/>
        <v>0</v>
      </c>
      <c r="AH708" s="76" t="str">
        <f t="shared" si="1409"/>
        <v/>
      </c>
      <c r="AI708" s="77">
        <f> ( IF(ISNUMBER(G708), VLOOKUP(G708/$AH708,F!$A1:$B101,2,1)*G708*$H708*$I708,0)+IF(ISNUMBER(K708), VLOOKUP(K708/$AH708,F!$A1:$B101,2,1)*K708*$L708*$M708,0)+IF(ISNUMBER(O708), VLOOKUP(O708/$AH708,F!$A1:$B101,2,1)*O708*$P708*$Q708,0)+IF(ISNUMBER(S708), VLOOKUP(S708/$AH708,F!$A1:$B101,2,1)*S708*$T708*$U708,0)+IF(ISNUMBER(W708), VLOOKUP(W708/$AH708,F!$A1:$B101,2,1)*W708*$X708*$Y708,0)+IF(ISNUMBER(AA708), VLOOKUP(AA708/$AH708,F!$A1:$B101,2,1)*AA708*$AB708*$AC708,0))*IF(ISNUMBER(F708),F708,1)*IF(ISNUMBER(E708),E708,1)</f>
        <v>0</v>
      </c>
      <c r="AJ708" s="86">
        <f t="shared" si="1410"/>
        <v>0</v>
      </c>
      <c r="AK708" s="58">
        <f t="array" ref="AK708">IFERROR(I708*INDEX(F!$P$21:$AB$33, MATCH(G708/$AH708, F!$O$21:$O$33,1), MATCH(E708, F!$P$20:$AB$20,1)), 0 ) +IFERROR( M708*INDEX(F!$P$21:$AB$33, MATCH(K708/$AH708, F!$O$21:$O$33,1), MATCH(E708, F!$P$20:$AB$20,1)),0) +  IFERROR( Q708*INDEX(F!$P$21:$AB$33, MATCH(O708/$AH708, F!$O$21:$O$33,1), MATCH(E708, F!$P$20:$AB$20,1)), 0) + IFERROR( U708*INDEX(F!$P$21:$AB$33, MATCH(S708/$AH708, F!$O$21:$O$33,1), MATCH(E708, F!$P$20:$AB$20,1)),0)  + IFERROR(Y708*INDEX(F!$P$21:$AB$33, MATCH(W708/$AH708, F!$O$21:$O$33,1), MATCH(E708, F!$P$20:$AB$20,1)),0)  + IFERROR( AC708*INDEX(F!$P$21:$AB$33, MATCH(AA708/$AH708, F!$O$21:$O$33,1), MATCH(E708, F!$P$20:$AB$20,1)),)</f>
        <v>0</v>
      </c>
      <c r="AL708" s="59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 ht="15.75" hidden="1" customHeight="1">
      <c r="A709" s="59"/>
      <c r="B709" s="60" t="str">
        <f t="shared" ref="B709:F709" si="1415">IF(B653="","",B653)</f>
        <v/>
      </c>
      <c r="C709" s="61" t="str">
        <f t="shared" si="1415"/>
        <v/>
      </c>
      <c r="D709" s="198" t="str">
        <f t="shared" si="1415"/>
        <v/>
      </c>
      <c r="E709" s="48" t="str">
        <f t="shared" si="1415"/>
        <v/>
      </c>
      <c r="F709" s="79" t="str">
        <f t="shared" si="1415"/>
        <v/>
      </c>
      <c r="G709" s="64" t="str">
        <f t="shared" si="1401"/>
        <v/>
      </c>
      <c r="H709" s="34"/>
      <c r="I709" s="34"/>
      <c r="J709" s="65"/>
      <c r="K709" s="64" t="str">
        <f t="shared" si="1402"/>
        <v/>
      </c>
      <c r="L709" s="34"/>
      <c r="M709" s="34"/>
      <c r="N709" s="65"/>
      <c r="O709" s="64" t="str">
        <f t="shared" si="1403"/>
        <v/>
      </c>
      <c r="P709" s="34"/>
      <c r="Q709" s="34"/>
      <c r="R709" s="65"/>
      <c r="S709" s="64" t="str">
        <f t="shared" si="1404"/>
        <v/>
      </c>
      <c r="T709" s="34"/>
      <c r="U709" s="34"/>
      <c r="V709" s="65"/>
      <c r="W709" s="64" t="str">
        <f t="shared" si="1405"/>
        <v/>
      </c>
      <c r="X709" s="34"/>
      <c r="Y709" s="34"/>
      <c r="Z709" s="65"/>
      <c r="AA709" s="64" t="str">
        <f t="shared" si="1406"/>
        <v/>
      </c>
      <c r="AB709" s="34"/>
      <c r="AC709" s="34"/>
      <c r="AD709" s="65"/>
      <c r="AE709" s="66">
        <f t="shared" si="1407"/>
        <v>0</v>
      </c>
      <c r="AF709" s="67">
        <f t="shared" si="1350"/>
        <v>0</v>
      </c>
      <c r="AG709" s="68">
        <f t="shared" si="1408"/>
        <v>0</v>
      </c>
      <c r="AH709" s="76" t="str">
        <f t="shared" si="1409"/>
        <v/>
      </c>
      <c r="AI709" s="90">
        <f> ( IF(ISNUMBER(G709), VLOOKUP(G709/$AH709,F!$A1:$B101,2,1)*G709*$H709*$I709,0)+IF(ISNUMBER(K709), VLOOKUP(K709/$AH709,F!$A1:$B101,2,1)*K709*$L709*$M709,0)+IF(ISNUMBER(O709), VLOOKUP(O709/$AH709,F!$A1:$B101,2,1)*O709*$P709*$Q709,0)+IF(ISNUMBER(S709), VLOOKUP(S709/$AH709,F!$A1:$B101,2,1)*S709*$T709*$U709,0)+IF(ISNUMBER(W709), VLOOKUP(W709/$AH709,F!$A1:$B101,2,1)*W709*$X709*$Y709,0)+IF(ISNUMBER(AA709), VLOOKUP(AA709/$AH709,F!$A1:$B101,2,1)*AA709*$AB709*$AC709,0))*IF(ISNUMBER(F709),F709,1)*IF(ISNUMBER(E709),E709,1)</f>
        <v>0</v>
      </c>
      <c r="AJ709" s="34">
        <f t="shared" si="1410"/>
        <v>0</v>
      </c>
      <c r="AK709" s="91">
        <f t="array" ref="AK709">IFERROR(I709*INDEX(F!$P$21:$AB$33, MATCH(G709/$AH709, F!$O$21:$O$33,1), MATCH(E709, F!$P$20:$AB$20,1)), 0 ) +IFERROR( M709*INDEX(F!$P$21:$AB$33, MATCH(K709/$AH709, F!$O$21:$O$33,1), MATCH(E709, F!$P$20:$AB$20,1)),0) +  IFERROR( Q709*INDEX(F!$P$21:$AB$33, MATCH(O709/$AH709, F!$O$21:$O$33,1), MATCH(E709, F!$P$20:$AB$20,1)), 0) + IFERROR( U709*INDEX(F!$P$21:$AB$33, MATCH(S709/$AH709, F!$O$21:$O$33,1), MATCH(E709, F!$P$20:$AB$20,1)),0)  + IFERROR(Y709*INDEX(F!$P$21:$AB$33, MATCH(W709/$AH709, F!$O$21:$O$33,1), MATCH(E709, F!$P$20:$AB$20,1)),0)  + IFERROR( AC709*INDEX(F!$P$21:$AB$33, MATCH(AA709/$AH709, F!$O$21:$O$33,1), MATCH(E709, F!$P$20:$AB$20,1)),)</f>
        <v>0</v>
      </c>
      <c r="AL709" s="59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 ht="15.75" hidden="1" customHeight="1">
      <c r="A710" s="59"/>
      <c r="B710" s="45" t="str">
        <f t="shared" ref="B710:F710" si="1416">IF(B654="","",B654)</f>
        <v/>
      </c>
      <c r="C710" s="46" t="str">
        <f t="shared" si="1416"/>
        <v/>
      </c>
      <c r="D710" s="92" t="str">
        <f t="shared" si="1416"/>
        <v/>
      </c>
      <c r="E710" s="48" t="str">
        <f t="shared" si="1416"/>
        <v/>
      </c>
      <c r="F710" s="74" t="str">
        <f t="shared" si="1416"/>
        <v/>
      </c>
      <c r="G710" s="50" t="str">
        <f t="shared" si="1401"/>
        <v/>
      </c>
      <c r="H710" s="51"/>
      <c r="I710" s="51"/>
      <c r="J710" s="52"/>
      <c r="K710" s="50" t="str">
        <f t="shared" si="1402"/>
        <v/>
      </c>
      <c r="L710" s="51"/>
      <c r="M710" s="51"/>
      <c r="N710" s="52"/>
      <c r="O710" s="50" t="str">
        <f t="shared" si="1403"/>
        <v/>
      </c>
      <c r="P710" s="51"/>
      <c r="Q710" s="51"/>
      <c r="R710" s="52"/>
      <c r="S710" s="50" t="str">
        <f t="shared" si="1404"/>
        <v/>
      </c>
      <c r="T710" s="51"/>
      <c r="U710" s="51"/>
      <c r="V710" s="52"/>
      <c r="W710" s="50" t="str">
        <f t="shared" si="1405"/>
        <v/>
      </c>
      <c r="X710" s="51"/>
      <c r="Y710" s="51"/>
      <c r="Z710" s="52"/>
      <c r="AA710" s="50" t="str">
        <f t="shared" si="1406"/>
        <v/>
      </c>
      <c r="AB710" s="51"/>
      <c r="AC710" s="51"/>
      <c r="AD710" s="52"/>
      <c r="AE710" s="53">
        <f t="shared" si="1407"/>
        <v>0</v>
      </c>
      <c r="AF710" s="93">
        <f t="shared" si="1350"/>
        <v>0</v>
      </c>
      <c r="AG710" s="94">
        <f t="shared" si="1408"/>
        <v>0</v>
      </c>
      <c r="AH710" s="76" t="str">
        <f t="shared" si="1409"/>
        <v/>
      </c>
      <c r="AI710" s="95">
        <f> ( IF(ISNUMBER(G710), VLOOKUP(G710/$AH710,F!$A1:$B101,2,1)*G710*$H710*$I710,0)+IF(ISNUMBER(K710), VLOOKUP(K710/$AH710,F!$A1:$B101,2,1)*K710*$L710*$M710,0)+IF(ISNUMBER(O710), VLOOKUP(O710/$AH710,F!$A1:$B101,2,1)*O710*$P710*$Q710,0)+IF(ISNUMBER(S710), VLOOKUP(S710/$AH710,F!$A1:$B101,2,1)*S710*$T710*$U710,0)+IF(ISNUMBER(W710), VLOOKUP(W710/$AH710,F!$A1:$B101,2,1)*W710*$X710*$Y710,0)+IF(ISNUMBER(AA710), VLOOKUP(AA710/$AH710,F!$A1:$B101,2,1)*AA710*$AB710*$AC710,0))*IF(ISNUMBER(F710),F710,1)*IF(ISNUMBER(E710),E710,1)</f>
        <v>0</v>
      </c>
      <c r="AJ710" s="96">
        <f t="shared" si="1410"/>
        <v>0</v>
      </c>
      <c r="AK710" s="97">
        <f t="array" ref="AK710">IFERROR(I710*INDEX(F!$P$21:$AB$33, MATCH(G710/$AH710, F!$O$21:$O$33,1), MATCH(E710, F!$P$20:$AB$20,1)), 0 ) +IFERROR( M710*INDEX(F!$P$21:$AB$33, MATCH(K710/$AH710, F!$O$21:$O$33,1), MATCH(E710, F!$P$20:$AB$20,1)),0) +  IFERROR( Q710*INDEX(F!$P$21:$AB$33, MATCH(O710/$AH710, F!$O$21:$O$33,1), MATCH(E710, F!$P$20:$AB$20,1)), 0) + IFERROR( U710*INDEX(F!$P$21:$AB$33, MATCH(S710/$AH710, F!$O$21:$O$33,1), MATCH(E710, F!$P$20:$AB$20,1)),0)  + IFERROR(Y710*INDEX(F!$P$21:$AB$33, MATCH(W710/$AH710, F!$O$21:$O$33,1), MATCH(E710, F!$P$20:$AB$20,1)),0)  + IFERROR( AC710*INDEX(F!$P$21:$AB$33, MATCH(AA710/$AH710, F!$O$21:$O$33,1), MATCH(E710, F!$P$20:$AB$20,1)),)</f>
        <v>0</v>
      </c>
      <c r="AL710" s="59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 ht="15.75" hidden="1" customHeight="1">
      <c r="A711" s="98"/>
      <c r="B711" s="99"/>
      <c r="C711" s="100"/>
      <c r="D711" s="101"/>
      <c r="E711" s="102">
        <f>ROUND(IFERROR(SUMPRODUCT(AJ703:AJ710,E703:E710)/AJ711,0),3)</f>
        <v>0</v>
      </c>
      <c r="F711" s="199"/>
      <c r="G711" s="104"/>
      <c r="H711" s="105"/>
      <c r="I711" s="105"/>
      <c r="J711" s="106"/>
      <c r="K711" s="104"/>
      <c r="L711" s="105"/>
      <c r="M711" s="105"/>
      <c r="N711" s="106"/>
      <c r="O711" s="104"/>
      <c r="P711" s="105"/>
      <c r="Q711" s="105"/>
      <c r="R711" s="106"/>
      <c r="S711" s="104"/>
      <c r="T711" s="105"/>
      <c r="U711" s="105"/>
      <c r="V711" s="106"/>
      <c r="W711" s="104"/>
      <c r="X711" s="105"/>
      <c r="Y711" s="105"/>
      <c r="Z711" s="106"/>
      <c r="AA711" s="104"/>
      <c r="AB711" s="105"/>
      <c r="AC711" s="105"/>
      <c r="AD711" s="106"/>
      <c r="AE711" s="107">
        <f>SUM(AE703:AE710)</f>
        <v>0</v>
      </c>
      <c r="AF711" s="108">
        <f t="shared" si="1350"/>
        <v>0</v>
      </c>
      <c r="AG711" s="109">
        <f>IFERROR(  SUMPRODUCT(AG703:AG710,AJ703:AJ710)/AJ711,0)</f>
        <v>0</v>
      </c>
      <c r="AH711" s="157"/>
      <c r="AI711" s="111">
        <f t="shared" ref="AI711:AJ711" si="1417">SUM(AI703:AI710)</f>
        <v>0</v>
      </c>
      <c r="AJ711" s="111">
        <f t="shared" si="1417"/>
        <v>0</v>
      </c>
      <c r="AK711" s="112">
        <f>IF(SUM(AK703:AK710)=0,TIME(,0,),TIME(,SUM(AK703:AK710)+F!$V$37,))</f>
        <v>0</v>
      </c>
      <c r="AL711" s="98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 ht="15.75" hidden="1" customHeight="1">
      <c r="A712" s="113">
        <f>A713</f>
        <v>43870</v>
      </c>
      <c r="B712" s="114" t="str">
        <f t="shared" ref="B712:F712" si="1418">IF(B656="","",B656)</f>
        <v/>
      </c>
      <c r="C712" s="115" t="str">
        <f t="shared" si="1418"/>
        <v/>
      </c>
      <c r="D712" s="116" t="str">
        <f t="shared" si="1418"/>
        <v/>
      </c>
      <c r="E712" s="29" t="str">
        <f t="shared" si="1418"/>
        <v/>
      </c>
      <c r="F712" s="117" t="str">
        <f t="shared" si="1418"/>
        <v/>
      </c>
      <c r="G712" s="118" t="str">
        <f t="shared" ref="G712:G719" si="1420">IF(J712&lt;&gt;0, IFERROR(IF( $F712=2,  MROUND($AH712*J712,1),    IF( OR($F712="",$F712=1),   MROUND($AH712*J712,2.5),  MROUND($AH712*J712, 0.1))), "" ), "")</f>
        <v/>
      </c>
      <c r="H712" s="119"/>
      <c r="I712" s="119"/>
      <c r="J712" s="120"/>
      <c r="K712" s="118" t="str">
        <f t="shared" ref="K712:K719" si="1421">IF(N712&lt;&gt;0, IFERROR(IF( $F712=2,  MROUND($AH712*N712,1),    IF( OR($F712="",$F712=1),   MROUND($AH712*N712,2.5),  MROUND($AH712*N712, 0.1))), "" ), "")</f>
        <v/>
      </c>
      <c r="L712" s="119"/>
      <c r="M712" s="119"/>
      <c r="N712" s="120"/>
      <c r="O712" s="118" t="str">
        <f t="shared" ref="O712:O719" si="1422">IF(R712&lt;&gt;0, IFERROR(IF( $F712=2,  MROUND($AH712*R712,1),    IF( OR($F712="",$F712=1),   MROUND($AH712*R712,2.5),  MROUND($AH712*R712, 0.1))), "" ), "")</f>
        <v/>
      </c>
      <c r="P712" s="119"/>
      <c r="Q712" s="119"/>
      <c r="R712" s="120"/>
      <c r="S712" s="118" t="str">
        <f t="shared" ref="S712:S719" si="1423">IF(V712&lt;&gt;0, IFERROR(IF( $F712=2,  MROUND($AH712*V712,1),    IF( OR($F712="",$F712=1),   MROUND($AH712*V712,2.5),  MROUND($AH712*V712, 0.1))), "" ), "")</f>
        <v/>
      </c>
      <c r="T712" s="119"/>
      <c r="U712" s="119"/>
      <c r="V712" s="120"/>
      <c r="W712" s="118" t="str">
        <f t="shared" ref="W712:W719" si="1424">IF(Z712&lt;&gt;0, IFERROR(IF( $F712=2,  MROUND($AH712*Z712,1),    IF( OR($F712="",$F712=1),   MROUND($AH712*Z712,2.5),  MROUND($AH712*Z712, 0.1))), "" ), "")</f>
        <v/>
      </c>
      <c r="X712" s="119"/>
      <c r="Y712" s="119"/>
      <c r="Z712" s="120"/>
      <c r="AA712" s="118" t="str">
        <f t="shared" ref="AA712:AA719" si="1425">IF(AD712&lt;&gt;0, IFERROR(IF( $F712=2,  MROUND($AH712*AD712,1),    IF( OR($F712="",$F712=1),   MROUND($AH712*AD712,2.5),  MROUND($AH712*AD712, 0.1))), "" ), "")</f>
        <v/>
      </c>
      <c r="AB712" s="119"/>
      <c r="AC712" s="119"/>
      <c r="AD712" s="120"/>
      <c r="AE712" s="121">
        <f t="shared" ref="AE712:AE719" si="1426">(IF(ISNUMBER(G712),G712,0)*H712*I712+IF(ISNUMBER(K712),K712,1)*L712*M712+IF(ISNUMBER(O712),O712,1)*P712*Q712+IF(ISNUMBER(S712),S712,1)*T712*U712+IF(ISNUMBER(W712),W712,1)*X712*Y712+IF(ISNUMBER(AA712),AA712,1)*AB712*AC712)*IF(ISNUMBER(F712),F712,1)</f>
        <v>0</v>
      </c>
      <c r="AF712" s="122">
        <f t="shared" si="1350"/>
        <v>0</v>
      </c>
      <c r="AG712" s="200">
        <f t="shared" ref="AG712:AG719" si="1427">IFERROR((AF712/(AH712*IF(ISNUMBER(F712),F712,1))),0)</f>
        <v>0</v>
      </c>
      <c r="AH712" s="169" t="str">
        <f t="shared" ref="AH712:AH719" si="1428">IF(ISNUMBER(AH656), AH656+(AH656*$AH$674),"")</f>
        <v/>
      </c>
      <c r="AI712" s="122">
        <f> ( IF(ISNUMBER(G712), VLOOKUP(G712/$AH712,F!$A1:$B101,2,1)*G712*$H712*$I712,0)+IF(ISNUMBER(K712), VLOOKUP(K712/$AH712,F!$A1:$B101,2,1)*K712*$L712*$M712,0)+IF(ISNUMBER(O712), VLOOKUP(O712/$AH712,F!$A1:$B101,2,1)*O712*$P712*$Q712,0)+IF(ISNUMBER(S712), VLOOKUP(S712/$AH712,F!$A1:$B101,2,1)*S712*$T712*$U712,0)+IF(ISNUMBER(W712), VLOOKUP(W712/$AH712,F!$A1:$B101,2,1)*W712*$X712*$Y712,0)+IF(ISNUMBER(AA712), VLOOKUP(AA712/$AH712,F!$A1:$B101,2,1)*AA712*$AB712*$AC712,0))*IF(ISNUMBER(F712),F712,1)*IF(ISNUMBER(E712),E712,1)</f>
        <v>0</v>
      </c>
      <c r="AJ712" s="119">
        <f t="shared" ref="AJ712:AJ719" si="1429">H712*I712+L712*M712+P712*Q712+T712*U712+X712*Y712+AB712*AC712</f>
        <v>0</v>
      </c>
      <c r="AK712" s="125">
        <f t="array" ref="AK712">IFERROR(I712*INDEX(F!$P$21:$AB$33, MATCH(G712/$AH712, F!$O$21:$O$33,1), MATCH(E712, F!$P$20:$AB$20,1)), 0 ) +IFERROR( M712*INDEX(F!$P$21:$AB$33, MATCH(K712/$AH712, F!$O$21:$O$33,1), MATCH(E712, F!$P$20:$AB$20,1)),0) +  IFERROR( Q712*INDEX(F!$P$21:$AB$33, MATCH(O712/$AH712, F!$O$21:$O$33,1), MATCH(E712, F!$P$20:$AB$20,1)), 0) + IFERROR( U712*INDEX(F!$P$21:$AB$33, MATCH(S712/$AH712, F!$O$21:$O$33,1), MATCH(E712, F!$P$20:$AB$20,1)),0)  + IFERROR(Y712*INDEX(F!$P$21:$AB$33, MATCH(W712/$AH712, F!$O$21:$O$33,1), MATCH(E712, F!$P$20:$AB$20,1)),0)  + IFERROR( AC712*INDEX(F!$P$21:$AB$33, MATCH(AA712/$AH712, F!$O$21:$O$33,1), MATCH(E712, F!$P$20:$AB$20,1)),)</f>
        <v>0</v>
      </c>
      <c r="AL712" s="42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 ht="15.75" hidden="1" customHeight="1">
      <c r="A713" s="44">
        <f>A657+A618</f>
        <v>43870</v>
      </c>
      <c r="B713" s="126" t="str">
        <f t="shared" ref="B713:F713" si="1419">IF(B657="","",B657)</f>
        <v/>
      </c>
      <c r="C713" s="127" t="str">
        <f t="shared" si="1419"/>
        <v/>
      </c>
      <c r="D713" s="128" t="str">
        <f t="shared" si="1419"/>
        <v/>
      </c>
      <c r="E713" s="48" t="str">
        <f t="shared" si="1419"/>
        <v/>
      </c>
      <c r="F713" s="129" t="str">
        <f t="shared" si="1419"/>
        <v/>
      </c>
      <c r="G713" s="130" t="str">
        <f t="shared" si="1420"/>
        <v/>
      </c>
      <c r="H713" s="34"/>
      <c r="I713" s="34"/>
      <c r="J713" s="65"/>
      <c r="K713" s="130" t="str">
        <f t="shared" si="1421"/>
        <v/>
      </c>
      <c r="L713" s="34"/>
      <c r="M713" s="34"/>
      <c r="N713" s="65"/>
      <c r="O713" s="130" t="str">
        <f t="shared" si="1422"/>
        <v/>
      </c>
      <c r="P713" s="34"/>
      <c r="Q713" s="34"/>
      <c r="R713" s="65"/>
      <c r="S713" s="130" t="str">
        <f t="shared" si="1423"/>
        <v/>
      </c>
      <c r="T713" s="34"/>
      <c r="U713" s="34"/>
      <c r="V713" s="65"/>
      <c r="W713" s="130" t="str">
        <f t="shared" si="1424"/>
        <v/>
      </c>
      <c r="X713" s="34"/>
      <c r="Y713" s="34"/>
      <c r="Z713" s="65"/>
      <c r="AA713" s="130" t="str">
        <f t="shared" si="1425"/>
        <v/>
      </c>
      <c r="AB713" s="34"/>
      <c r="AC713" s="34"/>
      <c r="AD713" s="65"/>
      <c r="AE713" s="131">
        <f t="shared" si="1426"/>
        <v>0</v>
      </c>
      <c r="AF713" s="132">
        <f t="shared" si="1350"/>
        <v>0</v>
      </c>
      <c r="AG713" s="133">
        <f t="shared" si="1427"/>
        <v>0</v>
      </c>
      <c r="AH713" s="76" t="str">
        <f t="shared" si="1428"/>
        <v/>
      </c>
      <c r="AI713" s="132">
        <f> ( IF(ISNUMBER(G713), VLOOKUP(G713/$AH713,F!$A1:$B101,2,1)*G713*$H713*$I713,0)+IF(ISNUMBER(K713), VLOOKUP(K713/$AH713,F!$A1:$B101,2,1)*K713*$L713*$M713,0)+IF(ISNUMBER(O713), VLOOKUP(O713/$AH713,F!$A1:$B101,2,1)*O713*$P713*$Q713,0)+IF(ISNUMBER(S713), VLOOKUP(S713/$AH713,F!$A1:$B101,2,1)*S713*$T713*$U713,0)+IF(ISNUMBER(W713), VLOOKUP(W713/$AH713,F!$A1:$B101,2,1)*W713*$X713*$Y713,0)+IF(ISNUMBER(AA713), VLOOKUP(AA713/$AH713,F!$A1:$B101,2,1)*AA713*$AB713*$AC713,0))*IF(ISNUMBER(F713),F713,1)*IF(ISNUMBER(E713),E713,1)</f>
        <v>0</v>
      </c>
      <c r="AJ713" s="34">
        <f t="shared" si="1429"/>
        <v>0</v>
      </c>
      <c r="AK713" s="134">
        <f t="array" ref="AK713">IFERROR(I713*INDEX(F!$P$21:$AB$33, MATCH(G713/$AH713, F!$O$21:$O$33,1), MATCH(E713, F!$P$20:$AB$20,1)), 0 ) +IFERROR( M713*INDEX(F!$P$21:$AB$33, MATCH(K713/$AH713, F!$O$21:$O$33,1), MATCH(E713, F!$P$20:$AB$20,1)),0) +  IFERROR( Q713*INDEX(F!$P$21:$AB$33, MATCH(O713/$AH713, F!$O$21:$O$33,1), MATCH(E713, F!$P$20:$AB$20,1)), 0) + IFERROR( U713*INDEX(F!$P$21:$AB$33, MATCH(S713/$AH713, F!$O$21:$O$33,1), MATCH(E713, F!$P$20:$AB$20,1)),0)  + IFERROR(Y713*INDEX(F!$P$21:$AB$33, MATCH(W713/$AH713, F!$O$21:$O$33,1), MATCH(E713, F!$P$20:$AB$20,1)),0)  + IFERROR( AC713*INDEX(F!$P$21:$AB$33, MATCH(AA713/$AH713, F!$O$21:$O$33,1), MATCH(E713, F!$P$20:$AB$20,1)),)</f>
        <v>0</v>
      </c>
      <c r="AL713" s="59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 ht="15.75" hidden="1" customHeight="1">
      <c r="A714" s="59"/>
      <c r="B714" s="135" t="str">
        <f t="shared" ref="B714:F714" si="1430">IF(B658="","",B658)</f>
        <v/>
      </c>
      <c r="C714" s="136" t="str">
        <f t="shared" si="1430"/>
        <v/>
      </c>
      <c r="D714" s="137" t="str">
        <f t="shared" si="1430"/>
        <v/>
      </c>
      <c r="E714" s="48" t="str">
        <f t="shared" si="1430"/>
        <v/>
      </c>
      <c r="F714" s="138" t="str">
        <f t="shared" si="1430"/>
        <v/>
      </c>
      <c r="G714" s="139" t="str">
        <f t="shared" si="1420"/>
        <v/>
      </c>
      <c r="H714" s="140"/>
      <c r="I714" s="140"/>
      <c r="J714" s="141"/>
      <c r="K714" s="139" t="str">
        <f t="shared" si="1421"/>
        <v/>
      </c>
      <c r="L714" s="140"/>
      <c r="M714" s="140"/>
      <c r="N714" s="141"/>
      <c r="O714" s="139" t="str">
        <f t="shared" si="1422"/>
        <v/>
      </c>
      <c r="P714" s="140"/>
      <c r="Q714" s="140"/>
      <c r="R714" s="141"/>
      <c r="S714" s="139" t="str">
        <f t="shared" si="1423"/>
        <v/>
      </c>
      <c r="T714" s="140"/>
      <c r="U714" s="140"/>
      <c r="V714" s="141"/>
      <c r="W714" s="139" t="str">
        <f t="shared" si="1424"/>
        <v/>
      </c>
      <c r="X714" s="140"/>
      <c r="Y714" s="140"/>
      <c r="Z714" s="141"/>
      <c r="AA714" s="139" t="str">
        <f t="shared" si="1425"/>
        <v/>
      </c>
      <c r="AB714" s="140"/>
      <c r="AC714" s="140"/>
      <c r="AD714" s="141"/>
      <c r="AE714" s="142">
        <f t="shared" si="1426"/>
        <v>0</v>
      </c>
      <c r="AF714" s="143">
        <f t="shared" si="1350"/>
        <v>0</v>
      </c>
      <c r="AG714" s="144">
        <f t="shared" si="1427"/>
        <v>0</v>
      </c>
      <c r="AH714" s="76" t="str">
        <f t="shared" si="1428"/>
        <v/>
      </c>
      <c r="AI714" s="143">
        <f> ( IF(ISNUMBER(G714), VLOOKUP(G714/$AH714,F!$A1:$B101,2,1)*G714*$H714*$I714,0)+IF(ISNUMBER(K714), VLOOKUP(K714/$AH714,F!$A1:$B101,2,1)*K714*$L714*$M714,0)+IF(ISNUMBER(O714), VLOOKUP(O714/$AH714,F!$A1:$B101,2,1)*O714*$P714*$Q714,0)+IF(ISNUMBER(S714), VLOOKUP(S714/$AH714,F!$A1:$B101,2,1)*S714*$T714*$U714,0)+IF(ISNUMBER(W714), VLOOKUP(W714/$AH714,F!$A1:$B101,2,1)*W714*$X714*$Y714,0)+IF(ISNUMBER(AA714), VLOOKUP(AA714/$AH714,F!$A1:$B101,2,1)*AA714*$AB714*$AC714,0))*IF(ISNUMBER(F714),F714,1)*IF(ISNUMBER(E714),E714,1)</f>
        <v>0</v>
      </c>
      <c r="AJ714" s="140">
        <f t="shared" si="1429"/>
        <v>0</v>
      </c>
      <c r="AK714" s="145">
        <f t="array" ref="AK714">IFERROR(I714*INDEX(F!$P$21:$AB$33, MATCH(G714/$AH714, F!$O$21:$O$33,1), MATCH(E714, F!$P$20:$AB$20,1)), 0 ) +IFERROR( M714*INDEX(F!$P$21:$AB$33, MATCH(K714/$AH714, F!$O$21:$O$33,1), MATCH(E714, F!$P$20:$AB$20,1)),0) +  IFERROR( Q714*INDEX(F!$P$21:$AB$33, MATCH(O714/$AH714, F!$O$21:$O$33,1), MATCH(E714, F!$P$20:$AB$20,1)), 0) + IFERROR( U714*INDEX(F!$P$21:$AB$33, MATCH(S714/$AH714, F!$O$21:$O$33,1), MATCH(E714, F!$P$20:$AB$20,1)),0)  + IFERROR(Y714*INDEX(F!$P$21:$AB$33, MATCH(W714/$AH714, F!$O$21:$O$33,1), MATCH(E714, F!$P$20:$AB$20,1)),0)  + IFERROR( AC714*INDEX(F!$P$21:$AB$33, MATCH(AA714/$AH714, F!$O$21:$O$33,1), MATCH(E714, F!$P$20:$AB$20,1)),)</f>
        <v>0</v>
      </c>
      <c r="AL714" s="59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 ht="15.75" hidden="1" customHeight="1">
      <c r="A715" s="59"/>
      <c r="B715" s="126" t="str">
        <f t="shared" ref="B715:F715" si="1431">IF(B659="","",B659)</f>
        <v/>
      </c>
      <c r="C715" s="127" t="str">
        <f t="shared" si="1431"/>
        <v/>
      </c>
      <c r="D715" s="128" t="str">
        <f t="shared" si="1431"/>
        <v/>
      </c>
      <c r="E715" s="48" t="str">
        <f t="shared" si="1431"/>
        <v/>
      </c>
      <c r="F715" s="129" t="str">
        <f t="shared" si="1431"/>
        <v/>
      </c>
      <c r="G715" s="130" t="str">
        <f t="shared" si="1420"/>
        <v/>
      </c>
      <c r="H715" s="34"/>
      <c r="I715" s="34"/>
      <c r="J715" s="65"/>
      <c r="K715" s="130" t="str">
        <f t="shared" si="1421"/>
        <v/>
      </c>
      <c r="L715" s="34"/>
      <c r="M715" s="34"/>
      <c r="N715" s="65"/>
      <c r="O715" s="130" t="str">
        <f t="shared" si="1422"/>
        <v/>
      </c>
      <c r="P715" s="34"/>
      <c r="Q715" s="34"/>
      <c r="R715" s="65"/>
      <c r="S715" s="130" t="str">
        <f t="shared" si="1423"/>
        <v/>
      </c>
      <c r="T715" s="34"/>
      <c r="U715" s="34"/>
      <c r="V715" s="65"/>
      <c r="W715" s="130" t="str">
        <f t="shared" si="1424"/>
        <v/>
      </c>
      <c r="X715" s="34"/>
      <c r="Y715" s="34"/>
      <c r="Z715" s="65"/>
      <c r="AA715" s="130" t="str">
        <f t="shared" si="1425"/>
        <v/>
      </c>
      <c r="AB715" s="34"/>
      <c r="AC715" s="34"/>
      <c r="AD715" s="65"/>
      <c r="AE715" s="131">
        <f t="shared" si="1426"/>
        <v>0</v>
      </c>
      <c r="AF715" s="132">
        <f t="shared" si="1350"/>
        <v>0</v>
      </c>
      <c r="AG715" s="133">
        <f t="shared" si="1427"/>
        <v>0</v>
      </c>
      <c r="AH715" s="76" t="str">
        <f t="shared" si="1428"/>
        <v/>
      </c>
      <c r="AI715" s="132">
        <f> ( IF(ISNUMBER(G715), VLOOKUP(G715/$AH715,F!$A1:$B101,2,1)*G715*$H715*$I715,0)+IF(ISNUMBER(K715), VLOOKUP(K715/$AH715,F!$A1:$B101,2,1)*K715*$L715*$M715,0)+IF(ISNUMBER(O715), VLOOKUP(O715/$AH715,F!$A1:$B101,2,1)*O715*$P715*$Q715,0)+IF(ISNUMBER(S715), VLOOKUP(S715/$AH715,F!$A1:$B101,2,1)*S715*$T715*$U715,0)+IF(ISNUMBER(W715), VLOOKUP(W715/$AH715,F!$A1:$B101,2,1)*W715*$X715*$Y715,0)+IF(ISNUMBER(AA715), VLOOKUP(AA715/$AH715,F!$A1:$B101,2,1)*AA715*$AB715*$AC715,0))*IF(ISNUMBER(F715),F715,1)*IF(ISNUMBER(E715),E715,1)</f>
        <v>0</v>
      </c>
      <c r="AJ715" s="34">
        <f t="shared" si="1429"/>
        <v>0</v>
      </c>
      <c r="AK715" s="134">
        <f t="array" ref="AK715">IFERROR(I715*INDEX(F!$P$21:$AB$33, MATCH(G715/$AH715, F!$O$21:$O$33,1), MATCH(E715, F!$P$20:$AB$20,1)), 0 ) +IFERROR( M715*INDEX(F!$P$21:$AB$33, MATCH(K715/$AH715, F!$O$21:$O$33,1), MATCH(E715, F!$P$20:$AB$20,1)),0) +  IFERROR( Q715*INDEX(F!$P$21:$AB$33, MATCH(O715/$AH715, F!$O$21:$O$33,1), MATCH(E715, F!$P$20:$AB$20,1)), 0) + IFERROR( U715*INDEX(F!$P$21:$AB$33, MATCH(S715/$AH715, F!$O$21:$O$33,1), MATCH(E715, F!$P$20:$AB$20,1)),0)  + IFERROR(Y715*INDEX(F!$P$21:$AB$33, MATCH(W715/$AH715, F!$O$21:$O$33,1), MATCH(E715, F!$P$20:$AB$20,1)),0)  + IFERROR( AC715*INDEX(F!$P$21:$AB$33, MATCH(AA715/$AH715, F!$O$21:$O$33,1), MATCH(E715, F!$P$20:$AB$20,1)),)</f>
        <v>0</v>
      </c>
      <c r="AL715" s="59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 ht="15.75" hidden="1" customHeight="1">
      <c r="A716" s="59"/>
      <c r="B716" s="135" t="str">
        <f t="shared" ref="B716:F716" si="1432">IF(B660="","",B660)</f>
        <v/>
      </c>
      <c r="C716" s="136" t="str">
        <f t="shared" si="1432"/>
        <v/>
      </c>
      <c r="D716" s="137" t="str">
        <f t="shared" si="1432"/>
        <v/>
      </c>
      <c r="E716" s="48" t="str">
        <f t="shared" si="1432"/>
        <v/>
      </c>
      <c r="F716" s="138" t="str">
        <f t="shared" si="1432"/>
        <v/>
      </c>
      <c r="G716" s="139" t="str">
        <f t="shared" si="1420"/>
        <v/>
      </c>
      <c r="H716" s="140"/>
      <c r="I716" s="140"/>
      <c r="J716" s="141"/>
      <c r="K716" s="139" t="str">
        <f t="shared" si="1421"/>
        <v/>
      </c>
      <c r="L716" s="140"/>
      <c r="M716" s="140"/>
      <c r="N716" s="141"/>
      <c r="O716" s="139" t="str">
        <f t="shared" si="1422"/>
        <v/>
      </c>
      <c r="P716" s="140"/>
      <c r="Q716" s="140"/>
      <c r="R716" s="141"/>
      <c r="S716" s="139" t="str">
        <f t="shared" si="1423"/>
        <v/>
      </c>
      <c r="T716" s="140"/>
      <c r="U716" s="140"/>
      <c r="V716" s="141"/>
      <c r="W716" s="139" t="str">
        <f t="shared" si="1424"/>
        <v/>
      </c>
      <c r="X716" s="140"/>
      <c r="Y716" s="140"/>
      <c r="Z716" s="141"/>
      <c r="AA716" s="139" t="str">
        <f t="shared" si="1425"/>
        <v/>
      </c>
      <c r="AB716" s="140"/>
      <c r="AC716" s="140"/>
      <c r="AD716" s="141"/>
      <c r="AE716" s="142">
        <f t="shared" si="1426"/>
        <v>0</v>
      </c>
      <c r="AF716" s="143">
        <f t="shared" si="1350"/>
        <v>0</v>
      </c>
      <c r="AG716" s="144">
        <f t="shared" si="1427"/>
        <v>0</v>
      </c>
      <c r="AH716" s="76" t="str">
        <f t="shared" si="1428"/>
        <v/>
      </c>
      <c r="AI716" s="143">
        <f> ( IF(ISNUMBER(G716), VLOOKUP(G716/$AH716,F!$A1:$B101,2,1)*G716*$H716*$I716,0)+IF(ISNUMBER(K716), VLOOKUP(K716/$AH716,F!$A1:$B101,2,1)*K716*$L716*$M716,0)+IF(ISNUMBER(O716), VLOOKUP(O716/$AH716,F!$A1:$B101,2,1)*O716*$P716*$Q716,0)+IF(ISNUMBER(S716), VLOOKUP(S716/$AH716,F!$A1:$B101,2,1)*S716*$T716*$U716,0)+IF(ISNUMBER(W716), VLOOKUP(W716/$AH716,F!$A1:$B101,2,1)*W716*$X716*$Y716,0)+IF(ISNUMBER(AA716), VLOOKUP(AA716/$AH716,F!$A1:$B101,2,1)*AA716*$AB716*$AC716,0))*IF(ISNUMBER(F716),F716,1)*IF(ISNUMBER(E716),E716,1)</f>
        <v>0</v>
      </c>
      <c r="AJ716" s="140">
        <f t="shared" si="1429"/>
        <v>0</v>
      </c>
      <c r="AK716" s="145">
        <f t="array" ref="AK716">IFERROR(I716*INDEX(F!$P$21:$AB$33, MATCH(G716/$AH716, F!$O$21:$O$33,1), MATCH(E716, F!$P$20:$AB$20,1)), 0 ) +IFERROR( M716*INDEX(F!$P$21:$AB$33, MATCH(K716/$AH716, F!$O$21:$O$33,1), MATCH(E716, F!$P$20:$AB$20,1)),0) +  IFERROR( Q716*INDEX(F!$P$21:$AB$33, MATCH(O716/$AH716, F!$O$21:$O$33,1), MATCH(E716, F!$P$20:$AB$20,1)), 0) + IFERROR( U716*INDEX(F!$P$21:$AB$33, MATCH(S716/$AH716, F!$O$21:$O$33,1), MATCH(E716, F!$P$20:$AB$20,1)),0)  + IFERROR(Y716*INDEX(F!$P$21:$AB$33, MATCH(W716/$AH716, F!$O$21:$O$33,1), MATCH(E716, F!$P$20:$AB$20,1)),0)  + IFERROR( AC716*INDEX(F!$P$21:$AB$33, MATCH(AA716/$AH716, F!$O$21:$O$33,1), MATCH(E716, F!$P$20:$AB$20,1)),)</f>
        <v>0</v>
      </c>
      <c r="AL716" s="59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 ht="15.75" hidden="1" customHeight="1">
      <c r="A717" s="59"/>
      <c r="B717" s="126" t="str">
        <f t="shared" ref="B717:F717" si="1433">IF(B661="","",B661)</f>
        <v/>
      </c>
      <c r="C717" s="127" t="str">
        <f t="shared" si="1433"/>
        <v/>
      </c>
      <c r="D717" s="128" t="str">
        <f t="shared" si="1433"/>
        <v/>
      </c>
      <c r="E717" s="48" t="str">
        <f t="shared" si="1433"/>
        <v/>
      </c>
      <c r="F717" s="129" t="str">
        <f t="shared" si="1433"/>
        <v/>
      </c>
      <c r="G717" s="130" t="str">
        <f t="shared" si="1420"/>
        <v/>
      </c>
      <c r="H717" s="34"/>
      <c r="I717" s="34"/>
      <c r="J717" s="65"/>
      <c r="K717" s="130" t="str">
        <f t="shared" si="1421"/>
        <v/>
      </c>
      <c r="L717" s="34"/>
      <c r="M717" s="34"/>
      <c r="N717" s="65"/>
      <c r="O717" s="130" t="str">
        <f t="shared" si="1422"/>
        <v/>
      </c>
      <c r="P717" s="34"/>
      <c r="Q717" s="34"/>
      <c r="R717" s="65"/>
      <c r="S717" s="130" t="str">
        <f t="shared" si="1423"/>
        <v/>
      </c>
      <c r="T717" s="34"/>
      <c r="U717" s="34"/>
      <c r="V717" s="65"/>
      <c r="W717" s="130" t="str">
        <f t="shared" si="1424"/>
        <v/>
      </c>
      <c r="X717" s="34"/>
      <c r="Y717" s="34"/>
      <c r="Z717" s="65"/>
      <c r="AA717" s="130" t="str">
        <f t="shared" si="1425"/>
        <v/>
      </c>
      <c r="AB717" s="34"/>
      <c r="AC717" s="34"/>
      <c r="AD717" s="65"/>
      <c r="AE717" s="131">
        <f t="shared" si="1426"/>
        <v>0</v>
      </c>
      <c r="AF717" s="132">
        <f t="shared" si="1350"/>
        <v>0</v>
      </c>
      <c r="AG717" s="133">
        <f t="shared" si="1427"/>
        <v>0</v>
      </c>
      <c r="AH717" s="76" t="str">
        <f t="shared" si="1428"/>
        <v/>
      </c>
      <c r="AI717" s="132">
        <f> ( IF(ISNUMBER(G717), VLOOKUP(G717/$AH717,F!$A1:$B101,2,1)*G717*$H717*$I717,0)+IF(ISNUMBER(K717), VLOOKUP(K717/$AH717,F!$A1:$B101,2,1)*K717*$L717*$M717,0)+IF(ISNUMBER(O717), VLOOKUP(O717/$AH717,F!$A1:$B101,2,1)*O717*$P717*$Q717,0)+IF(ISNUMBER(S717), VLOOKUP(S717/$AH717,F!$A1:$B101,2,1)*S717*$T717*$U717,0)+IF(ISNUMBER(W717), VLOOKUP(W717/$AH717,F!$A1:$B101,2,1)*W717*$X717*$Y717,0)+IF(ISNUMBER(AA717), VLOOKUP(AA717/$AH717,F!$A1:$B101,2,1)*AA717*$AB717*$AC717,0))*IF(ISNUMBER(F717),F717,1)*IF(ISNUMBER(E717),E717,1)</f>
        <v>0</v>
      </c>
      <c r="AJ717" s="34">
        <f t="shared" si="1429"/>
        <v>0</v>
      </c>
      <c r="AK717" s="134">
        <f t="array" ref="AK717">IFERROR(I717*INDEX(F!$P$21:$AB$33, MATCH(G717/$AH717, F!$O$21:$O$33,1), MATCH(E717, F!$P$20:$AB$20,1)), 0 ) +IFERROR( M717*INDEX(F!$P$21:$AB$33, MATCH(K717/$AH717, F!$O$21:$O$33,1), MATCH(E717, F!$P$20:$AB$20,1)),0) +  IFERROR( Q717*INDEX(F!$P$21:$AB$33, MATCH(O717/$AH717, F!$O$21:$O$33,1), MATCH(E717, F!$P$20:$AB$20,1)), 0) + IFERROR( U717*INDEX(F!$P$21:$AB$33, MATCH(S717/$AH717, F!$O$21:$O$33,1), MATCH(E717, F!$P$20:$AB$20,1)),0)  + IFERROR(Y717*INDEX(F!$P$21:$AB$33, MATCH(W717/$AH717, F!$O$21:$O$33,1), MATCH(E717, F!$P$20:$AB$20,1)),0)  + IFERROR( AC717*INDEX(F!$P$21:$AB$33, MATCH(AA717/$AH717, F!$O$21:$O$33,1), MATCH(E717, F!$P$20:$AB$20,1)),)</f>
        <v>0</v>
      </c>
      <c r="AL717" s="59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 ht="15.75" hidden="1" customHeight="1">
      <c r="A718" s="59"/>
      <c r="B718" s="135" t="str">
        <f t="shared" ref="B718:F718" si="1434">IF(B662="","",B662)</f>
        <v/>
      </c>
      <c r="C718" s="136" t="str">
        <f t="shared" si="1434"/>
        <v/>
      </c>
      <c r="D718" s="137" t="str">
        <f t="shared" si="1434"/>
        <v/>
      </c>
      <c r="E718" s="48" t="str">
        <f t="shared" si="1434"/>
        <v/>
      </c>
      <c r="F718" s="138" t="str">
        <f t="shared" si="1434"/>
        <v/>
      </c>
      <c r="G718" s="139" t="str">
        <f t="shared" si="1420"/>
        <v/>
      </c>
      <c r="H718" s="140"/>
      <c r="I718" s="140"/>
      <c r="J718" s="141"/>
      <c r="K718" s="139" t="str">
        <f t="shared" si="1421"/>
        <v/>
      </c>
      <c r="L718" s="140"/>
      <c r="M718" s="140"/>
      <c r="N718" s="141"/>
      <c r="O718" s="139" t="str">
        <f t="shared" si="1422"/>
        <v/>
      </c>
      <c r="P718" s="140"/>
      <c r="Q718" s="140"/>
      <c r="R718" s="141"/>
      <c r="S718" s="139" t="str">
        <f t="shared" si="1423"/>
        <v/>
      </c>
      <c r="T718" s="140"/>
      <c r="U718" s="140"/>
      <c r="V718" s="141"/>
      <c r="W718" s="139" t="str">
        <f t="shared" si="1424"/>
        <v/>
      </c>
      <c r="X718" s="140"/>
      <c r="Y718" s="140"/>
      <c r="Z718" s="141"/>
      <c r="AA718" s="139" t="str">
        <f t="shared" si="1425"/>
        <v/>
      </c>
      <c r="AB718" s="140"/>
      <c r="AC718" s="140"/>
      <c r="AD718" s="141"/>
      <c r="AE718" s="142">
        <f t="shared" si="1426"/>
        <v>0</v>
      </c>
      <c r="AF718" s="143">
        <f t="shared" si="1350"/>
        <v>0</v>
      </c>
      <c r="AG718" s="144">
        <f t="shared" si="1427"/>
        <v>0</v>
      </c>
      <c r="AH718" s="76" t="str">
        <f t="shared" si="1428"/>
        <v/>
      </c>
      <c r="AI718" s="143">
        <f> ( IF(ISNUMBER(G718), VLOOKUP(G718/$AH718,F!$A1:$B101,2,1)*G718*$H718*$I718,0)+IF(ISNUMBER(K718), VLOOKUP(K718/$AH718,F!$A1:$B101,2,1)*K718*$L718*$M718,0)+IF(ISNUMBER(O718), VLOOKUP(O718/$AH718,F!$A1:$B101,2,1)*O718*$P718*$Q718,0)+IF(ISNUMBER(S718), VLOOKUP(S718/$AH718,F!$A1:$B101,2,1)*S718*$T718*$U718,0)+IF(ISNUMBER(W718), VLOOKUP(W718/$AH718,F!$A1:$B101,2,1)*W718*$X718*$Y718,0)+IF(ISNUMBER(AA718), VLOOKUP(AA718/$AH718,F!$A1:$B101,2,1)*AA718*$AB718*$AC718,0))*IF(ISNUMBER(F718),F718,1)*IF(ISNUMBER(E718),E718,1)</f>
        <v>0</v>
      </c>
      <c r="AJ718" s="140">
        <f t="shared" si="1429"/>
        <v>0</v>
      </c>
      <c r="AK718" s="145">
        <f t="array" ref="AK718">IFERROR(I718*INDEX(F!$P$21:$AB$33, MATCH(G718/$AH718, F!$O$21:$O$33,1), MATCH(E718, F!$P$20:$AB$20,1)), 0 ) +IFERROR( M718*INDEX(F!$P$21:$AB$33, MATCH(K718/$AH718, F!$O$21:$O$33,1), MATCH(E718, F!$P$20:$AB$20,1)),0) +  IFERROR( Q718*INDEX(F!$P$21:$AB$33, MATCH(O718/$AH718, F!$O$21:$O$33,1), MATCH(E718, F!$P$20:$AB$20,1)), 0) + IFERROR( U718*INDEX(F!$P$21:$AB$33, MATCH(S718/$AH718, F!$O$21:$O$33,1), MATCH(E718, F!$P$20:$AB$20,1)),0)  + IFERROR(Y718*INDEX(F!$P$21:$AB$33, MATCH(W718/$AH718, F!$O$21:$O$33,1), MATCH(E718, F!$P$20:$AB$20,1)),0)  + IFERROR( AC718*INDEX(F!$P$21:$AB$33, MATCH(AA718/$AH718, F!$O$21:$O$33,1), MATCH(E718, F!$P$20:$AB$20,1)),)</f>
        <v>0</v>
      </c>
      <c r="AL718" s="59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 ht="15.75" hidden="1" customHeight="1">
      <c r="A719" s="59"/>
      <c r="B719" s="126" t="str">
        <f t="shared" ref="B719:F719" si="1435">IF(B663="","",B663)</f>
        <v/>
      </c>
      <c r="C719" s="127" t="str">
        <f t="shared" si="1435"/>
        <v/>
      </c>
      <c r="D719" s="128" t="str">
        <f t="shared" si="1435"/>
        <v/>
      </c>
      <c r="E719" s="48" t="str">
        <f t="shared" si="1435"/>
        <v/>
      </c>
      <c r="F719" s="129" t="str">
        <f t="shared" si="1435"/>
        <v/>
      </c>
      <c r="G719" s="130" t="str">
        <f t="shared" si="1420"/>
        <v/>
      </c>
      <c r="H719" s="34"/>
      <c r="I719" s="34"/>
      <c r="J719" s="65"/>
      <c r="K719" s="130" t="str">
        <f t="shared" si="1421"/>
        <v/>
      </c>
      <c r="L719" s="34"/>
      <c r="M719" s="34"/>
      <c r="N719" s="65"/>
      <c r="O719" s="130" t="str">
        <f t="shared" si="1422"/>
        <v/>
      </c>
      <c r="P719" s="34"/>
      <c r="Q719" s="34"/>
      <c r="R719" s="65"/>
      <c r="S719" s="130" t="str">
        <f t="shared" si="1423"/>
        <v/>
      </c>
      <c r="T719" s="34"/>
      <c r="U719" s="34"/>
      <c r="V719" s="65"/>
      <c r="W719" s="130" t="str">
        <f t="shared" si="1424"/>
        <v/>
      </c>
      <c r="X719" s="34"/>
      <c r="Y719" s="34"/>
      <c r="Z719" s="65"/>
      <c r="AA719" s="130" t="str">
        <f t="shared" si="1425"/>
        <v/>
      </c>
      <c r="AB719" s="34"/>
      <c r="AC719" s="34"/>
      <c r="AD719" s="65"/>
      <c r="AE719" s="131">
        <f t="shared" si="1426"/>
        <v>0</v>
      </c>
      <c r="AF719" s="132">
        <f t="shared" si="1350"/>
        <v>0</v>
      </c>
      <c r="AG719" s="133">
        <f t="shared" si="1427"/>
        <v>0</v>
      </c>
      <c r="AH719" s="76" t="str">
        <f t="shared" si="1428"/>
        <v/>
      </c>
      <c r="AI719" s="132">
        <f> ( IF(ISNUMBER(G719), VLOOKUP(G719/$AH719,F!$A1:$B101,2,1)*G719*$H719*$I719,0)+IF(ISNUMBER(K719), VLOOKUP(K719/$AH719,F!$A1:$B101,2,1)*K719*$L719*$M719,0)+IF(ISNUMBER(O719), VLOOKUP(O719/$AH719,F!$A1:$B101,2,1)*O719*$P719*$Q719,0)+IF(ISNUMBER(S719), VLOOKUP(S719/$AH719,F!$A1:$B101,2,1)*S719*$T719*$U719,0)+IF(ISNUMBER(W719), VLOOKUP(W719/$AH719,F!$A1:$B101,2,1)*W719*$X719*$Y719,0)+IF(ISNUMBER(AA719), VLOOKUP(AA719/$AH719,F!$A1:$B101,2,1)*AA719*$AB719*$AC719,0))*IF(ISNUMBER(F719),F719,1)*IF(ISNUMBER(E719),E719,1)</f>
        <v>0</v>
      </c>
      <c r="AJ719" s="34">
        <f t="shared" si="1429"/>
        <v>0</v>
      </c>
      <c r="AK719" s="134">
        <f t="array" ref="AK719">IFERROR(I719*INDEX(F!$P$21:$AB$33, MATCH(G719/$AH719, F!$O$21:$O$33,1), MATCH(E719, F!$P$20:$AB$20,1)), 0 ) +IFERROR( M719*INDEX(F!$P$21:$AB$33, MATCH(K719/$AH719, F!$O$21:$O$33,1), MATCH(E719, F!$P$20:$AB$20,1)),0) +  IFERROR( Q719*INDEX(F!$P$21:$AB$33, MATCH(O719/$AH719, F!$O$21:$O$33,1), MATCH(E719, F!$P$20:$AB$20,1)), 0) + IFERROR( U719*INDEX(F!$P$21:$AB$33, MATCH(S719/$AH719, F!$O$21:$O$33,1), MATCH(E719, F!$P$20:$AB$20,1)),0)  + IFERROR(Y719*INDEX(F!$P$21:$AB$33, MATCH(W719/$AH719, F!$O$21:$O$33,1), MATCH(E719, F!$P$20:$AB$20,1)),0)  + IFERROR( AC719*INDEX(F!$P$21:$AB$33, MATCH(AA719/$AH719, F!$O$21:$O$33,1), MATCH(E719, F!$P$20:$AB$20,1)),)</f>
        <v>0</v>
      </c>
      <c r="AL719" s="59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 ht="15.75" hidden="1" customHeight="1">
      <c r="A720" s="98"/>
      <c r="B720" s="150"/>
      <c r="C720" s="151"/>
      <c r="D720" s="152"/>
      <c r="E720" s="102">
        <f>ROUND(IFERROR(SUMPRODUCT(AJ712:AJ719,E712:E719)/AJ720,0),3)</f>
        <v>0</v>
      </c>
      <c r="F720" s="153"/>
      <c r="G720" s="154"/>
      <c r="H720" s="155"/>
      <c r="I720" s="155"/>
      <c r="J720" s="156"/>
      <c r="K720" s="154"/>
      <c r="L720" s="155"/>
      <c r="M720" s="155"/>
      <c r="N720" s="156"/>
      <c r="O720" s="154"/>
      <c r="P720" s="155"/>
      <c r="Q720" s="155"/>
      <c r="R720" s="156"/>
      <c r="S720" s="154"/>
      <c r="T720" s="155"/>
      <c r="U720" s="155"/>
      <c r="V720" s="156"/>
      <c r="W720" s="154"/>
      <c r="X720" s="155"/>
      <c r="Y720" s="155"/>
      <c r="Z720" s="156"/>
      <c r="AA720" s="154"/>
      <c r="AB720" s="155"/>
      <c r="AC720" s="155"/>
      <c r="AD720" s="156"/>
      <c r="AE720" s="107">
        <f>SUM(AE712:AE719)</f>
        <v>0</v>
      </c>
      <c r="AF720" s="108">
        <f t="shared" si="1350"/>
        <v>0</v>
      </c>
      <c r="AG720" s="109">
        <f>IFERROR(  SUMPRODUCT(AG712:AG719,AJ712:AJ719)/AJ720,0)</f>
        <v>0</v>
      </c>
      <c r="AH720" s="157"/>
      <c r="AI720" s="111">
        <f t="shared" ref="AI720:AJ720" si="1436">SUM(AI712:AI719)</f>
        <v>0</v>
      </c>
      <c r="AJ720" s="111">
        <f t="shared" si="1436"/>
        <v>0</v>
      </c>
      <c r="AK720" s="112">
        <f>IF(SUM(AK712:AK719)=0,TIME(,0,),TIME(,SUM(AK712:AK719)+F!$V$37,))</f>
        <v>0</v>
      </c>
      <c r="AL720" s="98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 ht="15.75" hidden="1" customHeight="1">
      <c r="A721" s="158">
        <f>A722</f>
        <v>43871</v>
      </c>
      <c r="B721" s="159" t="str">
        <f t="shared" ref="B721:F721" si="1437">IF(B665="","",B665)</f>
        <v/>
      </c>
      <c r="C721" s="160" t="str">
        <f t="shared" si="1437"/>
        <v/>
      </c>
      <c r="D721" s="161" t="str">
        <f t="shared" si="1437"/>
        <v/>
      </c>
      <c r="E721" s="29" t="str">
        <f t="shared" si="1437"/>
        <v/>
      </c>
      <c r="F721" s="162" t="str">
        <f t="shared" si="1437"/>
        <v/>
      </c>
      <c r="G721" s="163" t="str">
        <f t="shared" ref="G721:G728" si="1439">IF(J721&lt;&gt;0, IFERROR(IF( $F721=2,  MROUND($AH721*J721,1),    IF( OR($F721="",$F721=1),   MROUND($AH721*J721,2.5),  MROUND($AH721*J721, 0.1))), "" ), "")</f>
        <v/>
      </c>
      <c r="H721" s="164"/>
      <c r="I721" s="164"/>
      <c r="J721" s="165"/>
      <c r="K721" s="163" t="str">
        <f t="shared" ref="K721:K728" si="1440">IF(N721&lt;&gt;0, IFERROR(IF( $F721=2,  MROUND($AH721*N721,1),    IF( OR($F721="",$F721=1),   MROUND($AH721*N721,2.5),  MROUND($AH721*N721, 0.1))), "" ), "")</f>
        <v/>
      </c>
      <c r="L721" s="164"/>
      <c r="M721" s="164"/>
      <c r="N721" s="165"/>
      <c r="O721" s="163" t="str">
        <f t="shared" ref="O721:O728" si="1441">IF(R721&lt;&gt;0, IFERROR(IF( $F721=2,  MROUND($AH721*R721,1),    IF( OR($F721="",$F721=1),   MROUND($AH721*R721,2.5),  MROUND($AH721*R721, 0.1))), "" ), "")</f>
        <v/>
      </c>
      <c r="P721" s="164"/>
      <c r="Q721" s="164"/>
      <c r="R721" s="165"/>
      <c r="S721" s="163" t="str">
        <f t="shared" ref="S721:S728" si="1442">IF(V721&lt;&gt;0, IFERROR(IF( $F721=2,  MROUND($AH721*V721,1),    IF( OR($F721="",$F721=1),   MROUND($AH721*V721,2.5),  MROUND($AH721*V721, 0.1))), "" ), "")</f>
        <v/>
      </c>
      <c r="T721" s="164"/>
      <c r="U721" s="164"/>
      <c r="V721" s="165"/>
      <c r="W721" s="163" t="str">
        <f t="shared" ref="W721:W728" si="1443">IF(Z721&lt;&gt;0, IFERROR(IF( $F721=2,  MROUND($AH721*Z721,1),    IF( OR($F721="",$F721=1),   MROUND($AH721*Z721,2.5),  MROUND($AH721*Z721, 0.1))), "" ), "")</f>
        <v/>
      </c>
      <c r="X721" s="164"/>
      <c r="Y721" s="164"/>
      <c r="Z721" s="165"/>
      <c r="AA721" s="163" t="str">
        <f t="shared" ref="AA721:AA728" si="1444">IF(AD721&lt;&gt;0, IFERROR(IF( $F721=2,  MROUND($AH721*AD721,1),    IF( OR($F721="",$F721=1),   MROUND($AH721*AD721,2.5),  MROUND($AH721*AD721, 0.1))), "" ), "")</f>
        <v/>
      </c>
      <c r="AB721" s="164"/>
      <c r="AC721" s="164"/>
      <c r="AD721" s="165"/>
      <c r="AE721" s="166">
        <f t="shared" ref="AE721:AE728" si="1445">(IF(ISNUMBER(G721),G721,0)*H721*I721+IF(ISNUMBER(K721),K721,1)*L721*M721+IF(ISNUMBER(O721),O721,1)*P721*Q721+IF(ISNUMBER(S721),S721,1)*T721*U721+IF(ISNUMBER(W721),W721,1)*X721*Y721+IF(ISNUMBER(AA721),AA721,1)*AB721*AC721)*IF(ISNUMBER(F721),F721,1)</f>
        <v>0</v>
      </c>
      <c r="AF721" s="167">
        <f t="shared" si="1350"/>
        <v>0</v>
      </c>
      <c r="AG721" s="168">
        <f t="shared" ref="AG721:AG728" si="1446">IFERROR((AF721/(AH721*IF(ISNUMBER(F721),F721,1))),0)</f>
        <v>0</v>
      </c>
      <c r="AH721" s="169" t="str">
        <f t="shared" ref="AH721:AH728" si="1447">IF(ISNUMBER(AH665), AH665+(AH665*$AH$674),"")</f>
        <v/>
      </c>
      <c r="AI721" s="167">
        <f> ( IF(ISNUMBER(G721), VLOOKUP(G721/$AH721,F!$A1:$B101,2,1)*G721*$H721*$I721,0)+IF(ISNUMBER(K721), VLOOKUP(K721/$AH721,F!$A1:$B101,2,1)*K721*$L721*$M721,0)+IF(ISNUMBER(O721), VLOOKUP(O721/$AH721,F!$A1:$B101,2,1)*O721*$P721*$Q721,0)+IF(ISNUMBER(S721), VLOOKUP(S721/$AH721,F!$A1:$B101,2,1)*S721*$T721*$U721,0)+IF(ISNUMBER(W721), VLOOKUP(W721/$AH721,F!$A1:$B101,2,1)*W721*$X721*$Y721,0)+IF(ISNUMBER(AA721), VLOOKUP(AA721/$AH721,F!$A1:$B101,2,1)*AA721*$AB721*$AC721,0))*IF(ISNUMBER(F721),F721,1)*IF(ISNUMBER(E721),E721,1)</f>
        <v>0</v>
      </c>
      <c r="AJ721" s="164">
        <f t="shared" ref="AJ721:AJ728" si="1448">H721*I721+L721*M721+P721*Q721+T721*U721+X721*Y721+AB721*AC721</f>
        <v>0</v>
      </c>
      <c r="AK721" s="170">
        <f t="array" ref="AK721">IFERROR(I721*INDEX(F!$P$21:$AB$33, MATCH(G721/$AH721, F!$O$21:$O$33,1), MATCH(E721, F!$P$20:$AB$20,1)), 0 ) +IFERROR( M721*INDEX(F!$P$21:$AB$33, MATCH(K721/$AH721, F!$O$21:$O$33,1), MATCH(E721, F!$P$20:$AB$20,1)),0) +  IFERROR( Q721*INDEX(F!$P$21:$AB$33, MATCH(O721/$AH721, F!$O$21:$O$33,1), MATCH(E721, F!$P$20:$AB$20,1)), 0) + IFERROR( U721*INDEX(F!$P$21:$AB$33, MATCH(S721/$AH721, F!$O$21:$O$33,1), MATCH(E721, F!$P$20:$AB$20,1)),0)  + IFERROR(Y721*INDEX(F!$P$21:$AB$33, MATCH(W721/$AH721, F!$O$21:$O$33,1), MATCH(E721, F!$P$20:$AB$20,1)),0)  + IFERROR( AC721*INDEX(F!$P$21:$AB$33, MATCH(AA721/$AH721, F!$O$21:$O$33,1), MATCH(E721, F!$P$20:$AB$20,1)),)</f>
        <v>0</v>
      </c>
      <c r="AL721" s="42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 ht="15.75" hidden="1" customHeight="1">
      <c r="A722" s="44">
        <f>A666+A618</f>
        <v>43871</v>
      </c>
      <c r="B722" s="135" t="str">
        <f t="shared" ref="B722:F722" si="1438">IF(B666="","",B666)</f>
        <v/>
      </c>
      <c r="C722" s="136" t="str">
        <f t="shared" si="1438"/>
        <v/>
      </c>
      <c r="D722" s="137" t="str">
        <f t="shared" si="1438"/>
        <v/>
      </c>
      <c r="E722" s="48" t="str">
        <f t="shared" si="1438"/>
        <v/>
      </c>
      <c r="F722" s="138" t="str">
        <f t="shared" si="1438"/>
        <v/>
      </c>
      <c r="G722" s="139" t="str">
        <f t="shared" si="1439"/>
        <v/>
      </c>
      <c r="H722" s="140"/>
      <c r="I722" s="140"/>
      <c r="J722" s="141"/>
      <c r="K722" s="139" t="str">
        <f t="shared" si="1440"/>
        <v/>
      </c>
      <c r="L722" s="140"/>
      <c r="M722" s="140"/>
      <c r="N722" s="141"/>
      <c r="O722" s="139" t="str">
        <f t="shared" si="1441"/>
        <v/>
      </c>
      <c r="P722" s="140"/>
      <c r="Q722" s="140"/>
      <c r="R722" s="141"/>
      <c r="S722" s="139" t="str">
        <f t="shared" si="1442"/>
        <v/>
      </c>
      <c r="T722" s="140"/>
      <c r="U722" s="140"/>
      <c r="V722" s="141"/>
      <c r="W722" s="139" t="str">
        <f t="shared" si="1443"/>
        <v/>
      </c>
      <c r="X722" s="140"/>
      <c r="Y722" s="140"/>
      <c r="Z722" s="141"/>
      <c r="AA722" s="139" t="str">
        <f t="shared" si="1444"/>
        <v/>
      </c>
      <c r="AB722" s="140"/>
      <c r="AC722" s="140"/>
      <c r="AD722" s="141"/>
      <c r="AE722" s="142">
        <f t="shared" si="1445"/>
        <v>0</v>
      </c>
      <c r="AF722" s="143">
        <f t="shared" si="1350"/>
        <v>0</v>
      </c>
      <c r="AG722" s="144">
        <f t="shared" si="1446"/>
        <v>0</v>
      </c>
      <c r="AH722" s="76" t="str">
        <f t="shared" si="1447"/>
        <v/>
      </c>
      <c r="AI722" s="143">
        <f> ( IF(ISNUMBER(G722), VLOOKUP(G722/$AH722,F!$A1:$B101,2,1)*G722*$H722*$I722,0)+IF(ISNUMBER(K722), VLOOKUP(K722/$AH722,F!$A1:$B101,2,1)*K722*$L722*$M722,0)+IF(ISNUMBER(O722), VLOOKUP(O722/$AH722,F!$A1:$B101,2,1)*O722*$P722*$Q722,0)+IF(ISNUMBER(S722), VLOOKUP(S722/$AH722,F!$A1:$B101,2,1)*S722*$T722*$U722,0)+IF(ISNUMBER(W722), VLOOKUP(W722/$AH722,F!$A1:$B101,2,1)*W722*$X722*$Y722,0)+IF(ISNUMBER(AA722), VLOOKUP(AA722/$AH722,F!$A1:$B101,2,1)*AA722*$AB722*$AC722,0))*IF(ISNUMBER(F722),F722,1)*IF(ISNUMBER(E722),E722,1)</f>
        <v>0</v>
      </c>
      <c r="AJ722" s="140">
        <f t="shared" si="1448"/>
        <v>0</v>
      </c>
      <c r="AK722" s="145">
        <f t="array" ref="AK722">IFERROR(I722*INDEX(F!$P$21:$AB$33, MATCH(G722/$AH722, F!$O$21:$O$33,1), MATCH(E722, F!$P$20:$AB$20,1)), 0 ) +IFERROR( M722*INDEX(F!$P$21:$AB$33, MATCH(K722/$AH722, F!$O$21:$O$33,1), MATCH(E722, F!$P$20:$AB$20,1)),0) +  IFERROR( Q722*INDEX(F!$P$21:$AB$33, MATCH(O722/$AH722, F!$O$21:$O$33,1), MATCH(E722, F!$P$20:$AB$20,1)), 0) + IFERROR( U722*INDEX(F!$P$21:$AB$33, MATCH(S722/$AH722, F!$O$21:$O$33,1), MATCH(E722, F!$P$20:$AB$20,1)),0)  + IFERROR(Y722*INDEX(F!$P$21:$AB$33, MATCH(W722/$AH722, F!$O$21:$O$33,1), MATCH(E722, F!$P$20:$AB$20,1)),0)  + IFERROR( AC722*INDEX(F!$P$21:$AB$33, MATCH(AA722/$AH722, F!$O$21:$O$33,1), MATCH(E722, F!$P$20:$AB$20,1)),)</f>
        <v>0</v>
      </c>
      <c r="AL722" s="59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 ht="15.75" hidden="1" customHeight="1">
      <c r="A723" s="59"/>
      <c r="B723" s="173" t="str">
        <f t="shared" ref="B723:F723" si="1449">IF(B667="","",B667)</f>
        <v/>
      </c>
      <c r="C723" s="174" t="str">
        <f t="shared" si="1449"/>
        <v/>
      </c>
      <c r="D723" s="175" t="str">
        <f t="shared" si="1449"/>
        <v/>
      </c>
      <c r="E723" s="48" t="str">
        <f t="shared" si="1449"/>
        <v/>
      </c>
      <c r="F723" s="176" t="str">
        <f t="shared" si="1449"/>
        <v/>
      </c>
      <c r="G723" s="177" t="str">
        <f t="shared" si="1439"/>
        <v/>
      </c>
      <c r="H723" s="178"/>
      <c r="I723" s="178"/>
      <c r="J723" s="179"/>
      <c r="K723" s="177" t="str">
        <f t="shared" si="1440"/>
        <v/>
      </c>
      <c r="L723" s="178"/>
      <c r="M723" s="178"/>
      <c r="N723" s="179"/>
      <c r="O723" s="177" t="str">
        <f t="shared" si="1441"/>
        <v/>
      </c>
      <c r="P723" s="178"/>
      <c r="Q723" s="178"/>
      <c r="R723" s="179"/>
      <c r="S723" s="177" t="str">
        <f t="shared" si="1442"/>
        <v/>
      </c>
      <c r="T723" s="178"/>
      <c r="U723" s="178"/>
      <c r="V723" s="179"/>
      <c r="W723" s="177" t="str">
        <f t="shared" si="1443"/>
        <v/>
      </c>
      <c r="X723" s="178"/>
      <c r="Y723" s="178"/>
      <c r="Z723" s="179"/>
      <c r="AA723" s="177" t="str">
        <f t="shared" si="1444"/>
        <v/>
      </c>
      <c r="AB723" s="178"/>
      <c r="AC723" s="178"/>
      <c r="AD723" s="179"/>
      <c r="AE723" s="180">
        <f t="shared" si="1445"/>
        <v>0</v>
      </c>
      <c r="AF723" s="181">
        <f t="shared" si="1350"/>
        <v>0</v>
      </c>
      <c r="AG723" s="182">
        <f t="shared" si="1446"/>
        <v>0</v>
      </c>
      <c r="AH723" s="76" t="str">
        <f t="shared" si="1447"/>
        <v/>
      </c>
      <c r="AI723" s="181">
        <f> ( IF(ISNUMBER(G723), VLOOKUP(G723/$AH723,F!$A1:$B101,2,1)*G723*$H723*$I723,0)+IF(ISNUMBER(K723), VLOOKUP(K723/$AH723,F!$A1:$B101,2,1)*K723*$L723*$M723,0)+IF(ISNUMBER(O723), VLOOKUP(O723/$AH723,F!$A1:$B101,2,1)*O723*$P723*$Q723,0)+IF(ISNUMBER(S723), VLOOKUP(S723/$AH723,F!$A1:$B101,2,1)*S723*$T723*$U723,0)+IF(ISNUMBER(W723), VLOOKUP(W723/$AH723,F!$A1:$B101,2,1)*W723*$X723*$Y723,0)+IF(ISNUMBER(AA723), VLOOKUP(AA723/$AH723,F!$A1:$B101,2,1)*AA723*$AB723*$AC723,0))*IF(ISNUMBER(F723),F723,1)*IF(ISNUMBER(E723),E723,1)</f>
        <v>0</v>
      </c>
      <c r="AJ723" s="178">
        <f t="shared" si="1448"/>
        <v>0</v>
      </c>
      <c r="AK723" s="183">
        <f t="array" ref="AK723">IFERROR(I723*INDEX(F!$P$21:$AB$33, MATCH(G723/$AH723, F!$O$21:$O$33,1), MATCH(E723, F!$P$20:$AB$20,1)), 0 ) +IFERROR( M723*INDEX(F!$P$21:$AB$33, MATCH(K723/$AH723, F!$O$21:$O$33,1), MATCH(E723, F!$P$20:$AB$20,1)),0) +  IFERROR( Q723*INDEX(F!$P$21:$AB$33, MATCH(O723/$AH723, F!$O$21:$O$33,1), MATCH(E723, F!$P$20:$AB$20,1)), 0) + IFERROR( U723*INDEX(F!$P$21:$AB$33, MATCH(S723/$AH723, F!$O$21:$O$33,1), MATCH(E723, F!$P$20:$AB$20,1)),0)  + IFERROR(Y723*INDEX(F!$P$21:$AB$33, MATCH(W723/$AH723, F!$O$21:$O$33,1), MATCH(E723, F!$P$20:$AB$20,1)),0)  + IFERROR( AC723*INDEX(F!$P$21:$AB$33, MATCH(AA723/$AH723, F!$O$21:$O$33,1), MATCH(E723, F!$P$20:$AB$20,1)),)</f>
        <v>0</v>
      </c>
      <c r="AL723" s="59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 ht="15.75" hidden="1" customHeight="1">
      <c r="A724" s="59"/>
      <c r="B724" s="135" t="str">
        <f t="shared" ref="B724:F724" si="1450">IF(B668="","",B668)</f>
        <v/>
      </c>
      <c r="C724" s="136" t="str">
        <f t="shared" si="1450"/>
        <v/>
      </c>
      <c r="D724" s="137" t="str">
        <f t="shared" si="1450"/>
        <v/>
      </c>
      <c r="E724" s="48" t="str">
        <f t="shared" si="1450"/>
        <v/>
      </c>
      <c r="F724" s="138" t="str">
        <f t="shared" si="1450"/>
        <v/>
      </c>
      <c r="G724" s="139" t="str">
        <f t="shared" si="1439"/>
        <v/>
      </c>
      <c r="H724" s="140"/>
      <c r="I724" s="140"/>
      <c r="J724" s="141"/>
      <c r="K724" s="139" t="str">
        <f t="shared" si="1440"/>
        <v/>
      </c>
      <c r="L724" s="140"/>
      <c r="M724" s="140"/>
      <c r="N724" s="141"/>
      <c r="O724" s="139" t="str">
        <f t="shared" si="1441"/>
        <v/>
      </c>
      <c r="P724" s="140"/>
      <c r="Q724" s="140"/>
      <c r="R724" s="141"/>
      <c r="S724" s="139" t="str">
        <f t="shared" si="1442"/>
        <v/>
      </c>
      <c r="T724" s="140"/>
      <c r="U724" s="140"/>
      <c r="V724" s="141"/>
      <c r="W724" s="139" t="str">
        <f t="shared" si="1443"/>
        <v/>
      </c>
      <c r="X724" s="140"/>
      <c r="Y724" s="140"/>
      <c r="Z724" s="141"/>
      <c r="AA724" s="139" t="str">
        <f t="shared" si="1444"/>
        <v/>
      </c>
      <c r="AB724" s="140"/>
      <c r="AC724" s="140"/>
      <c r="AD724" s="141"/>
      <c r="AE724" s="142">
        <f t="shared" si="1445"/>
        <v>0</v>
      </c>
      <c r="AF724" s="143">
        <f t="shared" si="1350"/>
        <v>0</v>
      </c>
      <c r="AG724" s="144">
        <f t="shared" si="1446"/>
        <v>0</v>
      </c>
      <c r="AH724" s="76" t="str">
        <f t="shared" si="1447"/>
        <v/>
      </c>
      <c r="AI724" s="143">
        <f> ( IF(ISNUMBER(G724), VLOOKUP(G724/$AH724,F!$A1:$B101,2,1)*G724*$H724*$I724,0)+IF(ISNUMBER(K724), VLOOKUP(K724/$AH724,F!$A1:$B101,2,1)*K724*$L724*$M724,0)+IF(ISNUMBER(O724), VLOOKUP(O724/$AH724,F!$A1:$B101,2,1)*O724*$P724*$Q724,0)+IF(ISNUMBER(S724), VLOOKUP(S724/$AH724,F!$A1:$B101,2,1)*S724*$T724*$U724,0)+IF(ISNUMBER(W724), VLOOKUP(W724/$AH724,F!$A1:$B101,2,1)*W724*$X724*$Y724,0)+IF(ISNUMBER(AA724), VLOOKUP(AA724/$AH724,F!$A1:$B101,2,1)*AA724*$AB724*$AC724,0))*IF(ISNUMBER(F724),F724,1)*IF(ISNUMBER(E724),E724,1)</f>
        <v>0</v>
      </c>
      <c r="AJ724" s="140">
        <f t="shared" si="1448"/>
        <v>0</v>
      </c>
      <c r="AK724" s="145">
        <f t="array" ref="AK724">IFERROR(I724*INDEX(F!$P$21:$AB$33, MATCH(G724/$AH724, F!$O$21:$O$33,1), MATCH(E724, F!$P$20:$AB$20,1)), 0 ) +IFERROR( M724*INDEX(F!$P$21:$AB$33, MATCH(K724/$AH724, F!$O$21:$O$33,1), MATCH(E724, F!$P$20:$AB$20,1)),0) +  IFERROR( Q724*INDEX(F!$P$21:$AB$33, MATCH(O724/$AH724, F!$O$21:$O$33,1), MATCH(E724, F!$P$20:$AB$20,1)), 0) + IFERROR( U724*INDEX(F!$P$21:$AB$33, MATCH(S724/$AH724, F!$O$21:$O$33,1), MATCH(E724, F!$P$20:$AB$20,1)),0)  + IFERROR(Y724*INDEX(F!$P$21:$AB$33, MATCH(W724/$AH724, F!$O$21:$O$33,1), MATCH(E724, F!$P$20:$AB$20,1)),0)  + IFERROR( AC724*INDEX(F!$P$21:$AB$33, MATCH(AA724/$AH724, F!$O$21:$O$33,1), MATCH(E724, F!$P$20:$AB$20,1)),)</f>
        <v>0</v>
      </c>
      <c r="AL724" s="59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 ht="15.75" hidden="1" customHeight="1">
      <c r="A725" s="59"/>
      <c r="B725" s="173" t="str">
        <f t="shared" ref="B725:F725" si="1451">IF(B669="","",B669)</f>
        <v/>
      </c>
      <c r="C725" s="174" t="str">
        <f t="shared" si="1451"/>
        <v/>
      </c>
      <c r="D725" s="175" t="str">
        <f t="shared" si="1451"/>
        <v/>
      </c>
      <c r="E725" s="48" t="str">
        <f t="shared" si="1451"/>
        <v/>
      </c>
      <c r="F725" s="176" t="str">
        <f t="shared" si="1451"/>
        <v/>
      </c>
      <c r="G725" s="177" t="str">
        <f t="shared" si="1439"/>
        <v/>
      </c>
      <c r="H725" s="178"/>
      <c r="I725" s="178"/>
      <c r="J725" s="179"/>
      <c r="K725" s="177" t="str">
        <f t="shared" si="1440"/>
        <v/>
      </c>
      <c r="L725" s="178"/>
      <c r="M725" s="178"/>
      <c r="N725" s="179"/>
      <c r="O725" s="177" t="str">
        <f t="shared" si="1441"/>
        <v/>
      </c>
      <c r="P725" s="178"/>
      <c r="Q725" s="178"/>
      <c r="R725" s="179"/>
      <c r="S725" s="177" t="str">
        <f t="shared" si="1442"/>
        <v/>
      </c>
      <c r="T725" s="178"/>
      <c r="U725" s="178"/>
      <c r="V725" s="179"/>
      <c r="W725" s="177" t="str">
        <f t="shared" si="1443"/>
        <v/>
      </c>
      <c r="X725" s="178"/>
      <c r="Y725" s="178"/>
      <c r="Z725" s="179"/>
      <c r="AA725" s="177" t="str">
        <f t="shared" si="1444"/>
        <v/>
      </c>
      <c r="AB725" s="178"/>
      <c r="AC725" s="178"/>
      <c r="AD725" s="179"/>
      <c r="AE725" s="180">
        <f t="shared" si="1445"/>
        <v>0</v>
      </c>
      <c r="AF725" s="181">
        <f t="shared" si="1350"/>
        <v>0</v>
      </c>
      <c r="AG725" s="182">
        <f t="shared" si="1446"/>
        <v>0</v>
      </c>
      <c r="AH725" s="76" t="str">
        <f t="shared" si="1447"/>
        <v/>
      </c>
      <c r="AI725" s="181">
        <f> ( IF(ISNUMBER(G725), VLOOKUP(G725/$AH725,F!$A1:$B101,2,1)*G725*$H725*$I725,0)+IF(ISNUMBER(K725), VLOOKUP(K725/$AH725,F!$A1:$B101,2,1)*K725*$L725*$M725,0)+IF(ISNUMBER(O725), VLOOKUP(O725/$AH725,F!$A1:$B101,2,1)*O725*$P725*$Q725,0)+IF(ISNUMBER(S725), VLOOKUP(S725/$AH725,F!$A1:$B101,2,1)*S725*$T725*$U725,0)+IF(ISNUMBER(W725), VLOOKUP(W725/$AH725,F!$A1:$B101,2,1)*W725*$X725*$Y725,0)+IF(ISNUMBER(AA725), VLOOKUP(AA725/$AH725,F!$A1:$B101,2,1)*AA725*$AB725*$AC725,0))*IF(ISNUMBER(F725),F725,1)*IF(ISNUMBER(E725),E725,1)</f>
        <v>0</v>
      </c>
      <c r="AJ725" s="178">
        <f t="shared" si="1448"/>
        <v>0</v>
      </c>
      <c r="AK725" s="183">
        <f t="array" ref="AK725">IFERROR(I725*INDEX(F!$P$21:$AB$33, MATCH(G725/$AH725, F!$O$21:$O$33,1), MATCH(E725, F!$P$20:$AB$20,1)), 0 ) +IFERROR( M725*INDEX(F!$P$21:$AB$33, MATCH(K725/$AH725, F!$O$21:$O$33,1), MATCH(E725, F!$P$20:$AB$20,1)),0) +  IFERROR( Q725*INDEX(F!$P$21:$AB$33, MATCH(O725/$AH725, F!$O$21:$O$33,1), MATCH(E725, F!$P$20:$AB$20,1)), 0) + IFERROR( U725*INDEX(F!$P$21:$AB$33, MATCH(S725/$AH725, F!$O$21:$O$33,1), MATCH(E725, F!$P$20:$AB$20,1)),0)  + IFERROR(Y725*INDEX(F!$P$21:$AB$33, MATCH(W725/$AH725, F!$O$21:$O$33,1), MATCH(E725, F!$P$20:$AB$20,1)),0)  + IFERROR( AC725*INDEX(F!$P$21:$AB$33, MATCH(AA725/$AH725, F!$O$21:$O$33,1), MATCH(E725, F!$P$20:$AB$20,1)),)</f>
        <v>0</v>
      </c>
      <c r="AL725" s="59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 ht="15.75" hidden="1" customHeight="1">
      <c r="A726" s="59"/>
      <c r="B726" s="135" t="str">
        <f t="shared" ref="B726:F726" si="1452">IF(B670="","",B670)</f>
        <v/>
      </c>
      <c r="C726" s="136" t="str">
        <f t="shared" si="1452"/>
        <v/>
      </c>
      <c r="D726" s="137" t="str">
        <f t="shared" si="1452"/>
        <v/>
      </c>
      <c r="E726" s="48" t="str">
        <f t="shared" si="1452"/>
        <v/>
      </c>
      <c r="F726" s="138" t="str">
        <f t="shared" si="1452"/>
        <v/>
      </c>
      <c r="G726" s="139" t="str">
        <f t="shared" si="1439"/>
        <v/>
      </c>
      <c r="H726" s="140"/>
      <c r="I726" s="140"/>
      <c r="J726" s="141"/>
      <c r="K726" s="139" t="str">
        <f t="shared" si="1440"/>
        <v/>
      </c>
      <c r="L726" s="140"/>
      <c r="M726" s="140"/>
      <c r="N726" s="141"/>
      <c r="O726" s="139" t="str">
        <f t="shared" si="1441"/>
        <v/>
      </c>
      <c r="P726" s="140"/>
      <c r="Q726" s="140"/>
      <c r="R726" s="141"/>
      <c r="S726" s="139" t="str">
        <f t="shared" si="1442"/>
        <v/>
      </c>
      <c r="T726" s="140"/>
      <c r="U726" s="140"/>
      <c r="V726" s="141"/>
      <c r="W726" s="139" t="str">
        <f t="shared" si="1443"/>
        <v/>
      </c>
      <c r="X726" s="140"/>
      <c r="Y726" s="140"/>
      <c r="Z726" s="141"/>
      <c r="AA726" s="139" t="str">
        <f t="shared" si="1444"/>
        <v/>
      </c>
      <c r="AB726" s="140"/>
      <c r="AC726" s="140"/>
      <c r="AD726" s="141"/>
      <c r="AE726" s="142">
        <f t="shared" si="1445"/>
        <v>0</v>
      </c>
      <c r="AF726" s="143">
        <f t="shared" si="1350"/>
        <v>0</v>
      </c>
      <c r="AG726" s="144">
        <f t="shared" si="1446"/>
        <v>0</v>
      </c>
      <c r="AH726" s="76" t="str">
        <f t="shared" si="1447"/>
        <v/>
      </c>
      <c r="AI726" s="143">
        <f> ( IF(ISNUMBER(G726), VLOOKUP(G726/$AH726,F!$A1:$B101,2,1)*G726*$H726*$I726,0)+IF(ISNUMBER(K726), VLOOKUP(K726/$AH726,F!$A1:$B101,2,1)*K726*$L726*$M726,0)+IF(ISNUMBER(O726), VLOOKUP(O726/$AH726,F!$A1:$B101,2,1)*O726*$P726*$Q726,0)+IF(ISNUMBER(S726), VLOOKUP(S726/$AH726,F!$A1:$B101,2,1)*S726*$T726*$U726,0)+IF(ISNUMBER(W726), VLOOKUP(W726/$AH726,F!$A1:$B101,2,1)*W726*$X726*$Y726,0)+IF(ISNUMBER(AA726), VLOOKUP(AA726/$AH726,F!$A1:$B101,2,1)*AA726*$AB726*$AC726,0))*IF(ISNUMBER(F726),F726,1)*IF(ISNUMBER(E726),E726,1)</f>
        <v>0</v>
      </c>
      <c r="AJ726" s="140">
        <f t="shared" si="1448"/>
        <v>0</v>
      </c>
      <c r="AK726" s="145">
        <f t="array" ref="AK726">IFERROR(I726*INDEX(F!$P$21:$AB$33, MATCH(G726/$AH726, F!$O$21:$O$33,1), MATCH(E726, F!$P$20:$AB$20,1)), 0 ) +IFERROR( M726*INDEX(F!$P$21:$AB$33, MATCH(K726/$AH726, F!$O$21:$O$33,1), MATCH(E726, F!$P$20:$AB$20,1)),0) +  IFERROR( Q726*INDEX(F!$P$21:$AB$33, MATCH(O726/$AH726, F!$O$21:$O$33,1), MATCH(E726, F!$P$20:$AB$20,1)), 0) + IFERROR( U726*INDEX(F!$P$21:$AB$33, MATCH(S726/$AH726, F!$O$21:$O$33,1), MATCH(E726, F!$P$20:$AB$20,1)),0)  + IFERROR(Y726*INDEX(F!$P$21:$AB$33, MATCH(W726/$AH726, F!$O$21:$O$33,1), MATCH(E726, F!$P$20:$AB$20,1)),0)  + IFERROR( AC726*INDEX(F!$P$21:$AB$33, MATCH(AA726/$AH726, F!$O$21:$O$33,1), MATCH(E726, F!$P$20:$AB$20,1)),)</f>
        <v>0</v>
      </c>
      <c r="AL726" s="59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 ht="15.75" hidden="1" customHeight="1">
      <c r="A727" s="59"/>
      <c r="B727" s="173" t="str">
        <f t="shared" ref="B727:F727" si="1453">IF(B671="","",B671)</f>
        <v/>
      </c>
      <c r="C727" s="174" t="str">
        <f t="shared" si="1453"/>
        <v/>
      </c>
      <c r="D727" s="175" t="str">
        <f t="shared" si="1453"/>
        <v/>
      </c>
      <c r="E727" s="48" t="str">
        <f t="shared" si="1453"/>
        <v/>
      </c>
      <c r="F727" s="176" t="str">
        <f t="shared" si="1453"/>
        <v/>
      </c>
      <c r="G727" s="177" t="str">
        <f t="shared" si="1439"/>
        <v/>
      </c>
      <c r="H727" s="178"/>
      <c r="I727" s="178"/>
      <c r="J727" s="179"/>
      <c r="K727" s="177" t="str">
        <f t="shared" si="1440"/>
        <v/>
      </c>
      <c r="L727" s="178"/>
      <c r="M727" s="178"/>
      <c r="N727" s="179"/>
      <c r="O727" s="177" t="str">
        <f t="shared" si="1441"/>
        <v/>
      </c>
      <c r="P727" s="178"/>
      <c r="Q727" s="178"/>
      <c r="R727" s="179"/>
      <c r="S727" s="177" t="str">
        <f t="shared" si="1442"/>
        <v/>
      </c>
      <c r="T727" s="178"/>
      <c r="U727" s="178"/>
      <c r="V727" s="179"/>
      <c r="W727" s="177" t="str">
        <f t="shared" si="1443"/>
        <v/>
      </c>
      <c r="X727" s="178"/>
      <c r="Y727" s="178"/>
      <c r="Z727" s="179"/>
      <c r="AA727" s="177" t="str">
        <f t="shared" si="1444"/>
        <v/>
      </c>
      <c r="AB727" s="178"/>
      <c r="AC727" s="178"/>
      <c r="AD727" s="179"/>
      <c r="AE727" s="180">
        <f t="shared" si="1445"/>
        <v>0</v>
      </c>
      <c r="AF727" s="181">
        <f t="shared" si="1350"/>
        <v>0</v>
      </c>
      <c r="AG727" s="182">
        <f t="shared" si="1446"/>
        <v>0</v>
      </c>
      <c r="AH727" s="76" t="str">
        <f t="shared" si="1447"/>
        <v/>
      </c>
      <c r="AI727" s="181">
        <f> ( IF(ISNUMBER(G727), VLOOKUP(G727/$AH727,F!$A1:$B101,2,1)*G727*$H727*$I727,0)+IF(ISNUMBER(K727), VLOOKUP(K727/$AH727,F!$A1:$B101,2,1)*K727*$L727*$M727,0)+IF(ISNUMBER(O727), VLOOKUP(O727/$AH727,F!$A1:$B101,2,1)*O727*$P727*$Q727,0)+IF(ISNUMBER(S727), VLOOKUP(S727/$AH727,F!$A1:$B101,2,1)*S727*$T727*$U727,0)+IF(ISNUMBER(W727), VLOOKUP(W727/$AH727,F!$A1:$B101,2,1)*W727*$X727*$Y727,0)+IF(ISNUMBER(AA727), VLOOKUP(AA727/$AH727,F!$A1:$B101,2,1)*AA727*$AB727*$AC727,0))*IF(ISNUMBER(F727),F727,1)*IF(ISNUMBER(E727),E727,1)</f>
        <v>0</v>
      </c>
      <c r="AJ727" s="178">
        <f t="shared" si="1448"/>
        <v>0</v>
      </c>
      <c r="AK727" s="183">
        <f t="array" ref="AK727">IFERROR(I727*INDEX(F!$P$21:$AB$33, MATCH(G727/$AH727, F!$O$21:$O$33,1), MATCH(E727, F!$P$20:$AB$20,1)), 0 ) +IFERROR( M727*INDEX(F!$P$21:$AB$33, MATCH(K727/$AH727, F!$O$21:$O$33,1), MATCH(E727, F!$P$20:$AB$20,1)),0) +  IFERROR( Q727*INDEX(F!$P$21:$AB$33, MATCH(O727/$AH727, F!$O$21:$O$33,1), MATCH(E727, F!$P$20:$AB$20,1)), 0) + IFERROR( U727*INDEX(F!$P$21:$AB$33, MATCH(S727/$AH727, F!$O$21:$O$33,1), MATCH(E727, F!$P$20:$AB$20,1)),0)  + IFERROR(Y727*INDEX(F!$P$21:$AB$33, MATCH(W727/$AH727, F!$O$21:$O$33,1), MATCH(E727, F!$P$20:$AB$20,1)),0)  + IFERROR( AC727*INDEX(F!$P$21:$AB$33, MATCH(AA727/$AH727, F!$O$21:$O$33,1), MATCH(E727, F!$P$20:$AB$20,1)),)</f>
        <v>0</v>
      </c>
      <c r="AL727" s="59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 ht="15.75" hidden="1" customHeight="1">
      <c r="A728" s="59"/>
      <c r="B728" s="135" t="str">
        <f t="shared" ref="B728:F728" si="1454">IF(B672="","",B672)</f>
        <v/>
      </c>
      <c r="C728" s="136" t="str">
        <f t="shared" si="1454"/>
        <v/>
      </c>
      <c r="D728" s="137" t="str">
        <f t="shared" si="1454"/>
        <v/>
      </c>
      <c r="E728" s="48" t="str">
        <f t="shared" si="1454"/>
        <v/>
      </c>
      <c r="F728" s="138" t="str">
        <f t="shared" si="1454"/>
        <v/>
      </c>
      <c r="G728" s="139" t="str">
        <f t="shared" si="1439"/>
        <v/>
      </c>
      <c r="H728" s="140"/>
      <c r="I728" s="140"/>
      <c r="J728" s="141"/>
      <c r="K728" s="139" t="str">
        <f t="shared" si="1440"/>
        <v/>
      </c>
      <c r="L728" s="140"/>
      <c r="M728" s="140"/>
      <c r="N728" s="141"/>
      <c r="O728" s="139" t="str">
        <f t="shared" si="1441"/>
        <v/>
      </c>
      <c r="P728" s="140"/>
      <c r="Q728" s="140"/>
      <c r="R728" s="141"/>
      <c r="S728" s="139" t="str">
        <f t="shared" si="1442"/>
        <v/>
      </c>
      <c r="T728" s="140"/>
      <c r="U728" s="140"/>
      <c r="V728" s="141"/>
      <c r="W728" s="139" t="str">
        <f t="shared" si="1443"/>
        <v/>
      </c>
      <c r="X728" s="140"/>
      <c r="Y728" s="140"/>
      <c r="Z728" s="141"/>
      <c r="AA728" s="139" t="str">
        <f t="shared" si="1444"/>
        <v/>
      </c>
      <c r="AB728" s="140"/>
      <c r="AC728" s="140"/>
      <c r="AD728" s="141"/>
      <c r="AE728" s="142">
        <f t="shared" si="1445"/>
        <v>0</v>
      </c>
      <c r="AF728" s="143">
        <f t="shared" si="1350"/>
        <v>0</v>
      </c>
      <c r="AG728" s="144">
        <f t="shared" si="1446"/>
        <v>0</v>
      </c>
      <c r="AH728" s="76" t="str">
        <f t="shared" si="1447"/>
        <v/>
      </c>
      <c r="AI728" s="143">
        <f> ( IF(ISNUMBER(G728), VLOOKUP(G728/$AH728,F!$A1:$B101,2,1)*G728*$H728*$I728,0)+IF(ISNUMBER(K728), VLOOKUP(K728/$AH728,F!$A1:$B101,2,1)*K728*$L728*$M728,0)+IF(ISNUMBER(O728), VLOOKUP(O728/$AH728,F!$A1:$B101,2,1)*O728*$P728*$Q728,0)+IF(ISNUMBER(S728), VLOOKUP(S728/$AH728,F!$A1:$B101,2,1)*S728*$T728*$U728,0)+IF(ISNUMBER(W728), VLOOKUP(W728/$AH728,F!$A1:$B101,2,1)*W728*$X728*$Y728,0)+IF(ISNUMBER(AA728), VLOOKUP(AA728/$AH728,F!$A1:$B101,2,1)*AA728*$AB728*$AC728,0))*IF(ISNUMBER(F728),F728,1)*IF(ISNUMBER(E728),E728,1)</f>
        <v>0</v>
      </c>
      <c r="AJ728" s="140">
        <f t="shared" si="1448"/>
        <v>0</v>
      </c>
      <c r="AK728" s="145">
        <f t="array" ref="AK728">IFERROR(I728*INDEX(F!$P$21:$AB$33, MATCH(G728/$AH728, F!$O$21:$O$33,1), MATCH(E728, F!$P$20:$AB$20,1)), 0 ) +IFERROR( M728*INDEX(F!$P$21:$AB$33, MATCH(K728/$AH728, F!$O$21:$O$33,1), MATCH(E728, F!$P$20:$AB$20,1)),0) +  IFERROR( Q728*INDEX(F!$P$21:$AB$33, MATCH(O728/$AH728, F!$O$21:$O$33,1), MATCH(E728, F!$P$20:$AB$20,1)), 0) + IFERROR( U728*INDEX(F!$P$21:$AB$33, MATCH(S728/$AH728, F!$O$21:$O$33,1), MATCH(E728, F!$P$20:$AB$20,1)),0)  + IFERROR(Y728*INDEX(F!$P$21:$AB$33, MATCH(W728/$AH728, F!$O$21:$O$33,1), MATCH(E728, F!$P$20:$AB$20,1)),0)  + IFERROR( AC728*INDEX(F!$P$21:$AB$33, MATCH(AA728/$AH728, F!$O$21:$O$33,1), MATCH(E728, F!$P$20:$AB$20,1)),)</f>
        <v>0</v>
      </c>
      <c r="AL728" s="59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 ht="15.75" hidden="1" customHeight="1">
      <c r="A729" s="98"/>
      <c r="B729" s="188"/>
      <c r="C729" s="189"/>
      <c r="D729" s="190"/>
      <c r="E729" s="102">
        <f>ROUND(IFERROR(SUMPRODUCT(AJ721:AJ728,E721:E728)/AJ729,0),3)</f>
        <v>0</v>
      </c>
      <c r="F729" s="191"/>
      <c r="G729" s="201"/>
      <c r="H729" s="193"/>
      <c r="I729" s="193"/>
      <c r="J729" s="194"/>
      <c r="K729" s="201"/>
      <c r="L729" s="193"/>
      <c r="M729" s="193"/>
      <c r="N729" s="194"/>
      <c r="O729" s="201"/>
      <c r="P729" s="193"/>
      <c r="Q729" s="193"/>
      <c r="R729" s="194"/>
      <c r="S729" s="201"/>
      <c r="T729" s="193"/>
      <c r="U729" s="193"/>
      <c r="V729" s="194"/>
      <c r="W729" s="201"/>
      <c r="X729" s="193"/>
      <c r="Y729" s="193"/>
      <c r="Z729" s="194"/>
      <c r="AA729" s="201"/>
      <c r="AB729" s="193"/>
      <c r="AC729" s="193"/>
      <c r="AD729" s="194"/>
      <c r="AE729" s="107">
        <f>SUM(AE721:AE728)</f>
        <v>0</v>
      </c>
      <c r="AF729" s="108">
        <f t="shared" si="1350"/>
        <v>0</v>
      </c>
      <c r="AG729" s="109">
        <f>IFERROR(  SUMPRODUCT(AG721:AG728,AJ721:AJ728)/AJ729,0)</f>
        <v>0</v>
      </c>
      <c r="AH729" s="157"/>
      <c r="AI729" s="111">
        <f t="shared" ref="AI729:AJ729" si="1455">SUM(AI721:AI728)</f>
        <v>0</v>
      </c>
      <c r="AJ729" s="111">
        <f t="shared" si="1455"/>
        <v>0</v>
      </c>
      <c r="AK729" s="112">
        <f>IF(SUM(AK721:AK728)=0,TIME(,0,),TIME(,SUM(AK721:AK728)+F!$V$37,))</f>
        <v>0</v>
      </c>
      <c r="AL729" s="98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 ht="15.75" hidden="1" customHeight="1">
      <c r="A730" s="204">
        <f>A674</f>
        <v>7</v>
      </c>
      <c r="B730" s="205"/>
      <c r="C730" s="205"/>
      <c r="D730" s="205"/>
      <c r="E730" s="7">
        <f>IF(AJ730=0,0,(E740*AJ740 + E749*AJ749 + E758*AJ758 + E767*AJ767 + E776*AJ776 + E785*AJ785   ) /AJ730 )</f>
        <v>0</v>
      </c>
      <c r="F730" s="206" t="s">
        <v>0</v>
      </c>
      <c r="G730" s="9"/>
      <c r="H730" s="9"/>
      <c r="I730" s="9"/>
      <c r="J730" s="9"/>
      <c r="K730" s="9"/>
      <c r="L730" s="9"/>
      <c r="M730" s="10"/>
      <c r="N730" s="221">
        <f>N674+1</f>
        <v>14</v>
      </c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  <c r="AA730" s="222"/>
      <c r="AB730" s="222"/>
      <c r="AC730" s="222"/>
      <c r="AD730" s="223"/>
      <c r="AE730" s="224">
        <f>AE740+AE749+AE758+AE767+AE776+AE785</f>
        <v>0</v>
      </c>
      <c r="AF730" s="225">
        <f t="shared" si="1350"/>
        <v>0</v>
      </c>
      <c r="AG730" s="226">
        <f>IF(AJ730=0,0,(AG740*AJ740 + AG749*AJ749 + AG758*AJ758 + AG767*AJ767 + AG776*AJ776 + AG785*AJ785   ) /AJ730 )</f>
        <v>0</v>
      </c>
      <c r="AH730" s="210">
        <f>AH674</f>
        <v>0.02</v>
      </c>
      <c r="AI730" s="224">
        <f t="shared" ref="AI730:AK730" si="1456">AI740+AI749+AI758+AI767+AI776+AI785</f>
        <v>0</v>
      </c>
      <c r="AJ730" s="224">
        <f t="shared" si="1456"/>
        <v>0</v>
      </c>
      <c r="AK730" s="227">
        <f t="shared" si="1456"/>
        <v>0</v>
      </c>
      <c r="AL730" s="212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 ht="15.75" hidden="1" customHeight="1">
      <c r="A731" s="19" t="s">
        <v>1</v>
      </c>
      <c r="B731" s="20" t="s">
        <v>2</v>
      </c>
      <c r="C731" s="20" t="s">
        <v>3</v>
      </c>
      <c r="D731" s="20" t="s">
        <v>4</v>
      </c>
      <c r="E731" s="20" t="s">
        <v>5</v>
      </c>
      <c r="F731" s="20" t="s">
        <v>6</v>
      </c>
      <c r="G731" s="20" t="s">
        <v>7</v>
      </c>
      <c r="H731" s="20" t="s">
        <v>8</v>
      </c>
      <c r="I731" s="20" t="s">
        <v>9</v>
      </c>
      <c r="J731" s="20" t="s">
        <v>10</v>
      </c>
      <c r="K731" s="20" t="s">
        <v>7</v>
      </c>
      <c r="L731" s="20" t="s">
        <v>8</v>
      </c>
      <c r="M731" s="20" t="s">
        <v>9</v>
      </c>
      <c r="N731" s="20" t="s">
        <v>10</v>
      </c>
      <c r="O731" s="20" t="s">
        <v>7</v>
      </c>
      <c r="P731" s="20" t="s">
        <v>8</v>
      </c>
      <c r="Q731" s="20" t="s">
        <v>9</v>
      </c>
      <c r="R731" s="20" t="s">
        <v>10</v>
      </c>
      <c r="S731" s="20" t="s">
        <v>7</v>
      </c>
      <c r="T731" s="20" t="s">
        <v>8</v>
      </c>
      <c r="U731" s="20" t="s">
        <v>9</v>
      </c>
      <c r="V731" s="20" t="s">
        <v>10</v>
      </c>
      <c r="W731" s="20" t="s">
        <v>7</v>
      </c>
      <c r="X731" s="20" t="s">
        <v>8</v>
      </c>
      <c r="Y731" s="20" t="s">
        <v>9</v>
      </c>
      <c r="Z731" s="20" t="s">
        <v>10</v>
      </c>
      <c r="AA731" s="20" t="s">
        <v>7</v>
      </c>
      <c r="AB731" s="20" t="s">
        <v>8</v>
      </c>
      <c r="AC731" s="20" t="s">
        <v>9</v>
      </c>
      <c r="AD731" s="21" t="s">
        <v>10</v>
      </c>
      <c r="AE731" s="20" t="s">
        <v>11</v>
      </c>
      <c r="AF731" s="20" t="s">
        <v>12</v>
      </c>
      <c r="AG731" s="20" t="s">
        <v>13</v>
      </c>
      <c r="AH731" s="213" t="s">
        <v>14</v>
      </c>
      <c r="AI731" s="23" t="s">
        <v>15</v>
      </c>
      <c r="AJ731" s="20" t="s">
        <v>16</v>
      </c>
      <c r="AK731" s="21" t="s">
        <v>17</v>
      </c>
      <c r="AL731" s="214" t="s">
        <v>18</v>
      </c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 ht="15.75" hidden="1" customHeight="1">
      <c r="A732" s="25">
        <f>A733</f>
        <v>43871</v>
      </c>
      <c r="B732" s="26" t="str">
        <f t="shared" ref="B732:F732" si="1457">IF(B676="","",B676)</f>
        <v>Средняя</v>
      </c>
      <c r="C732" s="27" t="str">
        <f t="shared" si="1457"/>
        <v>ПР</v>
      </c>
      <c r="D732" s="28" t="str">
        <f t="shared" si="1457"/>
        <v>Присед</v>
      </c>
      <c r="E732" s="29">
        <f t="shared" si="1457"/>
        <v>1.2</v>
      </c>
      <c r="F732" s="30" t="str">
        <f t="shared" si="1457"/>
        <v/>
      </c>
      <c r="G732" s="31" t="str">
        <f t="shared" ref="G732:G739" si="1459">IF(J732&lt;&gt;0, IFERROR(IF( $F732=2,  MROUND($AH732*J732,1),    IF( OR($F732="",$F732=1),   MROUND($AH732*J732,2.5),  MROUND($AH732*J732, 0.1))), "" ), "")</f>
        <v/>
      </c>
      <c r="H732" s="32"/>
      <c r="I732" s="32"/>
      <c r="J732" s="33"/>
      <c r="K732" s="31" t="str">
        <f t="shared" ref="K732:K739" si="1460">IF(N732&lt;&gt;0, IFERROR(IF( $F732=2,  MROUND($AH732*N732,1),    IF( OR($F732="",$F732=1),   MROUND($AH732*N732,2.5),  MROUND($AH732*N732, 0.1))), "" ), "")</f>
        <v/>
      </c>
      <c r="L732" s="32"/>
      <c r="M732" s="32"/>
      <c r="N732" s="33"/>
      <c r="O732" s="31" t="str">
        <f t="shared" ref="O732:O739" si="1461">IF(R732&lt;&gt;0, IFERROR(IF( $F732=2,  MROUND($AH732*R732,1),    IF( OR($F732="",$F732=1),   MROUND($AH732*R732,2.5),  MROUND($AH732*R732, 0.1))), "" ), "")</f>
        <v/>
      </c>
      <c r="P732" s="32"/>
      <c r="Q732" s="32"/>
      <c r="R732" s="33"/>
      <c r="S732" s="31" t="str">
        <f t="shared" ref="S732:S739" si="1462">IF(V732&lt;&gt;0, IFERROR(IF( $F732=2,  MROUND($AH732*V732,1),    IF( OR($F732="",$F732=1),   MROUND($AH732*V732,2.5),  MROUND($AH732*V732, 0.1))), "" ), "")</f>
        <v/>
      </c>
      <c r="T732" s="32"/>
      <c r="U732" s="32"/>
      <c r="V732" s="33"/>
      <c r="W732" s="31" t="str">
        <f t="shared" ref="W732:W739" si="1463">IF(Z732&lt;&gt;0, IFERROR(IF( $F732=2,  MROUND($AH732*Z732,1),    IF( OR($F732="",$F732=1),   MROUND($AH732*Z732,2.5),  MROUND($AH732*Z732, 0.1))), "" ), "")</f>
        <v/>
      </c>
      <c r="X732" s="32"/>
      <c r="Y732" s="32"/>
      <c r="Z732" s="33"/>
      <c r="AA732" s="31" t="str">
        <f t="shared" ref="AA732:AA739" si="1464">IF(AD732&lt;&gt;0, IFERROR(IF( $F732=2,  MROUND($AH732*AD732,1),    IF( OR($F732="",$F732=1),   MROUND($AH732*AD732,2.5),  MROUND($AH732*AD732, 0.1))), "" ), "")</f>
        <v/>
      </c>
      <c r="AB732" s="32"/>
      <c r="AC732" s="32"/>
      <c r="AD732" s="33"/>
      <c r="AE732" s="35">
        <f t="shared" ref="AE732:AE739" si="1465">(IF(ISNUMBER(G732),G732,0)*H732*I732+IF(ISNUMBER(K732),K732,1)*L732*M732+IF(ISNUMBER(O732),O732,1)*P732*Q732+IF(ISNUMBER(S732),S732,1)*T732*U732+IF(ISNUMBER(W732),W732,1)*X732*Y732+IF(ISNUMBER(AA732),AA732,1)*AB732*AC732)*IF(ISNUMBER(F732),F732,1)</f>
        <v>0</v>
      </c>
      <c r="AF732" s="36">
        <f t="shared" ref="AF732:AF786" si="1466">IFERROR(AE732/AJ732,0)</f>
        <v>0</v>
      </c>
      <c r="AG732" s="195">
        <f t="shared" ref="AG732:AG739" si="1467">IFERROR((AF732/(AH732*IF(ISNUMBER(F732),F732,1))),0)</f>
        <v>0</v>
      </c>
      <c r="AH732" s="169">
        <f t="shared" ref="AH732:AH739" si="1468">IF(ISNUMBER(AH676), AH676+(AH676*$AH$730),"")</f>
        <v>174.6368951</v>
      </c>
      <c r="AI732" s="70">
        <f> ( IF(ISNUMBER(G732), VLOOKUP(G732/$AH732,F!$A1:$B101,2,1)*G732*$H732*$I732,0)+IF(ISNUMBER(K732), VLOOKUP(K732/$AH732,F!$A1:$B101,2,1)*K732*$L732*$M732,0)+IF(ISNUMBER(O732), VLOOKUP(O732/$AH732,F!$A1:$B101,2,1)*O732*$P732*$Q732,0)+IF(ISNUMBER(S732), VLOOKUP(S732/$AH732,F!$A1:$B101,2,1)*S732*$T732*$U732,0)+IF(ISNUMBER(W732), VLOOKUP(W732/$AH732,F!$A1:$B101,2,1)*W732*$X732*$Y732,0)+IF(ISNUMBER(AA732), VLOOKUP(AA732/$AH732,F!$A1:$B101,2,1)*AA732*$AB732*$AC732,0))*IF(ISNUMBER(F732),F732,1)*IF(ISNUMBER(E732),E732,1)</f>
        <v>0</v>
      </c>
      <c r="AJ732" s="40">
        <f t="shared" ref="AJ732:AJ739" si="1469">H732*I732+L732*M732+P732*Q732+T732*U732+X732*Y732+AB732*AC732</f>
        <v>0</v>
      </c>
      <c r="AK732" s="41">
        <f t="array" ref="AK732">IFERROR(I732*INDEX(F!$P$21:$AB$33, MATCH(G732/$AH732, F!$O$21:$O$33,1), MATCH(E732, F!$P$20:$AB$20,1)), 0 ) +IFERROR( M732*INDEX(F!$P$21:$AB$33, MATCH(K732/$AH732, F!$O$21:$O$33,1), MATCH(E732, F!$P$20:$AB$20,1)),0) +  IFERROR( Q732*INDEX(F!$P$21:$AB$33, MATCH(O732/$AH732, F!$O$21:$O$33,1), MATCH(E732, F!$P$20:$AB$20,1)), 0) + IFERROR( U732*INDEX(F!$P$21:$AB$33, MATCH(S732/$AH732, F!$O$21:$O$33,1), MATCH(E732, F!$P$20:$AB$20,1)),0)  + IFERROR(Y732*INDEX(F!$P$21:$AB$33, MATCH(W732/$AH732, F!$O$21:$O$33,1), MATCH(E732, F!$P$20:$AB$20,1)),0)  + IFERROR( AC732*INDEX(F!$P$21:$AB$33, MATCH(AA732/$AH732, F!$O$21:$O$33,1), MATCH(E732, F!$P$20:$AB$20,1)),)</f>
        <v>0</v>
      </c>
      <c r="AL732" s="42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 ht="15.75" hidden="1" customHeight="1">
      <c r="A733" s="44">
        <f>A677+A674</f>
        <v>43871</v>
      </c>
      <c r="B733" s="45" t="str">
        <f t="shared" ref="B733:F733" si="1458">IF(B677="","",B677)</f>
        <v>Средняя</v>
      </c>
      <c r="C733" s="46" t="str">
        <f t="shared" si="1458"/>
        <v>ЖМ</v>
      </c>
      <c r="D733" s="47" t="str">
        <f t="shared" si="1458"/>
        <v>Жим лежа</v>
      </c>
      <c r="E733" s="48">
        <f t="shared" si="1458"/>
        <v>1</v>
      </c>
      <c r="F733" s="49" t="str">
        <f t="shared" si="1458"/>
        <v/>
      </c>
      <c r="G733" s="50" t="str">
        <f t="shared" si="1459"/>
        <v/>
      </c>
      <c r="H733" s="51"/>
      <c r="I733" s="51"/>
      <c r="J733" s="52"/>
      <c r="K733" s="50" t="str">
        <f t="shared" si="1460"/>
        <v/>
      </c>
      <c r="L733" s="51"/>
      <c r="M733" s="51"/>
      <c r="N733" s="52"/>
      <c r="O733" s="50" t="str">
        <f t="shared" si="1461"/>
        <v/>
      </c>
      <c r="P733" s="51"/>
      <c r="Q733" s="51"/>
      <c r="R733" s="52"/>
      <c r="S733" s="50" t="str">
        <f t="shared" si="1462"/>
        <v/>
      </c>
      <c r="T733" s="51"/>
      <c r="U733" s="51"/>
      <c r="V733" s="52"/>
      <c r="W733" s="50" t="str">
        <f t="shared" si="1463"/>
        <v/>
      </c>
      <c r="X733" s="51"/>
      <c r="Y733" s="51"/>
      <c r="Z733" s="52"/>
      <c r="AA733" s="50" t="str">
        <f t="shared" si="1464"/>
        <v/>
      </c>
      <c r="AB733" s="51"/>
      <c r="AC733" s="51"/>
      <c r="AD733" s="52"/>
      <c r="AE733" s="53">
        <f t="shared" si="1465"/>
        <v>0</v>
      </c>
      <c r="AF733" s="54">
        <f t="shared" si="1466"/>
        <v>0</v>
      </c>
      <c r="AG733" s="75">
        <f t="shared" si="1467"/>
        <v>0</v>
      </c>
      <c r="AH733" s="76">
        <f t="shared" si="1468"/>
        <v>122.8926299</v>
      </c>
      <c r="AI733" s="77">
        <f> ( IF(ISNUMBER(G733), VLOOKUP(G733/$AH733,F!$A1:$B101,2,1)*G733*$H733*$I733,0)+IF(ISNUMBER(K733), VLOOKUP(K733/$AH733,F!$A1:$B101,2,1)*K733*$L733*$M733,0)+IF(ISNUMBER(O733), VLOOKUP(O733/$AH733,F!$A1:$B101,2,1)*O733*$P733*$Q733,0)+IF(ISNUMBER(S733), VLOOKUP(S733/$AH733,F!$A1:$B101,2,1)*S733*$T733*$U733,0)+IF(ISNUMBER(W733), VLOOKUP(W733/$AH733,F!$A1:$B101,2,1)*W733*$X733*$Y733,0)+IF(ISNUMBER(AA733), VLOOKUP(AA733/$AH733,F!$A1:$B101,2,1)*AA733*$AB733*$AC733,0))*IF(ISNUMBER(F733),F733,1)*IF(ISNUMBER(E733),E733,1)</f>
        <v>0</v>
      </c>
      <c r="AJ733" s="57">
        <f t="shared" si="1469"/>
        <v>0</v>
      </c>
      <c r="AK733" s="58">
        <f t="array" ref="AK733">IFERROR(I733*INDEX(F!$P$21:$AB$33, MATCH(G733/$AH733, F!$O$21:$O$33,1), MATCH(E733, F!$P$20:$AB$20,1)), 0 ) +IFERROR( M733*INDEX(F!$P$21:$AB$33, MATCH(K733/$AH733, F!$O$21:$O$33,1), MATCH(E733, F!$P$20:$AB$20,1)),0) +  IFERROR( Q733*INDEX(F!$P$21:$AB$33, MATCH(O733/$AH733, F!$O$21:$O$33,1), MATCH(E733, F!$P$20:$AB$20,1)), 0) + IFERROR( U733*INDEX(F!$P$21:$AB$33, MATCH(S733/$AH733, F!$O$21:$O$33,1), MATCH(E733, F!$P$20:$AB$20,1)),0)  + IFERROR(Y733*INDEX(F!$P$21:$AB$33, MATCH(W733/$AH733, F!$O$21:$O$33,1), MATCH(E733, F!$P$20:$AB$20,1)),0)  + IFERROR( AC733*INDEX(F!$P$21:$AB$33, MATCH(AA733/$AH733, F!$O$21:$O$33,1), MATCH(E733, F!$P$20:$AB$20,1)),)</f>
        <v>0</v>
      </c>
      <c r="AL733" s="59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 ht="15.75" hidden="1" customHeight="1">
      <c r="A734" s="59"/>
      <c r="B734" s="60" t="str">
        <f t="shared" ref="B734:F734" si="1470">IF(B678="","",B678)</f>
        <v>Тяжелая</v>
      </c>
      <c r="C734" s="61" t="str">
        <f t="shared" si="1470"/>
        <v>ПР</v>
      </c>
      <c r="D734" s="62" t="str">
        <f t="shared" si="1470"/>
        <v>Присед</v>
      </c>
      <c r="E734" s="48">
        <f t="shared" si="1470"/>
        <v>1.2</v>
      </c>
      <c r="F734" s="63" t="str">
        <f t="shared" si="1470"/>
        <v/>
      </c>
      <c r="G734" s="64" t="str">
        <f t="shared" si="1459"/>
        <v/>
      </c>
      <c r="H734" s="34"/>
      <c r="I734" s="34"/>
      <c r="J734" s="65"/>
      <c r="K734" s="64" t="str">
        <f t="shared" si="1460"/>
        <v/>
      </c>
      <c r="L734" s="34"/>
      <c r="M734" s="34"/>
      <c r="N734" s="65"/>
      <c r="O734" s="64" t="str">
        <f t="shared" si="1461"/>
        <v/>
      </c>
      <c r="P734" s="34"/>
      <c r="Q734" s="34"/>
      <c r="R734" s="65"/>
      <c r="S734" s="64" t="str">
        <f t="shared" si="1462"/>
        <v/>
      </c>
      <c r="T734" s="34"/>
      <c r="U734" s="34"/>
      <c r="V734" s="65"/>
      <c r="W734" s="64" t="str">
        <f t="shared" si="1463"/>
        <v/>
      </c>
      <c r="X734" s="34"/>
      <c r="Y734" s="34"/>
      <c r="Z734" s="65"/>
      <c r="AA734" s="64" t="str">
        <f t="shared" si="1464"/>
        <v/>
      </c>
      <c r="AB734" s="34"/>
      <c r="AC734" s="34"/>
      <c r="AD734" s="65"/>
      <c r="AE734" s="66">
        <f t="shared" si="1465"/>
        <v>0</v>
      </c>
      <c r="AF734" s="67">
        <f t="shared" si="1466"/>
        <v>0</v>
      </c>
      <c r="AG734" s="68">
        <f t="shared" si="1467"/>
        <v>0</v>
      </c>
      <c r="AH734" s="76">
        <f t="shared" si="1468"/>
        <v>174.6368951</v>
      </c>
      <c r="AI734" s="70">
        <f> ( IF(ISNUMBER(G734), VLOOKUP(G734/$AH734,F!$A1:$B101,2,1)*G734*$H734*$I734,0)+IF(ISNUMBER(K734), VLOOKUP(K734/$AH734,F!$A1:$B101,2,1)*K734*$L734*$M734,0)+IF(ISNUMBER(O734), VLOOKUP(O734/$AH734,F!$A1:$B101,2,1)*O734*$P734*$Q734,0)+IF(ISNUMBER(S734), VLOOKUP(S734/$AH734,F!$A1:$B101,2,1)*S734*$T734*$U734,0)+IF(ISNUMBER(W734), VLOOKUP(W734/$AH734,F!$A1:$B101,2,1)*W734*$X734*$Y734,0)+IF(ISNUMBER(AA734), VLOOKUP(AA734/$AH734,F!$A1:$B101,2,1)*AA734*$AB734*$AC734,0))*IF(ISNUMBER(F734),F734,1)*IF(ISNUMBER(E734),E734,1)</f>
        <v>0</v>
      </c>
      <c r="AJ734" s="71">
        <f t="shared" si="1469"/>
        <v>0</v>
      </c>
      <c r="AK734" s="72">
        <f t="array" ref="AK734">IFERROR(I734*INDEX(F!$P$21:$AB$33, MATCH(G734/$AH734, F!$O$21:$O$33,1), MATCH(E734, F!$P$20:$AB$20,1)), 0 ) +IFERROR( M734*INDEX(F!$P$21:$AB$33, MATCH(K734/$AH734, F!$O$21:$O$33,1), MATCH(E734, F!$P$20:$AB$20,1)),0) +  IFERROR( Q734*INDEX(F!$P$21:$AB$33, MATCH(O734/$AH734, F!$O$21:$O$33,1), MATCH(E734, F!$P$20:$AB$20,1)), 0) + IFERROR( U734*INDEX(F!$P$21:$AB$33, MATCH(S734/$AH734, F!$O$21:$O$33,1), MATCH(E734, F!$P$20:$AB$20,1)),0)  + IFERROR(Y734*INDEX(F!$P$21:$AB$33, MATCH(W734/$AH734, F!$O$21:$O$33,1), MATCH(E734, F!$P$20:$AB$20,1)),0)  + IFERROR( AC734*INDEX(F!$P$21:$AB$33, MATCH(AA734/$AH734, F!$O$21:$O$33,1), MATCH(E734, F!$P$20:$AB$20,1)),)</f>
        <v>0</v>
      </c>
      <c r="AL734" s="59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 ht="15.75" hidden="1" customHeight="1">
      <c r="A735" s="59"/>
      <c r="B735" s="215" t="str">
        <f t="shared" ref="B735:F735" si="1471">IF(B679="","",B679)</f>
        <v>Средняя</v>
      </c>
      <c r="C735" s="73" t="str">
        <f t="shared" si="1471"/>
        <v>ЖМ</v>
      </c>
      <c r="D735" s="47" t="str">
        <f t="shared" si="1471"/>
        <v>Жим гантелей</v>
      </c>
      <c r="E735" s="48">
        <f t="shared" si="1471"/>
        <v>1</v>
      </c>
      <c r="F735" s="74">
        <f t="shared" si="1471"/>
        <v>2</v>
      </c>
      <c r="G735" s="50" t="str">
        <f t="shared" si="1459"/>
        <v/>
      </c>
      <c r="H735" s="51"/>
      <c r="I735" s="51"/>
      <c r="J735" s="52"/>
      <c r="K735" s="50" t="str">
        <f t="shared" si="1460"/>
        <v/>
      </c>
      <c r="L735" s="51"/>
      <c r="M735" s="51"/>
      <c r="N735" s="52"/>
      <c r="O735" s="50" t="str">
        <f t="shared" si="1461"/>
        <v/>
      </c>
      <c r="P735" s="51"/>
      <c r="Q735" s="51"/>
      <c r="R735" s="52"/>
      <c r="S735" s="50" t="str">
        <f t="shared" si="1462"/>
        <v/>
      </c>
      <c r="T735" s="51"/>
      <c r="U735" s="51"/>
      <c r="V735" s="52"/>
      <c r="W735" s="50" t="str">
        <f t="shared" si="1463"/>
        <v/>
      </c>
      <c r="X735" s="51"/>
      <c r="Y735" s="51"/>
      <c r="Z735" s="52"/>
      <c r="AA735" s="50" t="str">
        <f t="shared" si="1464"/>
        <v/>
      </c>
      <c r="AB735" s="51"/>
      <c r="AC735" s="51"/>
      <c r="AD735" s="52"/>
      <c r="AE735" s="53">
        <f t="shared" si="1465"/>
        <v>0</v>
      </c>
      <c r="AF735" s="54">
        <f t="shared" si="1466"/>
        <v>0</v>
      </c>
      <c r="AG735" s="75">
        <f t="shared" si="1467"/>
        <v>0</v>
      </c>
      <c r="AH735" s="76">
        <f t="shared" si="1468"/>
        <v>39.32564157</v>
      </c>
      <c r="AI735" s="77">
        <f> ( IF(ISNUMBER(G735), VLOOKUP(G735/$AH735,F!$A1:$B101,2,1)*G735*$H735*$I735,0)+IF(ISNUMBER(K735), VLOOKUP(K735/$AH735,F!$A1:$B101,2,1)*K735*$L735*$M735,0)+IF(ISNUMBER(O735), VLOOKUP(O735/$AH735,F!$A1:$B101,2,1)*O735*$P735*$Q735,0)+IF(ISNUMBER(S735), VLOOKUP(S735/$AH735,F!$A1:$B101,2,1)*S735*$T735*$U735,0)+IF(ISNUMBER(W735), VLOOKUP(W735/$AH735,F!$A1:$B101,2,1)*W735*$X735*$Y735,0)+IF(ISNUMBER(AA735), VLOOKUP(AA735/$AH735,F!$A1:$B101,2,1)*AA735*$AB735*$AC735,0))*IF(ISNUMBER(F735),F735,1)*IF(ISNUMBER(E735),E735,1)</f>
        <v>0</v>
      </c>
      <c r="AJ735" s="57">
        <f t="shared" si="1469"/>
        <v>0</v>
      </c>
      <c r="AK735" s="58">
        <f t="array" ref="AK735">IFERROR(I735*INDEX(F!$P$21:$AB$33, MATCH(G735/$AH735, F!$O$21:$O$33,1), MATCH(E735, F!$P$20:$AB$20,1)), 0 ) +IFERROR( M735*INDEX(F!$P$21:$AB$33, MATCH(K735/$AH735, F!$O$21:$O$33,1), MATCH(E735, F!$P$20:$AB$20,1)),0) +  IFERROR( Q735*INDEX(F!$P$21:$AB$33, MATCH(O735/$AH735, F!$O$21:$O$33,1), MATCH(E735, F!$P$20:$AB$20,1)), 0) + IFERROR( U735*INDEX(F!$P$21:$AB$33, MATCH(S735/$AH735, F!$O$21:$O$33,1), MATCH(E735, F!$P$20:$AB$20,1)),0)  + IFERROR(Y735*INDEX(F!$P$21:$AB$33, MATCH(W735/$AH735, F!$O$21:$O$33,1), MATCH(E735, F!$P$20:$AB$20,1)),0)  + IFERROR( AC735*INDEX(F!$P$21:$AB$33, MATCH(AA735/$AH735, F!$O$21:$O$33,1), MATCH(E735, F!$P$20:$AB$20,1)),)</f>
        <v>0</v>
      </c>
      <c r="AL735" s="59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 ht="15.75" hidden="1" customHeight="1">
      <c r="A736" s="59"/>
      <c r="B736" s="216" t="str">
        <f t="shared" ref="B736:F736" si="1472">IF(B680="","",B680)</f>
        <v>Средняя</v>
      </c>
      <c r="C736" s="78" t="str">
        <f t="shared" si="1472"/>
        <v>ОФП</v>
      </c>
      <c r="D736" s="62" t="str">
        <f t="shared" si="1472"/>
        <v>Французский жим</v>
      </c>
      <c r="E736" s="48">
        <f t="shared" si="1472"/>
        <v>0.4</v>
      </c>
      <c r="F736" s="79" t="str">
        <f t="shared" si="1472"/>
        <v/>
      </c>
      <c r="G736" s="64" t="str">
        <f t="shared" si="1459"/>
        <v/>
      </c>
      <c r="H736" s="34"/>
      <c r="I736" s="34"/>
      <c r="J736" s="65"/>
      <c r="K736" s="64" t="str">
        <f t="shared" si="1460"/>
        <v/>
      </c>
      <c r="L736" s="34"/>
      <c r="M736" s="34"/>
      <c r="N736" s="65"/>
      <c r="O736" s="64" t="str">
        <f t="shared" si="1461"/>
        <v/>
      </c>
      <c r="P736" s="34"/>
      <c r="Q736" s="34"/>
      <c r="R736" s="65"/>
      <c r="S736" s="64" t="str">
        <f t="shared" si="1462"/>
        <v/>
      </c>
      <c r="T736" s="34"/>
      <c r="U736" s="34"/>
      <c r="V736" s="65"/>
      <c r="W736" s="64" t="str">
        <f t="shared" si="1463"/>
        <v/>
      </c>
      <c r="X736" s="34"/>
      <c r="Y736" s="34"/>
      <c r="Z736" s="65"/>
      <c r="AA736" s="64" t="str">
        <f t="shared" si="1464"/>
        <v/>
      </c>
      <c r="AB736" s="34"/>
      <c r="AC736" s="34"/>
      <c r="AD736" s="65"/>
      <c r="AE736" s="66">
        <f t="shared" si="1465"/>
        <v>0</v>
      </c>
      <c r="AF736" s="67">
        <f t="shared" si="1466"/>
        <v>0</v>
      </c>
      <c r="AG736" s="68">
        <f t="shared" si="1467"/>
        <v>0</v>
      </c>
      <c r="AH736" s="76">
        <f t="shared" si="1468"/>
        <v>56.53060975</v>
      </c>
      <c r="AI736" s="70">
        <f> ( IF(ISNUMBER(G736), VLOOKUP(G736/$AH736,F!$A1:$B101,2,1)*G736*$H736*$I736,0)+IF(ISNUMBER(K736), VLOOKUP(K736/$AH736,F!$A1:$B101,2,1)*K736*$L736*$M736,0)+IF(ISNUMBER(O736), VLOOKUP(O736/$AH736,F!$A1:$B101,2,1)*O736*$P736*$Q736,0)+IF(ISNUMBER(S736), VLOOKUP(S736/$AH736,F!$A1:$B101,2,1)*S736*$T736*$U736,0)+IF(ISNUMBER(W736), VLOOKUP(W736/$AH736,F!$A1:$B101,2,1)*W736*$X736*$Y736,0)+IF(ISNUMBER(AA736), VLOOKUP(AA736/$AH736,F!$A1:$B101,2,1)*AA736*$AB736*$AC736,0))*IF(ISNUMBER(F736),F736,1)*IF(ISNUMBER(E736),E736,1)</f>
        <v>0</v>
      </c>
      <c r="AJ736" s="71">
        <f t="shared" si="1469"/>
        <v>0</v>
      </c>
      <c r="AK736" s="72">
        <f t="array" ref="AK736">IFERROR(I736*INDEX(F!$P$21:$AB$33, MATCH(G736/$AH736, F!$O$21:$O$33,1), MATCH(E736, F!$P$20:$AB$20,1)), 0 ) +IFERROR( M736*INDEX(F!$P$21:$AB$33, MATCH(K736/$AH736, F!$O$21:$O$33,1), MATCH(E736, F!$P$20:$AB$20,1)),0) +  IFERROR( Q736*INDEX(F!$P$21:$AB$33, MATCH(O736/$AH736, F!$O$21:$O$33,1), MATCH(E736, F!$P$20:$AB$20,1)), 0) + IFERROR( U736*INDEX(F!$P$21:$AB$33, MATCH(S736/$AH736, F!$O$21:$O$33,1), MATCH(E736, F!$P$20:$AB$20,1)),0)  + IFERROR(Y736*INDEX(F!$P$21:$AB$33, MATCH(W736/$AH736, F!$O$21:$O$33,1), MATCH(E736, F!$P$20:$AB$20,1)),0)  + IFERROR( AC736*INDEX(F!$P$21:$AB$33, MATCH(AA736/$AH736, F!$O$21:$O$33,1), MATCH(E736, F!$P$20:$AB$20,1)),)</f>
        <v>0</v>
      </c>
      <c r="AL736" s="59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 ht="15.75" hidden="1" customHeight="1">
      <c r="A737" s="59"/>
      <c r="B737" s="45" t="str">
        <f t="shared" ref="B737:F737" si="1473">IF(B681="","",B681)</f>
        <v/>
      </c>
      <c r="C737" s="46" t="str">
        <f t="shared" si="1473"/>
        <v/>
      </c>
      <c r="D737" s="197" t="str">
        <f t="shared" si="1473"/>
        <v/>
      </c>
      <c r="E737" s="48" t="str">
        <f t="shared" si="1473"/>
        <v/>
      </c>
      <c r="F737" s="83" t="str">
        <f t="shared" si="1473"/>
        <v/>
      </c>
      <c r="G737" s="50" t="str">
        <f t="shared" si="1459"/>
        <v/>
      </c>
      <c r="H737" s="51"/>
      <c r="I737" s="51"/>
      <c r="J737" s="52"/>
      <c r="K737" s="50" t="str">
        <f t="shared" si="1460"/>
        <v/>
      </c>
      <c r="L737" s="51"/>
      <c r="M737" s="51"/>
      <c r="N737" s="52"/>
      <c r="O737" s="50" t="str">
        <f t="shared" si="1461"/>
        <v/>
      </c>
      <c r="P737" s="51"/>
      <c r="Q737" s="51"/>
      <c r="R737" s="52"/>
      <c r="S737" s="50" t="str">
        <f t="shared" si="1462"/>
        <v/>
      </c>
      <c r="T737" s="51"/>
      <c r="U737" s="51"/>
      <c r="V737" s="52"/>
      <c r="W737" s="50" t="str">
        <f t="shared" si="1463"/>
        <v/>
      </c>
      <c r="X737" s="51"/>
      <c r="Y737" s="51"/>
      <c r="Z737" s="52"/>
      <c r="AA737" s="50" t="str">
        <f t="shared" si="1464"/>
        <v/>
      </c>
      <c r="AB737" s="51"/>
      <c r="AC737" s="51"/>
      <c r="AD737" s="52"/>
      <c r="AE737" s="53">
        <f t="shared" si="1465"/>
        <v>0</v>
      </c>
      <c r="AF737" s="54">
        <f t="shared" si="1466"/>
        <v>0</v>
      </c>
      <c r="AG737" s="75">
        <f t="shared" si="1467"/>
        <v>0</v>
      </c>
      <c r="AH737" s="76" t="str">
        <f t="shared" si="1468"/>
        <v/>
      </c>
      <c r="AI737" s="77">
        <f> ( IF(ISNUMBER(G737), VLOOKUP(G737/$AH737,F!$A1:$B101,2,1)*G737*$H737*$I737,0)+IF(ISNUMBER(K737), VLOOKUP(K737/$AH737,F!$A1:$B101,2,1)*K737*$L737*$M737,0)+IF(ISNUMBER(O737), VLOOKUP(O737/$AH737,F!$A1:$B101,2,1)*O737*$P737*$Q737,0)+IF(ISNUMBER(S737), VLOOKUP(S737/$AH737,F!$A1:$B101,2,1)*S737*$T737*$U737,0)+IF(ISNUMBER(W737), VLOOKUP(W737/$AH737,F!$A1:$B101,2,1)*W737*$X737*$Y737,0)+IF(ISNUMBER(AA737), VLOOKUP(AA737/$AH737,F!$A1:$B101,2,1)*AA737*$AB737*$AC737,0))*IF(ISNUMBER(F737),F737,1)*IF(ISNUMBER(E737),E737,1)</f>
        <v>0</v>
      </c>
      <c r="AJ737" s="86">
        <f t="shared" si="1469"/>
        <v>0</v>
      </c>
      <c r="AK737" s="58">
        <f t="array" ref="AK737">IFERROR(I737*INDEX(F!$P$21:$AB$33, MATCH(G737/$AH737, F!$O$21:$O$33,1), MATCH(E737, F!$P$20:$AB$20,1)), 0 ) +IFERROR( M737*INDEX(F!$P$21:$AB$33, MATCH(K737/$AH737, F!$O$21:$O$33,1), MATCH(E737, F!$P$20:$AB$20,1)),0) +  IFERROR( Q737*INDEX(F!$P$21:$AB$33, MATCH(O737/$AH737, F!$O$21:$O$33,1), MATCH(E737, F!$P$20:$AB$20,1)), 0) + IFERROR( U737*INDEX(F!$P$21:$AB$33, MATCH(S737/$AH737, F!$O$21:$O$33,1), MATCH(E737, F!$P$20:$AB$20,1)),0)  + IFERROR(Y737*INDEX(F!$P$21:$AB$33, MATCH(W737/$AH737, F!$O$21:$O$33,1), MATCH(E737, F!$P$20:$AB$20,1)),0)  + IFERROR( AC737*INDEX(F!$P$21:$AB$33, MATCH(AA737/$AH737, F!$O$21:$O$33,1), MATCH(E737, F!$P$20:$AB$20,1)),)</f>
        <v>0</v>
      </c>
      <c r="AL737" s="59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 ht="15.0" hidden="1" customHeight="1">
      <c r="A738" s="59"/>
      <c r="B738" s="60" t="str">
        <f t="shared" ref="B738:F738" si="1474">IF(B682="","",B682)</f>
        <v/>
      </c>
      <c r="C738" s="61" t="str">
        <f t="shared" si="1474"/>
        <v/>
      </c>
      <c r="D738" s="198" t="str">
        <f t="shared" si="1474"/>
        <v/>
      </c>
      <c r="E738" s="48" t="str">
        <f t="shared" si="1474"/>
        <v/>
      </c>
      <c r="F738" s="79" t="str">
        <f t="shared" si="1474"/>
        <v/>
      </c>
      <c r="G738" s="64" t="str">
        <f t="shared" si="1459"/>
        <v/>
      </c>
      <c r="H738" s="34"/>
      <c r="I738" s="34"/>
      <c r="J738" s="65"/>
      <c r="K738" s="64" t="str">
        <f t="shared" si="1460"/>
        <v/>
      </c>
      <c r="L738" s="34"/>
      <c r="M738" s="34"/>
      <c r="N738" s="65"/>
      <c r="O738" s="64" t="str">
        <f t="shared" si="1461"/>
        <v/>
      </c>
      <c r="P738" s="34"/>
      <c r="Q738" s="34"/>
      <c r="R738" s="65"/>
      <c r="S738" s="64" t="str">
        <f t="shared" si="1462"/>
        <v/>
      </c>
      <c r="T738" s="34"/>
      <c r="U738" s="34"/>
      <c r="V738" s="65"/>
      <c r="W738" s="64" t="str">
        <f t="shared" si="1463"/>
        <v/>
      </c>
      <c r="X738" s="34"/>
      <c r="Y738" s="34"/>
      <c r="Z738" s="65"/>
      <c r="AA738" s="64" t="str">
        <f t="shared" si="1464"/>
        <v/>
      </c>
      <c r="AB738" s="34"/>
      <c r="AC738" s="34"/>
      <c r="AD738" s="65"/>
      <c r="AE738" s="66">
        <f t="shared" si="1465"/>
        <v>0</v>
      </c>
      <c r="AF738" s="67">
        <f t="shared" si="1466"/>
        <v>0</v>
      </c>
      <c r="AG738" s="68">
        <f t="shared" si="1467"/>
        <v>0</v>
      </c>
      <c r="AH738" s="76" t="str">
        <f t="shared" si="1468"/>
        <v/>
      </c>
      <c r="AI738" s="90">
        <f> ( IF(ISNUMBER(G738), VLOOKUP(G738/$AH738,F!$A1:$B101,2,1)*G738*$H738*$I738,0)+IF(ISNUMBER(K738), VLOOKUP(K738/$AH738,F!$A1:$B101,2,1)*K738*$L738*$M738,0)+IF(ISNUMBER(O738), VLOOKUP(O738/$AH738,F!$A1:$B101,2,1)*O738*$P738*$Q738,0)+IF(ISNUMBER(S738), VLOOKUP(S738/$AH738,F!$A1:$B101,2,1)*S738*$T738*$U738,0)+IF(ISNUMBER(W738), VLOOKUP(W738/$AH738,F!$A1:$B101,2,1)*W738*$X738*$Y738,0)+IF(ISNUMBER(AA738), VLOOKUP(AA738/$AH738,F!$A1:$B101,2,1)*AA738*$AB738*$AC738,0))*IF(ISNUMBER(F738),F738,1)*IF(ISNUMBER(E738),E738,1)</f>
        <v>0</v>
      </c>
      <c r="AJ738" s="34">
        <f t="shared" si="1469"/>
        <v>0</v>
      </c>
      <c r="AK738" s="91">
        <f t="array" ref="AK738">IFERROR(I738*INDEX(F!$P$21:$AB$33, MATCH(G738/$AH738, F!$O$21:$O$33,1), MATCH(E738, F!$P$20:$AB$20,1)), 0 ) +IFERROR( M738*INDEX(F!$P$21:$AB$33, MATCH(K738/$AH738, F!$O$21:$O$33,1), MATCH(E738, F!$P$20:$AB$20,1)),0) +  IFERROR( Q738*INDEX(F!$P$21:$AB$33, MATCH(O738/$AH738, F!$O$21:$O$33,1), MATCH(E738, F!$P$20:$AB$20,1)), 0) + IFERROR( U738*INDEX(F!$P$21:$AB$33, MATCH(S738/$AH738, F!$O$21:$O$33,1), MATCH(E738, F!$P$20:$AB$20,1)),0)  + IFERROR(Y738*INDEX(F!$P$21:$AB$33, MATCH(W738/$AH738, F!$O$21:$O$33,1), MATCH(E738, F!$P$20:$AB$20,1)),0)  + IFERROR( AC738*INDEX(F!$P$21:$AB$33, MATCH(AA738/$AH738, F!$O$21:$O$33,1), MATCH(E738, F!$P$20:$AB$20,1)),)</f>
        <v>0</v>
      </c>
      <c r="AL738" s="59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 ht="15.0" hidden="1" customHeight="1">
      <c r="A739" s="59"/>
      <c r="B739" s="45" t="str">
        <f t="shared" ref="B739:F739" si="1475">IF(B683="","",B683)</f>
        <v/>
      </c>
      <c r="C739" s="46" t="str">
        <f t="shared" si="1475"/>
        <v/>
      </c>
      <c r="D739" s="92" t="str">
        <f t="shared" si="1475"/>
        <v/>
      </c>
      <c r="E739" s="48" t="str">
        <f t="shared" si="1475"/>
        <v/>
      </c>
      <c r="F739" s="74" t="str">
        <f t="shared" si="1475"/>
        <v/>
      </c>
      <c r="G739" s="50" t="str">
        <f t="shared" si="1459"/>
        <v/>
      </c>
      <c r="H739" s="51"/>
      <c r="I739" s="51"/>
      <c r="J739" s="52"/>
      <c r="K739" s="50" t="str">
        <f t="shared" si="1460"/>
        <v/>
      </c>
      <c r="L739" s="51"/>
      <c r="M739" s="51"/>
      <c r="N739" s="52"/>
      <c r="O739" s="50" t="str">
        <f t="shared" si="1461"/>
        <v/>
      </c>
      <c r="P739" s="51"/>
      <c r="Q739" s="51"/>
      <c r="R739" s="52"/>
      <c r="S739" s="50" t="str">
        <f t="shared" si="1462"/>
        <v/>
      </c>
      <c r="T739" s="51"/>
      <c r="U739" s="51"/>
      <c r="V739" s="52"/>
      <c r="W739" s="50" t="str">
        <f t="shared" si="1463"/>
        <v/>
      </c>
      <c r="X739" s="51"/>
      <c r="Y739" s="51"/>
      <c r="Z739" s="52"/>
      <c r="AA739" s="50" t="str">
        <f t="shared" si="1464"/>
        <v/>
      </c>
      <c r="AB739" s="51"/>
      <c r="AC739" s="51"/>
      <c r="AD739" s="52"/>
      <c r="AE739" s="53">
        <f t="shared" si="1465"/>
        <v>0</v>
      </c>
      <c r="AF739" s="93">
        <f t="shared" si="1466"/>
        <v>0</v>
      </c>
      <c r="AG739" s="94">
        <f t="shared" si="1467"/>
        <v>0</v>
      </c>
      <c r="AH739" s="76" t="str">
        <f t="shared" si="1468"/>
        <v/>
      </c>
      <c r="AI739" s="95">
        <f> ( IF(ISNUMBER(G739), VLOOKUP(G739/$AH739,F!$A1:$B101,2,1)*G739*$H739*$I739,0)+IF(ISNUMBER(K739), VLOOKUP(K739/$AH739,F!$A1:$B101,2,1)*K739*$L739*$M739,0)+IF(ISNUMBER(O739), VLOOKUP(O739/$AH739,F!$A1:$B101,2,1)*O739*$P739*$Q739,0)+IF(ISNUMBER(S739), VLOOKUP(S739/$AH739,F!$A1:$B101,2,1)*S739*$T739*$U739,0)+IF(ISNUMBER(W739), VLOOKUP(W739/$AH739,F!$A1:$B101,2,1)*W739*$X739*$Y739,0)+IF(ISNUMBER(AA739), VLOOKUP(AA739/$AH739,F!$A1:$B101,2,1)*AA739*$AB739*$AC739,0))*IF(ISNUMBER(F739),F739,1)*IF(ISNUMBER(E739),E739,1)</f>
        <v>0</v>
      </c>
      <c r="AJ739" s="96">
        <f t="shared" si="1469"/>
        <v>0</v>
      </c>
      <c r="AK739" s="97">
        <f t="array" ref="AK739">IFERROR(I739*INDEX(F!$P$21:$AB$33, MATCH(G739/$AH739, F!$O$21:$O$33,1), MATCH(E739, F!$P$20:$AB$20,1)), 0 ) +IFERROR( M739*INDEX(F!$P$21:$AB$33, MATCH(K739/$AH739, F!$O$21:$O$33,1), MATCH(E739, F!$P$20:$AB$20,1)),0) +  IFERROR( Q739*INDEX(F!$P$21:$AB$33, MATCH(O739/$AH739, F!$O$21:$O$33,1), MATCH(E739, F!$P$20:$AB$20,1)), 0) + IFERROR( U739*INDEX(F!$P$21:$AB$33, MATCH(S739/$AH739, F!$O$21:$O$33,1), MATCH(E739, F!$P$20:$AB$20,1)),0)  + IFERROR(Y739*INDEX(F!$P$21:$AB$33, MATCH(W739/$AH739, F!$O$21:$O$33,1), MATCH(E739, F!$P$20:$AB$20,1)),0)  + IFERROR( AC739*INDEX(F!$P$21:$AB$33, MATCH(AA739/$AH739, F!$O$21:$O$33,1), MATCH(E739, F!$P$20:$AB$20,1)),)</f>
        <v>0</v>
      </c>
      <c r="AL739" s="59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 ht="15.75" hidden="1" customHeight="1">
      <c r="A740" s="98"/>
      <c r="B740" s="99"/>
      <c r="C740" s="100"/>
      <c r="D740" s="101"/>
      <c r="E740" s="102">
        <f>ROUND(IFERROR(SUMPRODUCT(AJ732:AJ739,E732:E739)/AJ740,0),3)</f>
        <v>0</v>
      </c>
      <c r="F740" s="199"/>
      <c r="G740" s="104"/>
      <c r="H740" s="105"/>
      <c r="I740" s="105"/>
      <c r="J740" s="106"/>
      <c r="K740" s="104"/>
      <c r="L740" s="105"/>
      <c r="M740" s="105"/>
      <c r="N740" s="106"/>
      <c r="O740" s="104"/>
      <c r="P740" s="105"/>
      <c r="Q740" s="105"/>
      <c r="R740" s="106"/>
      <c r="S740" s="104"/>
      <c r="T740" s="105"/>
      <c r="U740" s="105"/>
      <c r="V740" s="106"/>
      <c r="W740" s="104"/>
      <c r="X740" s="105"/>
      <c r="Y740" s="105"/>
      <c r="Z740" s="106"/>
      <c r="AA740" s="104"/>
      <c r="AB740" s="105"/>
      <c r="AC740" s="105"/>
      <c r="AD740" s="106"/>
      <c r="AE740" s="107">
        <f>SUM(AE732:AE739)</f>
        <v>0</v>
      </c>
      <c r="AF740" s="108">
        <f t="shared" si="1466"/>
        <v>0</v>
      </c>
      <c r="AG740" s="109">
        <f>IFERROR(  SUMPRODUCT(AG732:AG739,AJ732:AJ739)/AJ740,0)</f>
        <v>0</v>
      </c>
      <c r="AH740" s="157"/>
      <c r="AI740" s="111">
        <f t="shared" ref="AI740:AJ740" si="1476">SUM(AI732:AI739)</f>
        <v>0</v>
      </c>
      <c r="AJ740" s="111">
        <f t="shared" si="1476"/>
        <v>0</v>
      </c>
      <c r="AK740" s="112">
        <f>IF(SUM(AK732:AK739)=0,TIME(,0,),TIME(,SUM(AK732:AK739)+F!$V$37,))</f>
        <v>0</v>
      </c>
      <c r="AL740" s="98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 ht="15.75" hidden="1" customHeight="1">
      <c r="A741" s="113">
        <f>A742</f>
        <v>43873</v>
      </c>
      <c r="B741" s="114" t="str">
        <f t="shared" ref="B741:F741" si="1477">IF(B685="","",B685)</f>
        <v>Тяжелая</v>
      </c>
      <c r="C741" s="115" t="str">
        <f t="shared" si="1477"/>
        <v>ТГ</v>
      </c>
      <c r="D741" s="116" t="str">
        <f t="shared" si="1477"/>
        <v>Становая тяга</v>
      </c>
      <c r="E741" s="29">
        <f t="shared" si="1477"/>
        <v>1.4</v>
      </c>
      <c r="F741" s="117" t="str">
        <f t="shared" si="1477"/>
        <v/>
      </c>
      <c r="G741" s="118" t="str">
        <f t="shared" ref="G741:G748" si="1479">IF(J741&lt;&gt;0, IFERROR(IF( $F741=2,  MROUND($AH741*J741,1),    IF( OR($F741="",$F741=1),   MROUND($AH741*J741,2.5),  MROUND($AH741*J741, 0.1))), "" ), "")</f>
        <v/>
      </c>
      <c r="H741" s="119"/>
      <c r="I741" s="119"/>
      <c r="J741" s="120"/>
      <c r="K741" s="118" t="str">
        <f t="shared" ref="K741:K748" si="1480">IF(N741&lt;&gt;0, IFERROR(IF( $F741=2,  MROUND($AH741*N741,1),    IF( OR($F741="",$F741=1),   MROUND($AH741*N741,2.5),  MROUND($AH741*N741, 0.1))), "" ), "")</f>
        <v/>
      </c>
      <c r="L741" s="119"/>
      <c r="M741" s="119"/>
      <c r="N741" s="120"/>
      <c r="O741" s="118" t="str">
        <f t="shared" ref="O741:O748" si="1481">IF(R741&lt;&gt;0, IFERROR(IF( $F741=2,  MROUND($AH741*R741,1),    IF( OR($F741="",$F741=1),   MROUND($AH741*R741,2.5),  MROUND($AH741*R741, 0.1))), "" ), "")</f>
        <v/>
      </c>
      <c r="P741" s="119"/>
      <c r="Q741" s="119"/>
      <c r="R741" s="120"/>
      <c r="S741" s="118" t="str">
        <f t="shared" ref="S741:S748" si="1482">IF(V741&lt;&gt;0, IFERROR(IF( $F741=2,  MROUND($AH741*V741,1),    IF( OR($F741="",$F741=1),   MROUND($AH741*V741,2.5),  MROUND($AH741*V741, 0.1))), "" ), "")</f>
        <v/>
      </c>
      <c r="T741" s="119"/>
      <c r="U741" s="119"/>
      <c r="V741" s="120"/>
      <c r="W741" s="118" t="str">
        <f t="shared" ref="W741:W748" si="1483">IF(Z741&lt;&gt;0, IFERROR(IF( $F741=2,  MROUND($AH741*Z741,1),    IF( OR($F741="",$F741=1),   MROUND($AH741*Z741,2.5),  MROUND($AH741*Z741, 0.1))), "" ), "")</f>
        <v/>
      </c>
      <c r="X741" s="119"/>
      <c r="Y741" s="119"/>
      <c r="Z741" s="120"/>
      <c r="AA741" s="118" t="str">
        <f t="shared" ref="AA741:AA748" si="1484">IF(AD741&lt;&gt;0, IFERROR(IF( $F741=2,  MROUND($AH741*AD741,1),    IF( OR($F741="",$F741=1),   MROUND($AH741*AD741,2.5),  MROUND($AH741*AD741, 0.1))), "" ), "")</f>
        <v/>
      </c>
      <c r="AB741" s="119"/>
      <c r="AC741" s="119"/>
      <c r="AD741" s="120"/>
      <c r="AE741" s="121">
        <f t="shared" ref="AE741:AE748" si="1485">(IF(ISNUMBER(G741),G741,0)*H741*I741+IF(ISNUMBER(K741),K741,1)*L741*M741+IF(ISNUMBER(O741),O741,1)*P741*Q741+IF(ISNUMBER(S741),S741,1)*T741*U741+IF(ISNUMBER(W741),W741,1)*X741*Y741+IF(ISNUMBER(AA741),AA741,1)*AB741*AC741)*IF(ISNUMBER(F741),F741,1)</f>
        <v>0</v>
      </c>
      <c r="AF741" s="122">
        <f t="shared" si="1466"/>
        <v>0</v>
      </c>
      <c r="AG741" s="200">
        <f t="shared" ref="AG741:AG748" si="1486">IFERROR((AF741/(AH741*IF(ISNUMBER(F741),F741,1))),0)</f>
        <v>0</v>
      </c>
      <c r="AH741" s="169">
        <f t="shared" ref="AH741:AH748" si="1487">IF(ISNUMBER(AH685), AH685+(AH685*$AH$730),"")</f>
        <v>239.3172266</v>
      </c>
      <c r="AI741" s="122">
        <f> ( IF(ISNUMBER(G741), VLOOKUP(G741/$AH741,F!$A1:$B101,2,1)*G741*$H741*$I741,0)+IF(ISNUMBER(K741), VLOOKUP(K741/$AH741,F!$A1:$B101,2,1)*K741*$L741*$M741,0)+IF(ISNUMBER(O741), VLOOKUP(O741/$AH741,F!$A1:$B101,2,1)*O741*$P741*$Q741,0)+IF(ISNUMBER(S741), VLOOKUP(S741/$AH741,F!$A1:$B101,2,1)*S741*$T741*$U741,0)+IF(ISNUMBER(W741), VLOOKUP(W741/$AH741,F!$A1:$B101,2,1)*W741*$X741*$Y741,0)+IF(ISNUMBER(AA741), VLOOKUP(AA741/$AH741,F!$A1:$B101,2,1)*AA741*$AB741*$AC741,0))*IF(ISNUMBER(F741),F741,1)*IF(ISNUMBER(E741),E741,1)</f>
        <v>0</v>
      </c>
      <c r="AJ741" s="119">
        <f t="shared" ref="AJ741:AJ748" si="1488">H741*I741+L741*M741+P741*Q741+T741*U741+X741*Y741+AB741*AC741</f>
        <v>0</v>
      </c>
      <c r="AK741" s="125">
        <f t="array" ref="AK741">IFERROR(I741*INDEX(F!$P$21:$AB$33, MATCH(G741/$AH741, F!$O$21:$O$33,1), MATCH(E741, F!$P$20:$AB$20,1)), 0 ) +IFERROR( M741*INDEX(F!$P$21:$AB$33, MATCH(K741/$AH741, F!$O$21:$O$33,1), MATCH(E741, F!$P$20:$AB$20,1)),0) +  IFERROR( Q741*INDEX(F!$P$21:$AB$33, MATCH(O741/$AH741, F!$O$21:$O$33,1), MATCH(E741, F!$P$20:$AB$20,1)), 0) + IFERROR( U741*INDEX(F!$P$21:$AB$33, MATCH(S741/$AH741, F!$O$21:$O$33,1), MATCH(E741, F!$P$20:$AB$20,1)),0)  + IFERROR(Y741*INDEX(F!$P$21:$AB$33, MATCH(W741/$AH741, F!$O$21:$O$33,1), MATCH(E741, F!$P$20:$AB$20,1)),0)  + IFERROR( AC741*INDEX(F!$P$21:$AB$33, MATCH(AA741/$AH741, F!$O$21:$O$33,1), MATCH(E741, F!$P$20:$AB$20,1)),)</f>
        <v>0</v>
      </c>
      <c r="AL741" s="42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 ht="15.75" hidden="1" customHeight="1">
      <c r="A742" s="44">
        <f>A686+A674</f>
        <v>43873</v>
      </c>
      <c r="B742" s="126" t="str">
        <f t="shared" ref="B742:F742" si="1478">IF(B686="","",B686)</f>
        <v>Средняя</v>
      </c>
      <c r="C742" s="127" t="str">
        <f t="shared" si="1478"/>
        <v>ЖМ</v>
      </c>
      <c r="D742" s="128" t="str">
        <f t="shared" si="1478"/>
        <v>Жим лежа</v>
      </c>
      <c r="E742" s="48">
        <f t="shared" si="1478"/>
        <v>1</v>
      </c>
      <c r="F742" s="129" t="str">
        <f t="shared" si="1478"/>
        <v/>
      </c>
      <c r="G742" s="130" t="str">
        <f t="shared" si="1479"/>
        <v/>
      </c>
      <c r="H742" s="34"/>
      <c r="I742" s="34"/>
      <c r="J742" s="65"/>
      <c r="K742" s="130" t="str">
        <f t="shared" si="1480"/>
        <v/>
      </c>
      <c r="L742" s="34"/>
      <c r="M742" s="34"/>
      <c r="N742" s="65"/>
      <c r="O742" s="130" t="str">
        <f t="shared" si="1481"/>
        <v/>
      </c>
      <c r="P742" s="34"/>
      <c r="Q742" s="34"/>
      <c r="R742" s="65"/>
      <c r="S742" s="130" t="str">
        <f t="shared" si="1482"/>
        <v/>
      </c>
      <c r="T742" s="34"/>
      <c r="U742" s="34"/>
      <c r="V742" s="65"/>
      <c r="W742" s="130" t="str">
        <f t="shared" si="1483"/>
        <v/>
      </c>
      <c r="X742" s="34"/>
      <c r="Y742" s="34"/>
      <c r="Z742" s="65"/>
      <c r="AA742" s="130" t="str">
        <f t="shared" si="1484"/>
        <v/>
      </c>
      <c r="AB742" s="34"/>
      <c r="AC742" s="34"/>
      <c r="AD742" s="65"/>
      <c r="AE742" s="131">
        <f t="shared" si="1485"/>
        <v>0</v>
      </c>
      <c r="AF742" s="132">
        <f t="shared" si="1466"/>
        <v>0</v>
      </c>
      <c r="AG742" s="133">
        <f t="shared" si="1486"/>
        <v>0</v>
      </c>
      <c r="AH742" s="76">
        <f t="shared" si="1487"/>
        <v>122.8926299</v>
      </c>
      <c r="AI742" s="132">
        <f> ( IF(ISNUMBER(G742), VLOOKUP(G742/$AH742,F!$A1:$B101,2,1)*G742*$H742*$I742,0)+IF(ISNUMBER(K742), VLOOKUP(K742/$AH742,F!$A1:$B101,2,1)*K742*$L742*$M742,0)+IF(ISNUMBER(O742), VLOOKUP(O742/$AH742,F!$A1:$B101,2,1)*O742*$P742*$Q742,0)+IF(ISNUMBER(S742), VLOOKUP(S742/$AH742,F!$A1:$B101,2,1)*S742*$T742*$U742,0)+IF(ISNUMBER(W742), VLOOKUP(W742/$AH742,F!$A1:$B101,2,1)*W742*$X742*$Y742,0)+IF(ISNUMBER(AA742), VLOOKUP(AA742/$AH742,F!$A1:$B101,2,1)*AA742*$AB742*$AC742,0))*IF(ISNUMBER(F742),F742,1)*IF(ISNUMBER(E742),E742,1)</f>
        <v>0</v>
      </c>
      <c r="AJ742" s="34">
        <f t="shared" si="1488"/>
        <v>0</v>
      </c>
      <c r="AK742" s="134">
        <f t="array" ref="AK742">IFERROR(I742*INDEX(F!$P$21:$AB$33, MATCH(G742/$AH742, F!$O$21:$O$33,1), MATCH(E742, F!$P$20:$AB$20,1)), 0 ) +IFERROR( M742*INDEX(F!$P$21:$AB$33, MATCH(K742/$AH742, F!$O$21:$O$33,1), MATCH(E742, F!$P$20:$AB$20,1)),0) +  IFERROR( Q742*INDEX(F!$P$21:$AB$33, MATCH(O742/$AH742, F!$O$21:$O$33,1), MATCH(E742, F!$P$20:$AB$20,1)), 0) + IFERROR( U742*INDEX(F!$P$21:$AB$33, MATCH(S742/$AH742, F!$O$21:$O$33,1), MATCH(E742, F!$P$20:$AB$20,1)),0)  + IFERROR(Y742*INDEX(F!$P$21:$AB$33, MATCH(W742/$AH742, F!$O$21:$O$33,1), MATCH(E742, F!$P$20:$AB$20,1)),0)  + IFERROR( AC742*INDEX(F!$P$21:$AB$33, MATCH(AA742/$AH742, F!$O$21:$O$33,1), MATCH(E742, F!$P$20:$AB$20,1)),)</f>
        <v>0</v>
      </c>
      <c r="AL742" s="59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 ht="15.75" hidden="1" customHeight="1">
      <c r="A743" s="59"/>
      <c r="B743" s="135" t="str">
        <f t="shared" ref="B743:F743" si="1489">IF(B687="","",B687)</f>
        <v>Легкая</v>
      </c>
      <c r="C743" s="136" t="str">
        <f t="shared" si="1489"/>
        <v>ОФП</v>
      </c>
      <c r="D743" s="137" t="str">
        <f t="shared" si="1489"/>
        <v>Наклоны со штангой</v>
      </c>
      <c r="E743" s="48">
        <f t="shared" si="1489"/>
        <v>0.8</v>
      </c>
      <c r="F743" s="138" t="str">
        <f t="shared" si="1489"/>
        <v/>
      </c>
      <c r="G743" s="139" t="str">
        <f t="shared" si="1479"/>
        <v/>
      </c>
      <c r="H743" s="140"/>
      <c r="I743" s="140"/>
      <c r="J743" s="141"/>
      <c r="K743" s="139" t="str">
        <f t="shared" si="1480"/>
        <v/>
      </c>
      <c r="L743" s="140"/>
      <c r="M743" s="140"/>
      <c r="N743" s="141"/>
      <c r="O743" s="139" t="str">
        <f t="shared" si="1481"/>
        <v/>
      </c>
      <c r="P743" s="140"/>
      <c r="Q743" s="140"/>
      <c r="R743" s="141"/>
      <c r="S743" s="139" t="str">
        <f t="shared" si="1482"/>
        <v/>
      </c>
      <c r="T743" s="140"/>
      <c r="U743" s="140"/>
      <c r="V743" s="141"/>
      <c r="W743" s="139" t="str">
        <f t="shared" si="1483"/>
        <v/>
      </c>
      <c r="X743" s="140"/>
      <c r="Y743" s="140"/>
      <c r="Z743" s="141"/>
      <c r="AA743" s="139" t="str">
        <f t="shared" si="1484"/>
        <v/>
      </c>
      <c r="AB743" s="140"/>
      <c r="AC743" s="140"/>
      <c r="AD743" s="141"/>
      <c r="AE743" s="142">
        <f t="shared" si="1485"/>
        <v>0</v>
      </c>
      <c r="AF743" s="143">
        <f t="shared" si="1466"/>
        <v>0</v>
      </c>
      <c r="AG743" s="144">
        <f t="shared" si="1486"/>
        <v>0</v>
      </c>
      <c r="AH743" s="76">
        <f t="shared" si="1487"/>
        <v>131.6244746</v>
      </c>
      <c r="AI743" s="143">
        <f> ( IF(ISNUMBER(G743), VLOOKUP(G743/$AH743,F!$A1:$B101,2,1)*G743*$H743*$I743,0)+IF(ISNUMBER(K743), VLOOKUP(K743/$AH743,F!$A1:$B101,2,1)*K743*$L743*$M743,0)+IF(ISNUMBER(O743), VLOOKUP(O743/$AH743,F!$A1:$B101,2,1)*O743*$P743*$Q743,0)+IF(ISNUMBER(S743), VLOOKUP(S743/$AH743,F!$A1:$B101,2,1)*S743*$T743*$U743,0)+IF(ISNUMBER(W743), VLOOKUP(W743/$AH743,F!$A1:$B101,2,1)*W743*$X743*$Y743,0)+IF(ISNUMBER(AA743), VLOOKUP(AA743/$AH743,F!$A1:$B101,2,1)*AA743*$AB743*$AC743,0))*IF(ISNUMBER(F743),F743,1)*IF(ISNUMBER(E743),E743,1)</f>
        <v>0</v>
      </c>
      <c r="AJ743" s="140">
        <f t="shared" si="1488"/>
        <v>0</v>
      </c>
      <c r="AK743" s="145">
        <f t="array" ref="AK743">IFERROR(I743*INDEX(F!$P$21:$AB$33, MATCH(G743/$AH743, F!$O$21:$O$33,1), MATCH(E743, F!$P$20:$AB$20,1)), 0 ) +IFERROR( M743*INDEX(F!$P$21:$AB$33, MATCH(K743/$AH743, F!$O$21:$O$33,1), MATCH(E743, F!$P$20:$AB$20,1)),0) +  IFERROR( Q743*INDEX(F!$P$21:$AB$33, MATCH(O743/$AH743, F!$O$21:$O$33,1), MATCH(E743, F!$P$20:$AB$20,1)), 0) + IFERROR( U743*INDEX(F!$P$21:$AB$33, MATCH(S743/$AH743, F!$O$21:$O$33,1), MATCH(E743, F!$P$20:$AB$20,1)),0)  + IFERROR(Y743*INDEX(F!$P$21:$AB$33, MATCH(W743/$AH743, F!$O$21:$O$33,1), MATCH(E743, F!$P$20:$AB$20,1)),0)  + IFERROR( AC743*INDEX(F!$P$21:$AB$33, MATCH(AA743/$AH743, F!$O$21:$O$33,1), MATCH(E743, F!$P$20:$AB$20,1)),)</f>
        <v>0</v>
      </c>
      <c r="AL743" s="59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 ht="15.75" hidden="1" customHeight="1">
      <c r="A744" s="59"/>
      <c r="B744" s="126" t="str">
        <f t="shared" ref="B744:F744" si="1490">IF(B688="","",B688)</f>
        <v>Средняя</v>
      </c>
      <c r="C744" s="127" t="str">
        <f t="shared" si="1490"/>
        <v>ОФП</v>
      </c>
      <c r="D744" s="128" t="str">
        <f t="shared" si="1490"/>
        <v>Жим стоя</v>
      </c>
      <c r="E744" s="48">
        <f t="shared" si="1490"/>
        <v>1</v>
      </c>
      <c r="F744" s="129" t="str">
        <f t="shared" si="1490"/>
        <v/>
      </c>
      <c r="G744" s="130" t="str">
        <f t="shared" si="1479"/>
        <v/>
      </c>
      <c r="H744" s="34"/>
      <c r="I744" s="34"/>
      <c r="J744" s="65"/>
      <c r="K744" s="130" t="str">
        <f t="shared" si="1480"/>
        <v/>
      </c>
      <c r="L744" s="34"/>
      <c r="M744" s="34"/>
      <c r="N744" s="65"/>
      <c r="O744" s="130" t="str">
        <f t="shared" si="1481"/>
        <v/>
      </c>
      <c r="P744" s="34"/>
      <c r="Q744" s="34"/>
      <c r="R744" s="65"/>
      <c r="S744" s="130" t="str">
        <f t="shared" si="1482"/>
        <v/>
      </c>
      <c r="T744" s="34"/>
      <c r="U744" s="34"/>
      <c r="V744" s="65"/>
      <c r="W744" s="130" t="str">
        <f t="shared" si="1483"/>
        <v/>
      </c>
      <c r="X744" s="34"/>
      <c r="Y744" s="34"/>
      <c r="Z744" s="65"/>
      <c r="AA744" s="130" t="str">
        <f t="shared" si="1484"/>
        <v/>
      </c>
      <c r="AB744" s="34"/>
      <c r="AC744" s="34"/>
      <c r="AD744" s="65"/>
      <c r="AE744" s="131">
        <f t="shared" si="1485"/>
        <v>0</v>
      </c>
      <c r="AF744" s="132">
        <f t="shared" si="1466"/>
        <v>0</v>
      </c>
      <c r="AG744" s="133">
        <f t="shared" si="1486"/>
        <v>0</v>
      </c>
      <c r="AH744" s="76">
        <f t="shared" si="1487"/>
        <v>73.73557794</v>
      </c>
      <c r="AI744" s="132">
        <f> ( IF(ISNUMBER(G744), VLOOKUP(G744/$AH744,F!$A1:$B101,2,1)*G744*$H744*$I744,0)+IF(ISNUMBER(K744), VLOOKUP(K744/$AH744,F!$A1:$B101,2,1)*K744*$L744*$M744,0)+IF(ISNUMBER(O744), VLOOKUP(O744/$AH744,F!$A1:$B101,2,1)*O744*$P744*$Q744,0)+IF(ISNUMBER(S744), VLOOKUP(S744/$AH744,F!$A1:$B101,2,1)*S744*$T744*$U744,0)+IF(ISNUMBER(W744), VLOOKUP(W744/$AH744,F!$A1:$B101,2,1)*W744*$X744*$Y744,0)+IF(ISNUMBER(AA744), VLOOKUP(AA744/$AH744,F!$A1:$B101,2,1)*AA744*$AB744*$AC744,0))*IF(ISNUMBER(F744),F744,1)*IF(ISNUMBER(E744),E744,1)</f>
        <v>0</v>
      </c>
      <c r="AJ744" s="34">
        <f t="shared" si="1488"/>
        <v>0</v>
      </c>
      <c r="AK744" s="134">
        <f t="array" ref="AK744">IFERROR(I744*INDEX(F!$P$21:$AB$33, MATCH(G744/$AH744, F!$O$21:$O$33,1), MATCH(E744, F!$P$20:$AB$20,1)), 0 ) +IFERROR( M744*INDEX(F!$P$21:$AB$33, MATCH(K744/$AH744, F!$O$21:$O$33,1), MATCH(E744, F!$P$20:$AB$20,1)),0) +  IFERROR( Q744*INDEX(F!$P$21:$AB$33, MATCH(O744/$AH744, F!$O$21:$O$33,1), MATCH(E744, F!$P$20:$AB$20,1)), 0) + IFERROR( U744*INDEX(F!$P$21:$AB$33, MATCH(S744/$AH744, F!$O$21:$O$33,1), MATCH(E744, F!$P$20:$AB$20,1)),0)  + IFERROR(Y744*INDEX(F!$P$21:$AB$33, MATCH(W744/$AH744, F!$O$21:$O$33,1), MATCH(E744, F!$P$20:$AB$20,1)),0)  + IFERROR( AC744*INDEX(F!$P$21:$AB$33, MATCH(AA744/$AH744, F!$O$21:$O$33,1), MATCH(E744, F!$P$20:$AB$20,1)),)</f>
        <v>0</v>
      </c>
      <c r="AL744" s="59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 ht="15.75" hidden="1" customHeight="1">
      <c r="A745" s="59"/>
      <c r="B745" s="135" t="str">
        <f t="shared" ref="B745:F745" si="1491">IF(B689="","",B689)</f>
        <v>Средняя</v>
      </c>
      <c r="C745" s="136" t="str">
        <f t="shared" si="1491"/>
        <v>ЖМ</v>
      </c>
      <c r="D745" s="137" t="str">
        <f t="shared" si="1491"/>
        <v>Жим средним хватом</v>
      </c>
      <c r="E745" s="48">
        <f t="shared" si="1491"/>
        <v>1</v>
      </c>
      <c r="F745" s="138" t="str">
        <f t="shared" si="1491"/>
        <v/>
      </c>
      <c r="G745" s="139" t="str">
        <f t="shared" si="1479"/>
        <v/>
      </c>
      <c r="H745" s="140"/>
      <c r="I745" s="140"/>
      <c r="J745" s="141"/>
      <c r="K745" s="139" t="str">
        <f t="shared" si="1480"/>
        <v/>
      </c>
      <c r="L745" s="140"/>
      <c r="M745" s="140"/>
      <c r="N745" s="141"/>
      <c r="O745" s="139" t="str">
        <f t="shared" si="1481"/>
        <v/>
      </c>
      <c r="P745" s="140"/>
      <c r="Q745" s="140"/>
      <c r="R745" s="141"/>
      <c r="S745" s="139" t="str">
        <f t="shared" si="1482"/>
        <v/>
      </c>
      <c r="T745" s="140"/>
      <c r="U745" s="140"/>
      <c r="V745" s="141"/>
      <c r="W745" s="139" t="str">
        <f t="shared" si="1483"/>
        <v/>
      </c>
      <c r="X745" s="140"/>
      <c r="Y745" s="140"/>
      <c r="Z745" s="141"/>
      <c r="AA745" s="139" t="str">
        <f t="shared" si="1484"/>
        <v/>
      </c>
      <c r="AB745" s="140"/>
      <c r="AC745" s="140"/>
      <c r="AD745" s="141"/>
      <c r="AE745" s="142">
        <f t="shared" si="1485"/>
        <v>0</v>
      </c>
      <c r="AF745" s="143">
        <f t="shared" si="1466"/>
        <v>0</v>
      </c>
      <c r="AG745" s="144">
        <f t="shared" si="1486"/>
        <v>0</v>
      </c>
      <c r="AH745" s="76">
        <f t="shared" si="1487"/>
        <v>104.4587354</v>
      </c>
      <c r="AI745" s="143">
        <f> ( IF(ISNUMBER(G745), VLOOKUP(G745/$AH745,F!$A1:$B101,2,1)*G745*$H745*$I745,0)+IF(ISNUMBER(K745), VLOOKUP(K745/$AH745,F!$A1:$B101,2,1)*K745*$L745*$M745,0)+IF(ISNUMBER(O745), VLOOKUP(O745/$AH745,F!$A1:$B101,2,1)*O745*$P745*$Q745,0)+IF(ISNUMBER(S745), VLOOKUP(S745/$AH745,F!$A1:$B101,2,1)*S745*$T745*$U745,0)+IF(ISNUMBER(W745), VLOOKUP(W745/$AH745,F!$A1:$B101,2,1)*W745*$X745*$Y745,0)+IF(ISNUMBER(AA745), VLOOKUP(AA745/$AH745,F!$A1:$B101,2,1)*AA745*$AB745*$AC745,0))*IF(ISNUMBER(F745),F745,1)*IF(ISNUMBER(E745),E745,1)</f>
        <v>0</v>
      </c>
      <c r="AJ745" s="140">
        <f t="shared" si="1488"/>
        <v>0</v>
      </c>
      <c r="AK745" s="145">
        <f t="array" ref="AK745">IFERROR(I745*INDEX(F!$P$21:$AB$33, MATCH(G745/$AH745, F!$O$21:$O$33,1), MATCH(E745, F!$P$20:$AB$20,1)), 0 ) +IFERROR( M745*INDEX(F!$P$21:$AB$33, MATCH(K745/$AH745, F!$O$21:$O$33,1), MATCH(E745, F!$P$20:$AB$20,1)),0) +  IFERROR( Q745*INDEX(F!$P$21:$AB$33, MATCH(O745/$AH745, F!$O$21:$O$33,1), MATCH(E745, F!$P$20:$AB$20,1)), 0) + IFERROR( U745*INDEX(F!$P$21:$AB$33, MATCH(S745/$AH745, F!$O$21:$O$33,1), MATCH(E745, F!$P$20:$AB$20,1)),0)  + IFERROR(Y745*INDEX(F!$P$21:$AB$33, MATCH(W745/$AH745, F!$O$21:$O$33,1), MATCH(E745, F!$P$20:$AB$20,1)),0)  + IFERROR( AC745*INDEX(F!$P$21:$AB$33, MATCH(AA745/$AH745, F!$O$21:$O$33,1), MATCH(E745, F!$P$20:$AB$20,1)),)</f>
        <v>0</v>
      </c>
      <c r="AL745" s="59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 ht="15.75" hidden="1" customHeight="1">
      <c r="A746" s="59"/>
      <c r="B746" s="126" t="str">
        <f t="shared" ref="B746:F746" si="1492">IF(B690="","",B690)</f>
        <v/>
      </c>
      <c r="C746" s="127" t="str">
        <f t="shared" si="1492"/>
        <v/>
      </c>
      <c r="D746" s="128" t="str">
        <f t="shared" si="1492"/>
        <v/>
      </c>
      <c r="E746" s="48" t="str">
        <f t="shared" si="1492"/>
        <v/>
      </c>
      <c r="F746" s="129" t="str">
        <f t="shared" si="1492"/>
        <v/>
      </c>
      <c r="G746" s="130" t="str">
        <f t="shared" si="1479"/>
        <v/>
      </c>
      <c r="H746" s="34"/>
      <c r="I746" s="34"/>
      <c r="J746" s="65"/>
      <c r="K746" s="130" t="str">
        <f t="shared" si="1480"/>
        <v/>
      </c>
      <c r="L746" s="34"/>
      <c r="M746" s="34"/>
      <c r="N746" s="65"/>
      <c r="O746" s="130" t="str">
        <f t="shared" si="1481"/>
        <v/>
      </c>
      <c r="P746" s="34"/>
      <c r="Q746" s="34"/>
      <c r="R746" s="65"/>
      <c r="S746" s="130" t="str">
        <f t="shared" si="1482"/>
        <v/>
      </c>
      <c r="T746" s="34"/>
      <c r="U746" s="34"/>
      <c r="V746" s="65"/>
      <c r="W746" s="130" t="str">
        <f t="shared" si="1483"/>
        <v/>
      </c>
      <c r="X746" s="34"/>
      <c r="Y746" s="34"/>
      <c r="Z746" s="65"/>
      <c r="AA746" s="130" t="str">
        <f t="shared" si="1484"/>
        <v/>
      </c>
      <c r="AB746" s="34"/>
      <c r="AC746" s="34"/>
      <c r="AD746" s="65"/>
      <c r="AE746" s="131">
        <f t="shared" si="1485"/>
        <v>0</v>
      </c>
      <c r="AF746" s="132">
        <f t="shared" si="1466"/>
        <v>0</v>
      </c>
      <c r="AG746" s="133">
        <f t="shared" si="1486"/>
        <v>0</v>
      </c>
      <c r="AH746" s="76" t="str">
        <f t="shared" si="1487"/>
        <v/>
      </c>
      <c r="AI746" s="132">
        <f> ( IF(ISNUMBER(G746), VLOOKUP(G746/$AH746,F!$A1:$B101,2,1)*G746*$H746*$I746,0)+IF(ISNUMBER(K746), VLOOKUP(K746/$AH746,F!$A1:$B101,2,1)*K746*$L746*$M746,0)+IF(ISNUMBER(O746), VLOOKUP(O746/$AH746,F!$A1:$B101,2,1)*O746*$P746*$Q746,0)+IF(ISNUMBER(S746), VLOOKUP(S746/$AH746,F!$A1:$B101,2,1)*S746*$T746*$U746,0)+IF(ISNUMBER(W746), VLOOKUP(W746/$AH746,F!$A1:$B101,2,1)*W746*$X746*$Y746,0)+IF(ISNUMBER(AA746), VLOOKUP(AA746/$AH746,F!$A1:$B101,2,1)*AA746*$AB746*$AC746,0))*IF(ISNUMBER(F746),F746,1)*IF(ISNUMBER(E746),E746,1)</f>
        <v>0</v>
      </c>
      <c r="AJ746" s="34">
        <f t="shared" si="1488"/>
        <v>0</v>
      </c>
      <c r="AK746" s="134">
        <f t="array" ref="AK746">IFERROR(I746*INDEX(F!$P$21:$AB$33, MATCH(G746/$AH746, F!$O$21:$O$33,1), MATCH(E746, F!$P$20:$AB$20,1)), 0 ) +IFERROR( M746*INDEX(F!$P$21:$AB$33, MATCH(K746/$AH746, F!$O$21:$O$33,1), MATCH(E746, F!$P$20:$AB$20,1)),0) +  IFERROR( Q746*INDEX(F!$P$21:$AB$33, MATCH(O746/$AH746, F!$O$21:$O$33,1), MATCH(E746, F!$P$20:$AB$20,1)), 0) + IFERROR( U746*INDEX(F!$P$21:$AB$33, MATCH(S746/$AH746, F!$O$21:$O$33,1), MATCH(E746, F!$P$20:$AB$20,1)),0)  + IFERROR(Y746*INDEX(F!$P$21:$AB$33, MATCH(W746/$AH746, F!$O$21:$O$33,1), MATCH(E746, F!$P$20:$AB$20,1)),0)  + IFERROR( AC746*INDEX(F!$P$21:$AB$33, MATCH(AA746/$AH746, F!$O$21:$O$33,1), MATCH(E746, F!$P$20:$AB$20,1)),)</f>
        <v>0</v>
      </c>
      <c r="AL746" s="59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 ht="15.75" hidden="1" customHeight="1">
      <c r="A747" s="59"/>
      <c r="B747" s="135" t="str">
        <f t="shared" ref="B747:F747" si="1493">IF(B691="","",B691)</f>
        <v/>
      </c>
      <c r="C747" s="136" t="str">
        <f t="shared" si="1493"/>
        <v/>
      </c>
      <c r="D747" s="137" t="str">
        <f t="shared" si="1493"/>
        <v/>
      </c>
      <c r="E747" s="48" t="str">
        <f t="shared" si="1493"/>
        <v/>
      </c>
      <c r="F747" s="138" t="str">
        <f t="shared" si="1493"/>
        <v/>
      </c>
      <c r="G747" s="139" t="str">
        <f t="shared" si="1479"/>
        <v/>
      </c>
      <c r="H747" s="140"/>
      <c r="I747" s="140"/>
      <c r="J747" s="141"/>
      <c r="K747" s="139" t="str">
        <f t="shared" si="1480"/>
        <v/>
      </c>
      <c r="L747" s="140"/>
      <c r="M747" s="140"/>
      <c r="N747" s="141"/>
      <c r="O747" s="139" t="str">
        <f t="shared" si="1481"/>
        <v/>
      </c>
      <c r="P747" s="140"/>
      <c r="Q747" s="140"/>
      <c r="R747" s="141"/>
      <c r="S747" s="139" t="str">
        <f t="shared" si="1482"/>
        <v/>
      </c>
      <c r="T747" s="140"/>
      <c r="U747" s="140"/>
      <c r="V747" s="141"/>
      <c r="W747" s="139" t="str">
        <f t="shared" si="1483"/>
        <v/>
      </c>
      <c r="X747" s="140"/>
      <c r="Y747" s="140"/>
      <c r="Z747" s="141"/>
      <c r="AA747" s="139" t="str">
        <f t="shared" si="1484"/>
        <v/>
      </c>
      <c r="AB747" s="140"/>
      <c r="AC747" s="140"/>
      <c r="AD747" s="141"/>
      <c r="AE747" s="142">
        <f t="shared" si="1485"/>
        <v>0</v>
      </c>
      <c r="AF747" s="143">
        <f t="shared" si="1466"/>
        <v>0</v>
      </c>
      <c r="AG747" s="144">
        <f t="shared" si="1486"/>
        <v>0</v>
      </c>
      <c r="AH747" s="76" t="str">
        <f t="shared" si="1487"/>
        <v/>
      </c>
      <c r="AI747" s="143">
        <f> ( IF(ISNUMBER(G747), VLOOKUP(G747/$AH747,F!$A1:$B101,2,1)*G747*$H747*$I747,0)+IF(ISNUMBER(K747), VLOOKUP(K747/$AH747,F!$A1:$B101,2,1)*K747*$L747*$M747,0)+IF(ISNUMBER(O747), VLOOKUP(O747/$AH747,F!$A1:$B101,2,1)*O747*$P747*$Q747,0)+IF(ISNUMBER(S747), VLOOKUP(S747/$AH747,F!$A1:$B101,2,1)*S747*$T747*$U747,0)+IF(ISNUMBER(W747), VLOOKUP(W747/$AH747,F!$A1:$B101,2,1)*W747*$X747*$Y747,0)+IF(ISNUMBER(AA747), VLOOKUP(AA747/$AH747,F!$A1:$B101,2,1)*AA747*$AB747*$AC747,0))*IF(ISNUMBER(F747),F747,1)*IF(ISNUMBER(E747),E747,1)</f>
        <v>0</v>
      </c>
      <c r="AJ747" s="140">
        <f t="shared" si="1488"/>
        <v>0</v>
      </c>
      <c r="AK747" s="145">
        <f t="array" ref="AK747">IFERROR(I747*INDEX(F!$P$21:$AB$33, MATCH(G747/$AH747, F!$O$21:$O$33,1), MATCH(E747, F!$P$20:$AB$20,1)), 0 ) +IFERROR( M747*INDEX(F!$P$21:$AB$33, MATCH(K747/$AH747, F!$O$21:$O$33,1), MATCH(E747, F!$P$20:$AB$20,1)),0) +  IFERROR( Q747*INDEX(F!$P$21:$AB$33, MATCH(O747/$AH747, F!$O$21:$O$33,1), MATCH(E747, F!$P$20:$AB$20,1)), 0) + IFERROR( U747*INDEX(F!$P$21:$AB$33, MATCH(S747/$AH747, F!$O$21:$O$33,1), MATCH(E747, F!$P$20:$AB$20,1)),0)  + IFERROR(Y747*INDEX(F!$P$21:$AB$33, MATCH(W747/$AH747, F!$O$21:$O$33,1), MATCH(E747, F!$P$20:$AB$20,1)),0)  + IFERROR( AC747*INDEX(F!$P$21:$AB$33, MATCH(AA747/$AH747, F!$O$21:$O$33,1), MATCH(E747, F!$P$20:$AB$20,1)),)</f>
        <v>0</v>
      </c>
      <c r="AL747" s="59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 ht="15.75" hidden="1" customHeight="1">
      <c r="A748" s="59"/>
      <c r="B748" s="126" t="str">
        <f t="shared" ref="B748:F748" si="1494">IF(B692="","",B692)</f>
        <v/>
      </c>
      <c r="C748" s="127" t="str">
        <f t="shared" si="1494"/>
        <v/>
      </c>
      <c r="D748" s="128" t="str">
        <f t="shared" si="1494"/>
        <v/>
      </c>
      <c r="E748" s="48" t="str">
        <f t="shared" si="1494"/>
        <v/>
      </c>
      <c r="F748" s="129" t="str">
        <f t="shared" si="1494"/>
        <v/>
      </c>
      <c r="G748" s="130" t="str">
        <f t="shared" si="1479"/>
        <v/>
      </c>
      <c r="H748" s="34"/>
      <c r="I748" s="34"/>
      <c r="J748" s="65"/>
      <c r="K748" s="130" t="str">
        <f t="shared" si="1480"/>
        <v/>
      </c>
      <c r="L748" s="34"/>
      <c r="M748" s="34"/>
      <c r="N748" s="65"/>
      <c r="O748" s="130" t="str">
        <f t="shared" si="1481"/>
        <v/>
      </c>
      <c r="P748" s="34"/>
      <c r="Q748" s="34"/>
      <c r="R748" s="65"/>
      <c r="S748" s="130" t="str">
        <f t="shared" si="1482"/>
        <v/>
      </c>
      <c r="T748" s="34"/>
      <c r="U748" s="34"/>
      <c r="V748" s="65"/>
      <c r="W748" s="130" t="str">
        <f t="shared" si="1483"/>
        <v/>
      </c>
      <c r="X748" s="34"/>
      <c r="Y748" s="34"/>
      <c r="Z748" s="65"/>
      <c r="AA748" s="130" t="str">
        <f t="shared" si="1484"/>
        <v/>
      </c>
      <c r="AB748" s="34"/>
      <c r="AC748" s="34"/>
      <c r="AD748" s="65"/>
      <c r="AE748" s="131">
        <f t="shared" si="1485"/>
        <v>0</v>
      </c>
      <c r="AF748" s="132">
        <f t="shared" si="1466"/>
        <v>0</v>
      </c>
      <c r="AG748" s="133">
        <f t="shared" si="1486"/>
        <v>0</v>
      </c>
      <c r="AH748" s="76" t="str">
        <f t="shared" si="1487"/>
        <v/>
      </c>
      <c r="AI748" s="132">
        <f> ( IF(ISNUMBER(G748), VLOOKUP(G748/$AH748,F!$A1:$B101,2,1)*G748*$H748*$I748,0)+IF(ISNUMBER(K748), VLOOKUP(K748/$AH748,F!$A1:$B101,2,1)*K748*$L748*$M748,0)+IF(ISNUMBER(O748), VLOOKUP(O748/$AH748,F!$A1:$B101,2,1)*O748*$P748*$Q748,0)+IF(ISNUMBER(S748), VLOOKUP(S748/$AH748,F!$A1:$B101,2,1)*S748*$T748*$U748,0)+IF(ISNUMBER(W748), VLOOKUP(W748/$AH748,F!$A1:$B101,2,1)*W748*$X748*$Y748,0)+IF(ISNUMBER(AA748), VLOOKUP(AA748/$AH748,F!$A1:$B101,2,1)*AA748*$AB748*$AC748,0))*IF(ISNUMBER(F748),F748,1)*IF(ISNUMBER(E748),E748,1)</f>
        <v>0</v>
      </c>
      <c r="AJ748" s="34">
        <f t="shared" si="1488"/>
        <v>0</v>
      </c>
      <c r="AK748" s="134">
        <f t="array" ref="AK748">IFERROR(I748*INDEX(F!$P$21:$AB$33, MATCH(G748/$AH748, F!$O$21:$O$33,1), MATCH(E748, F!$P$20:$AB$20,1)), 0 ) +IFERROR( M748*INDEX(F!$P$21:$AB$33, MATCH(K748/$AH748, F!$O$21:$O$33,1), MATCH(E748, F!$P$20:$AB$20,1)),0) +  IFERROR( Q748*INDEX(F!$P$21:$AB$33, MATCH(O748/$AH748, F!$O$21:$O$33,1), MATCH(E748, F!$P$20:$AB$20,1)), 0) + IFERROR( U748*INDEX(F!$P$21:$AB$33, MATCH(S748/$AH748, F!$O$21:$O$33,1), MATCH(E748, F!$P$20:$AB$20,1)),0)  + IFERROR(Y748*INDEX(F!$P$21:$AB$33, MATCH(W748/$AH748, F!$O$21:$O$33,1), MATCH(E748, F!$P$20:$AB$20,1)),0)  + IFERROR( AC748*INDEX(F!$P$21:$AB$33, MATCH(AA748/$AH748, F!$O$21:$O$33,1), MATCH(E748, F!$P$20:$AB$20,1)),)</f>
        <v>0</v>
      </c>
      <c r="AL748" s="59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 ht="15.75" hidden="1" customHeight="1">
      <c r="A749" s="98"/>
      <c r="B749" s="150"/>
      <c r="C749" s="151"/>
      <c r="D749" s="152"/>
      <c r="E749" s="102">
        <f>ROUND(IFERROR(SUMPRODUCT(AJ741:AJ748,E741:E748)/AJ749,0),3)</f>
        <v>0</v>
      </c>
      <c r="F749" s="153"/>
      <c r="G749" s="154"/>
      <c r="H749" s="155"/>
      <c r="I749" s="155"/>
      <c r="J749" s="156"/>
      <c r="K749" s="154"/>
      <c r="L749" s="155"/>
      <c r="M749" s="155"/>
      <c r="N749" s="156"/>
      <c r="O749" s="154"/>
      <c r="P749" s="155"/>
      <c r="Q749" s="155"/>
      <c r="R749" s="156"/>
      <c r="S749" s="154"/>
      <c r="T749" s="155"/>
      <c r="U749" s="155"/>
      <c r="V749" s="156"/>
      <c r="W749" s="154"/>
      <c r="X749" s="155"/>
      <c r="Y749" s="155"/>
      <c r="Z749" s="156"/>
      <c r="AA749" s="154"/>
      <c r="AB749" s="155"/>
      <c r="AC749" s="155"/>
      <c r="AD749" s="156"/>
      <c r="AE749" s="107">
        <f>SUM(AE741:AE748)</f>
        <v>0</v>
      </c>
      <c r="AF749" s="108">
        <f t="shared" si="1466"/>
        <v>0</v>
      </c>
      <c r="AG749" s="109">
        <f>IFERROR(  SUMPRODUCT(AG741:AG748,AJ741:AJ748)/AJ749,0)</f>
        <v>0</v>
      </c>
      <c r="AH749" s="157"/>
      <c r="AI749" s="111">
        <f t="shared" ref="AI749:AJ749" si="1495">SUM(AI741:AI748)</f>
        <v>0</v>
      </c>
      <c r="AJ749" s="111">
        <f t="shared" si="1495"/>
        <v>0</v>
      </c>
      <c r="AK749" s="112">
        <f>IF(SUM(AK741:AK748)=0,TIME(,0,),TIME(,SUM(AK741:AK748)+F!$V$37,))</f>
        <v>0</v>
      </c>
      <c r="AL749" s="98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 ht="15.75" hidden="1" customHeight="1">
      <c r="A750" s="158">
        <f>A751</f>
        <v>43875</v>
      </c>
      <c r="B750" s="159" t="str">
        <f t="shared" ref="B750:F750" si="1496">IF(B694="","",B694)</f>
        <v>Тяжелая</v>
      </c>
      <c r="C750" s="160" t="str">
        <f t="shared" si="1496"/>
        <v>ПР</v>
      </c>
      <c r="D750" s="161" t="str">
        <f t="shared" si="1496"/>
        <v>Присед</v>
      </c>
      <c r="E750" s="29">
        <f t="shared" si="1496"/>
        <v>1.2</v>
      </c>
      <c r="F750" s="162" t="str">
        <f t="shared" si="1496"/>
        <v/>
      </c>
      <c r="G750" s="163" t="str">
        <f t="shared" ref="G750:G757" si="1498">IF(J750&lt;&gt;0, IFERROR(IF( $F750=2,  MROUND($AH750*J750,1),    IF( OR($F750="",$F750=1),   MROUND($AH750*J750,2.5),  MROUND($AH750*J750, 0.1))), "" ), "")</f>
        <v/>
      </c>
      <c r="H750" s="164"/>
      <c r="I750" s="164"/>
      <c r="J750" s="165"/>
      <c r="K750" s="163" t="str">
        <f t="shared" ref="K750:K757" si="1499">IF(N750&lt;&gt;0, IFERROR(IF( $F750=2,  MROUND($AH750*N750,1),    IF( OR($F750="",$F750=1),   MROUND($AH750*N750,2.5),  MROUND($AH750*N750, 0.1))), "" ), "")</f>
        <v/>
      </c>
      <c r="L750" s="164"/>
      <c r="M750" s="164"/>
      <c r="N750" s="165"/>
      <c r="O750" s="163" t="str">
        <f t="shared" ref="O750:O757" si="1500">IF(R750&lt;&gt;0, IFERROR(IF( $F750=2,  MROUND($AH750*R750,1),    IF( OR($F750="",$F750=1),   MROUND($AH750*R750,2.5),  MROUND($AH750*R750, 0.1))), "" ), "")</f>
        <v/>
      </c>
      <c r="P750" s="164"/>
      <c r="Q750" s="164"/>
      <c r="R750" s="165"/>
      <c r="S750" s="163" t="str">
        <f t="shared" ref="S750:S757" si="1501">IF(V750&lt;&gt;0, IFERROR(IF( $F750=2,  MROUND($AH750*V750,1),    IF( OR($F750="",$F750=1),   MROUND($AH750*V750,2.5),  MROUND($AH750*V750, 0.1))), "" ), "")</f>
        <v/>
      </c>
      <c r="T750" s="164"/>
      <c r="U750" s="164"/>
      <c r="V750" s="165"/>
      <c r="W750" s="163" t="str">
        <f t="shared" ref="W750:W757" si="1502">IF(Z750&lt;&gt;0, IFERROR(IF( $F750=2,  MROUND($AH750*Z750,1),    IF( OR($F750="",$F750=1),   MROUND($AH750*Z750,2.5),  MROUND($AH750*Z750, 0.1))), "" ), "")</f>
        <v/>
      </c>
      <c r="X750" s="164"/>
      <c r="Y750" s="164"/>
      <c r="Z750" s="165"/>
      <c r="AA750" s="163" t="str">
        <f t="shared" ref="AA750:AA757" si="1503">IF(AD750&lt;&gt;0, IFERROR(IF( $F750=2,  MROUND($AH750*AD750,1),    IF( OR($F750="",$F750=1),   MROUND($AH750*AD750,2.5),  MROUND($AH750*AD750, 0.1))), "" ), "")</f>
        <v/>
      </c>
      <c r="AB750" s="164"/>
      <c r="AC750" s="164"/>
      <c r="AD750" s="165"/>
      <c r="AE750" s="166">
        <f t="shared" ref="AE750:AE757" si="1504">(IF(ISNUMBER(G750),G750,0)*H750*I750+IF(ISNUMBER(K750),K750,1)*L750*M750+IF(ISNUMBER(O750),O750,1)*P750*Q750+IF(ISNUMBER(S750),S750,1)*T750*U750+IF(ISNUMBER(W750),W750,1)*X750*Y750+IF(ISNUMBER(AA750),AA750,1)*AB750*AC750)*IF(ISNUMBER(F750),F750,1)</f>
        <v>0</v>
      </c>
      <c r="AF750" s="167">
        <f t="shared" si="1466"/>
        <v>0</v>
      </c>
      <c r="AG750" s="168">
        <f t="shared" ref="AG750:AG757" si="1505">IFERROR((AF750/(AH750*IF(ISNUMBER(F750),F750,1))),0)</f>
        <v>0</v>
      </c>
      <c r="AH750" s="169">
        <f t="shared" ref="AH750:AH757" si="1506">IF(ISNUMBER(AH694), AH694+(AH694*$AH$730),"")</f>
        <v>174.6368951</v>
      </c>
      <c r="AI750" s="167">
        <f> ( IF(ISNUMBER(G750), VLOOKUP(G750/$AH750,F!$A1:$B101,2,1)*G750*$H750*$I750,0)+IF(ISNUMBER(K750), VLOOKUP(K750/$AH750,F!$A1:$B101,2,1)*K750*$L750*$M750,0)+IF(ISNUMBER(O750), VLOOKUP(O750/$AH750,F!$A1:$B101,2,1)*O750*$P750*$Q750,0)+IF(ISNUMBER(S750), VLOOKUP(S750/$AH750,F!$A1:$B101,2,1)*S750*$T750*$U750,0)+IF(ISNUMBER(W750), VLOOKUP(W750/$AH750,F!$A1:$B101,2,1)*W750*$X750*$Y750,0)+IF(ISNUMBER(AA750), VLOOKUP(AA750/$AH750,F!$A1:$B101,2,1)*AA750*$AB750*$AC750,0))*IF(ISNUMBER(F750),F750,1)*IF(ISNUMBER(E750),E750,1)</f>
        <v>0</v>
      </c>
      <c r="AJ750" s="164">
        <f t="shared" ref="AJ750:AJ757" si="1507">H750*I750+L750*M750+P750*Q750+T750*U750+X750*Y750+AB750*AC750</f>
        <v>0</v>
      </c>
      <c r="AK750" s="170">
        <f t="array" ref="AK750">IFERROR(I750*INDEX(F!$P$21:$AB$33, MATCH(G750/$AH750, F!$O$21:$O$33,1), MATCH(E750, F!$P$20:$AB$20,1)), 0 ) +IFERROR( M750*INDEX(F!$P$21:$AB$33, MATCH(K750/$AH750, F!$O$21:$O$33,1), MATCH(E750, F!$P$20:$AB$20,1)),0) +  IFERROR( Q750*INDEX(F!$P$21:$AB$33, MATCH(O750/$AH750, F!$O$21:$O$33,1), MATCH(E750, F!$P$20:$AB$20,1)), 0) + IFERROR( U750*INDEX(F!$P$21:$AB$33, MATCH(S750/$AH750, F!$O$21:$O$33,1), MATCH(E750, F!$P$20:$AB$20,1)),0)  + IFERROR(Y750*INDEX(F!$P$21:$AB$33, MATCH(W750/$AH750, F!$O$21:$O$33,1), MATCH(E750, F!$P$20:$AB$20,1)),0)  + IFERROR( AC750*INDEX(F!$P$21:$AB$33, MATCH(AA750/$AH750, F!$O$21:$O$33,1), MATCH(E750, F!$P$20:$AB$20,1)),)</f>
        <v>0</v>
      </c>
      <c r="AL750" s="42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 ht="15.75" hidden="1" customHeight="1">
      <c r="A751" s="44">
        <f>A695+A674</f>
        <v>43875</v>
      </c>
      <c r="B751" s="135" t="str">
        <f t="shared" ref="B751:F751" si="1497">IF(B695="","",B695)</f>
        <v>Тяжелая</v>
      </c>
      <c r="C751" s="136" t="str">
        <f t="shared" si="1497"/>
        <v>ЖМ</v>
      </c>
      <c r="D751" s="137" t="str">
        <f t="shared" si="1497"/>
        <v>Жим лежа</v>
      </c>
      <c r="E751" s="48">
        <f t="shared" si="1497"/>
        <v>1</v>
      </c>
      <c r="F751" s="138" t="str">
        <f t="shared" si="1497"/>
        <v/>
      </c>
      <c r="G751" s="139" t="str">
        <f t="shared" si="1498"/>
        <v/>
      </c>
      <c r="H751" s="140"/>
      <c r="I751" s="140"/>
      <c r="J751" s="141"/>
      <c r="K751" s="139" t="str">
        <f t="shared" si="1499"/>
        <v/>
      </c>
      <c r="L751" s="140"/>
      <c r="M751" s="140"/>
      <c r="N751" s="141"/>
      <c r="O751" s="139" t="str">
        <f t="shared" si="1500"/>
        <v/>
      </c>
      <c r="P751" s="140"/>
      <c r="Q751" s="140"/>
      <c r="R751" s="141"/>
      <c r="S751" s="139" t="str">
        <f t="shared" si="1501"/>
        <v/>
      </c>
      <c r="T751" s="140"/>
      <c r="U751" s="140"/>
      <c r="V751" s="141"/>
      <c r="W751" s="139" t="str">
        <f t="shared" si="1502"/>
        <v/>
      </c>
      <c r="X751" s="140"/>
      <c r="Y751" s="140"/>
      <c r="Z751" s="141"/>
      <c r="AA751" s="139" t="str">
        <f t="shared" si="1503"/>
        <v/>
      </c>
      <c r="AB751" s="140"/>
      <c r="AC751" s="140"/>
      <c r="AD751" s="141"/>
      <c r="AE751" s="142">
        <f t="shared" si="1504"/>
        <v>0</v>
      </c>
      <c r="AF751" s="143">
        <f t="shared" si="1466"/>
        <v>0</v>
      </c>
      <c r="AG751" s="144">
        <f t="shared" si="1505"/>
        <v>0</v>
      </c>
      <c r="AH751" s="76">
        <f t="shared" si="1506"/>
        <v>122.8926299</v>
      </c>
      <c r="AI751" s="143">
        <f> ( IF(ISNUMBER(G751), VLOOKUP(G751/$AH751,F!$A1:$B101,2,1)*G751*$H751*$I751,0)+IF(ISNUMBER(K751), VLOOKUP(K751/$AH751,F!$A1:$B101,2,1)*K751*$L751*$M751,0)+IF(ISNUMBER(O751), VLOOKUP(O751/$AH751,F!$A1:$B101,2,1)*O751*$P751*$Q751,0)+IF(ISNUMBER(S751), VLOOKUP(S751/$AH751,F!$A1:$B101,2,1)*S751*$T751*$U751,0)+IF(ISNUMBER(W751), VLOOKUP(W751/$AH751,F!$A1:$B101,2,1)*W751*$X751*$Y751,0)+IF(ISNUMBER(AA751), VLOOKUP(AA751/$AH751,F!$A1:$B101,2,1)*AA751*$AB751*$AC751,0))*IF(ISNUMBER(F751),F751,1)*IF(ISNUMBER(E751),E751,1)</f>
        <v>0</v>
      </c>
      <c r="AJ751" s="140">
        <f t="shared" si="1507"/>
        <v>0</v>
      </c>
      <c r="AK751" s="145">
        <f t="array" ref="AK751">IFERROR(I751*INDEX(F!$P$21:$AB$33, MATCH(G751/$AH751, F!$O$21:$O$33,1), MATCH(E751, F!$P$20:$AB$20,1)), 0 ) +IFERROR( M751*INDEX(F!$P$21:$AB$33, MATCH(K751/$AH751, F!$O$21:$O$33,1), MATCH(E751, F!$P$20:$AB$20,1)),0) +  IFERROR( Q751*INDEX(F!$P$21:$AB$33, MATCH(O751/$AH751, F!$O$21:$O$33,1), MATCH(E751, F!$P$20:$AB$20,1)), 0) + IFERROR( U751*INDEX(F!$P$21:$AB$33, MATCH(S751/$AH751, F!$O$21:$O$33,1), MATCH(E751, F!$P$20:$AB$20,1)),0)  + IFERROR(Y751*INDEX(F!$P$21:$AB$33, MATCH(W751/$AH751, F!$O$21:$O$33,1), MATCH(E751, F!$P$20:$AB$20,1)),0)  + IFERROR( AC751*INDEX(F!$P$21:$AB$33, MATCH(AA751/$AH751, F!$O$21:$O$33,1), MATCH(E751, F!$P$20:$AB$20,1)),)</f>
        <v>0</v>
      </c>
      <c r="AL751" s="59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 ht="15.75" hidden="1" customHeight="1">
      <c r="A752" s="59"/>
      <c r="B752" s="173" t="str">
        <f t="shared" ref="B752:F752" si="1508">IF(B696="","",B696)</f>
        <v>Средняя</v>
      </c>
      <c r="C752" s="174" t="str">
        <f t="shared" si="1508"/>
        <v>ПР</v>
      </c>
      <c r="D752" s="175" t="str">
        <f t="shared" si="1508"/>
        <v>Присед</v>
      </c>
      <c r="E752" s="48">
        <f t="shared" si="1508"/>
        <v>1.2</v>
      </c>
      <c r="F752" s="176" t="str">
        <f t="shared" si="1508"/>
        <v/>
      </c>
      <c r="G752" s="177" t="str">
        <f t="shared" si="1498"/>
        <v/>
      </c>
      <c r="H752" s="178"/>
      <c r="I752" s="178"/>
      <c r="J752" s="179"/>
      <c r="K752" s="177" t="str">
        <f t="shared" si="1499"/>
        <v/>
      </c>
      <c r="L752" s="178"/>
      <c r="M752" s="178"/>
      <c r="N752" s="179"/>
      <c r="O752" s="177" t="str">
        <f t="shared" si="1500"/>
        <v/>
      </c>
      <c r="P752" s="178"/>
      <c r="Q752" s="178"/>
      <c r="R752" s="179"/>
      <c r="S752" s="177" t="str">
        <f t="shared" si="1501"/>
        <v/>
      </c>
      <c r="T752" s="178"/>
      <c r="U752" s="178"/>
      <c r="V752" s="179"/>
      <c r="W752" s="177" t="str">
        <f t="shared" si="1502"/>
        <v/>
      </c>
      <c r="X752" s="178"/>
      <c r="Y752" s="178"/>
      <c r="Z752" s="179"/>
      <c r="AA752" s="177" t="str">
        <f t="shared" si="1503"/>
        <v/>
      </c>
      <c r="AB752" s="178"/>
      <c r="AC752" s="178"/>
      <c r="AD752" s="179"/>
      <c r="AE752" s="180">
        <f t="shared" si="1504"/>
        <v>0</v>
      </c>
      <c r="AF752" s="181">
        <f t="shared" si="1466"/>
        <v>0</v>
      </c>
      <c r="AG752" s="182">
        <f t="shared" si="1505"/>
        <v>0</v>
      </c>
      <c r="AH752" s="76">
        <f t="shared" si="1506"/>
        <v>174.6368951</v>
      </c>
      <c r="AI752" s="181">
        <f> ( IF(ISNUMBER(G752), VLOOKUP(G752/$AH752,F!$A1:$B101,2,1)*G752*$H752*$I752,0)+IF(ISNUMBER(K752), VLOOKUP(K752/$AH752,F!$A1:$B101,2,1)*K752*$L752*$M752,0)+IF(ISNUMBER(O752), VLOOKUP(O752/$AH752,F!$A1:$B101,2,1)*O752*$P752*$Q752,0)+IF(ISNUMBER(S752), VLOOKUP(S752/$AH752,F!$A1:$B101,2,1)*S752*$T752*$U752,0)+IF(ISNUMBER(W752), VLOOKUP(W752/$AH752,F!$A1:$B101,2,1)*W752*$X752*$Y752,0)+IF(ISNUMBER(AA752), VLOOKUP(AA752/$AH752,F!$A1:$B101,2,1)*AA752*$AB752*$AC752,0))*IF(ISNUMBER(F752),F752,1)*IF(ISNUMBER(E752),E752,1)</f>
        <v>0</v>
      </c>
      <c r="AJ752" s="178">
        <f t="shared" si="1507"/>
        <v>0</v>
      </c>
      <c r="AK752" s="183">
        <f t="array" ref="AK752">IFERROR(I752*INDEX(F!$P$21:$AB$33, MATCH(G752/$AH752, F!$O$21:$O$33,1), MATCH(E752, F!$P$20:$AB$20,1)), 0 ) +IFERROR( M752*INDEX(F!$P$21:$AB$33, MATCH(K752/$AH752, F!$O$21:$O$33,1), MATCH(E752, F!$P$20:$AB$20,1)),0) +  IFERROR( Q752*INDEX(F!$P$21:$AB$33, MATCH(O752/$AH752, F!$O$21:$O$33,1), MATCH(E752, F!$P$20:$AB$20,1)), 0) + IFERROR( U752*INDEX(F!$P$21:$AB$33, MATCH(S752/$AH752, F!$O$21:$O$33,1), MATCH(E752, F!$P$20:$AB$20,1)),0)  + IFERROR(Y752*INDEX(F!$P$21:$AB$33, MATCH(W752/$AH752, F!$O$21:$O$33,1), MATCH(E752, F!$P$20:$AB$20,1)),0)  + IFERROR( AC752*INDEX(F!$P$21:$AB$33, MATCH(AA752/$AH752, F!$O$21:$O$33,1), MATCH(E752, F!$P$20:$AB$20,1)),)</f>
        <v>0</v>
      </c>
      <c r="AL752" s="59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 ht="15.75" hidden="1" customHeight="1">
      <c r="A753" s="59"/>
      <c r="B753" s="135" t="str">
        <f t="shared" ref="B753:F753" si="1509">IF(B697="","",B697)</f>
        <v>Средняя</v>
      </c>
      <c r="C753" s="136" t="str">
        <f t="shared" si="1509"/>
        <v>ЖМ</v>
      </c>
      <c r="D753" s="137" t="str">
        <f t="shared" si="1509"/>
        <v>Жим на наклонной скамье</v>
      </c>
      <c r="E753" s="48">
        <f t="shared" si="1509"/>
        <v>1</v>
      </c>
      <c r="F753" s="138" t="str">
        <f t="shared" si="1509"/>
        <v/>
      </c>
      <c r="G753" s="139" t="str">
        <f t="shared" si="1498"/>
        <v/>
      </c>
      <c r="H753" s="140"/>
      <c r="I753" s="140"/>
      <c r="J753" s="141"/>
      <c r="K753" s="139" t="str">
        <f t="shared" si="1499"/>
        <v/>
      </c>
      <c r="L753" s="140"/>
      <c r="M753" s="140"/>
      <c r="N753" s="141"/>
      <c r="O753" s="139" t="str">
        <f t="shared" si="1500"/>
        <v/>
      </c>
      <c r="P753" s="140"/>
      <c r="Q753" s="140"/>
      <c r="R753" s="141"/>
      <c r="S753" s="139" t="str">
        <f t="shared" si="1501"/>
        <v/>
      </c>
      <c r="T753" s="140"/>
      <c r="U753" s="140"/>
      <c r="V753" s="141"/>
      <c r="W753" s="139" t="str">
        <f t="shared" si="1502"/>
        <v/>
      </c>
      <c r="X753" s="140"/>
      <c r="Y753" s="140"/>
      <c r="Z753" s="141"/>
      <c r="AA753" s="139" t="str">
        <f t="shared" si="1503"/>
        <v/>
      </c>
      <c r="AB753" s="140"/>
      <c r="AC753" s="140"/>
      <c r="AD753" s="141"/>
      <c r="AE753" s="142">
        <f t="shared" si="1504"/>
        <v>0</v>
      </c>
      <c r="AF753" s="143">
        <f t="shared" si="1466"/>
        <v>0</v>
      </c>
      <c r="AG753" s="144">
        <f t="shared" si="1505"/>
        <v>0</v>
      </c>
      <c r="AH753" s="76">
        <f t="shared" si="1506"/>
        <v>98.31410391</v>
      </c>
      <c r="AI753" s="143">
        <f> ( IF(ISNUMBER(G753), VLOOKUP(G753/$AH753,F!$A1:$B101,2,1)*G753*$H753*$I753,0)+IF(ISNUMBER(K753), VLOOKUP(K753/$AH753,F!$A1:$B101,2,1)*K753*$L753*$M753,0)+IF(ISNUMBER(O753), VLOOKUP(O753/$AH753,F!$A1:$B101,2,1)*O753*$P753*$Q753,0)+IF(ISNUMBER(S753), VLOOKUP(S753/$AH753,F!$A1:$B101,2,1)*S753*$T753*$U753,0)+IF(ISNUMBER(W753), VLOOKUP(W753/$AH753,F!$A1:$B101,2,1)*W753*$X753*$Y753,0)+IF(ISNUMBER(AA753), VLOOKUP(AA753/$AH753,F!$A1:$B101,2,1)*AA753*$AB753*$AC753,0))*IF(ISNUMBER(F753),F753,1)*IF(ISNUMBER(E753),E753,1)</f>
        <v>0</v>
      </c>
      <c r="AJ753" s="140">
        <f t="shared" si="1507"/>
        <v>0</v>
      </c>
      <c r="AK753" s="145">
        <f t="array" ref="AK753">IFERROR(I753*INDEX(F!$P$21:$AB$33, MATCH(G753/$AH753, F!$O$21:$O$33,1), MATCH(E753, F!$P$20:$AB$20,1)), 0 ) +IFERROR( M753*INDEX(F!$P$21:$AB$33, MATCH(K753/$AH753, F!$O$21:$O$33,1), MATCH(E753, F!$P$20:$AB$20,1)),0) +  IFERROR( Q753*INDEX(F!$P$21:$AB$33, MATCH(O753/$AH753, F!$O$21:$O$33,1), MATCH(E753, F!$P$20:$AB$20,1)), 0) + IFERROR( U753*INDEX(F!$P$21:$AB$33, MATCH(S753/$AH753, F!$O$21:$O$33,1), MATCH(E753, F!$P$20:$AB$20,1)),0)  + IFERROR(Y753*INDEX(F!$P$21:$AB$33, MATCH(W753/$AH753, F!$O$21:$O$33,1), MATCH(E753, F!$P$20:$AB$20,1)),0)  + IFERROR( AC753*INDEX(F!$P$21:$AB$33, MATCH(AA753/$AH753, F!$O$21:$O$33,1), MATCH(E753, F!$P$20:$AB$20,1)),)</f>
        <v>0</v>
      </c>
      <c r="AL753" s="59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 ht="15.75" hidden="1" customHeight="1">
      <c r="A754" s="59"/>
      <c r="B754" s="173" t="str">
        <f t="shared" ref="B754:F754" si="1510">IF(B698="","",B698)</f>
        <v>Средняя</v>
      </c>
      <c r="C754" s="174" t="str">
        <f t="shared" si="1510"/>
        <v>ОФП</v>
      </c>
      <c r="D754" s="175" t="str">
        <f t="shared" si="1510"/>
        <v>Бицепс стоя</v>
      </c>
      <c r="E754" s="48">
        <f t="shared" si="1510"/>
        <v>0.5</v>
      </c>
      <c r="F754" s="176" t="str">
        <f t="shared" si="1510"/>
        <v/>
      </c>
      <c r="G754" s="177" t="str">
        <f t="shared" si="1498"/>
        <v/>
      </c>
      <c r="H754" s="178"/>
      <c r="I754" s="178"/>
      <c r="J754" s="179"/>
      <c r="K754" s="177" t="str">
        <f t="shared" si="1499"/>
        <v/>
      </c>
      <c r="L754" s="178"/>
      <c r="M754" s="178"/>
      <c r="N754" s="179"/>
      <c r="O754" s="177" t="str">
        <f t="shared" si="1500"/>
        <v/>
      </c>
      <c r="P754" s="178"/>
      <c r="Q754" s="178"/>
      <c r="R754" s="179"/>
      <c r="S754" s="177" t="str">
        <f t="shared" si="1501"/>
        <v/>
      </c>
      <c r="T754" s="178"/>
      <c r="U754" s="178"/>
      <c r="V754" s="179"/>
      <c r="W754" s="177" t="str">
        <f t="shared" si="1502"/>
        <v/>
      </c>
      <c r="X754" s="178"/>
      <c r="Y754" s="178"/>
      <c r="Z754" s="179"/>
      <c r="AA754" s="177" t="str">
        <f t="shared" si="1503"/>
        <v/>
      </c>
      <c r="AB754" s="178"/>
      <c r="AC754" s="178"/>
      <c r="AD754" s="179"/>
      <c r="AE754" s="180">
        <f t="shared" si="1504"/>
        <v>0</v>
      </c>
      <c r="AF754" s="181">
        <f t="shared" si="1466"/>
        <v>0</v>
      </c>
      <c r="AG754" s="182">
        <f t="shared" si="1505"/>
        <v>0</v>
      </c>
      <c r="AH754" s="76" t="str">
        <f t="shared" si="1506"/>
        <v/>
      </c>
      <c r="AI754" s="181">
        <f> ( IF(ISNUMBER(G754), VLOOKUP(G754/$AH754,F!$A1:$B101,2,1)*G754*$H754*$I754,0)+IF(ISNUMBER(K754), VLOOKUP(K754/$AH754,F!$A1:$B101,2,1)*K754*$L754*$M754,0)+IF(ISNUMBER(O754), VLOOKUP(O754/$AH754,F!$A1:$B101,2,1)*O754*$P754*$Q754,0)+IF(ISNUMBER(S754), VLOOKUP(S754/$AH754,F!$A1:$B101,2,1)*S754*$T754*$U754,0)+IF(ISNUMBER(W754), VLOOKUP(W754/$AH754,F!$A1:$B101,2,1)*W754*$X754*$Y754,0)+IF(ISNUMBER(AA754), VLOOKUP(AA754/$AH754,F!$A1:$B101,2,1)*AA754*$AB754*$AC754,0))*IF(ISNUMBER(F754),F754,1)*IF(ISNUMBER(E754),E754,1)</f>
        <v>0</v>
      </c>
      <c r="AJ754" s="178">
        <f t="shared" si="1507"/>
        <v>0</v>
      </c>
      <c r="AK754" s="183">
        <f t="array" ref="AK754">IFERROR(I754*INDEX(F!$P$21:$AB$33, MATCH(G754/$AH754, F!$O$21:$O$33,1), MATCH(E754, F!$P$20:$AB$20,1)), 0 ) +IFERROR( M754*INDEX(F!$P$21:$AB$33, MATCH(K754/$AH754, F!$O$21:$O$33,1), MATCH(E754, F!$P$20:$AB$20,1)),0) +  IFERROR( Q754*INDEX(F!$P$21:$AB$33, MATCH(O754/$AH754, F!$O$21:$O$33,1), MATCH(E754, F!$P$20:$AB$20,1)), 0) + IFERROR( U754*INDEX(F!$P$21:$AB$33, MATCH(S754/$AH754, F!$O$21:$O$33,1), MATCH(E754, F!$P$20:$AB$20,1)),0)  + IFERROR(Y754*INDEX(F!$P$21:$AB$33, MATCH(W754/$AH754, F!$O$21:$O$33,1), MATCH(E754, F!$P$20:$AB$20,1)),0)  + IFERROR( AC754*INDEX(F!$P$21:$AB$33, MATCH(AA754/$AH754, F!$O$21:$O$33,1), MATCH(E754, F!$P$20:$AB$20,1)),)</f>
        <v>0</v>
      </c>
      <c r="AL754" s="59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 ht="15.75" hidden="1" customHeight="1">
      <c r="A755" s="59"/>
      <c r="B755" s="135" t="str">
        <f t="shared" ref="B755:F755" si="1511">IF(B699="","",B699)</f>
        <v/>
      </c>
      <c r="C755" s="136" t="str">
        <f t="shared" si="1511"/>
        <v/>
      </c>
      <c r="D755" s="137" t="str">
        <f t="shared" si="1511"/>
        <v/>
      </c>
      <c r="E755" s="48" t="str">
        <f t="shared" si="1511"/>
        <v/>
      </c>
      <c r="F755" s="138" t="str">
        <f t="shared" si="1511"/>
        <v/>
      </c>
      <c r="G755" s="139" t="str">
        <f t="shared" si="1498"/>
        <v/>
      </c>
      <c r="H755" s="140"/>
      <c r="I755" s="140"/>
      <c r="J755" s="141"/>
      <c r="K755" s="139" t="str">
        <f t="shared" si="1499"/>
        <v/>
      </c>
      <c r="L755" s="140"/>
      <c r="M755" s="140"/>
      <c r="N755" s="141"/>
      <c r="O755" s="139" t="str">
        <f t="shared" si="1500"/>
        <v/>
      </c>
      <c r="P755" s="140"/>
      <c r="Q755" s="140"/>
      <c r="R755" s="141"/>
      <c r="S755" s="139" t="str">
        <f t="shared" si="1501"/>
        <v/>
      </c>
      <c r="T755" s="140"/>
      <c r="U755" s="140"/>
      <c r="V755" s="141"/>
      <c r="W755" s="139" t="str">
        <f t="shared" si="1502"/>
        <v/>
      </c>
      <c r="X755" s="140"/>
      <c r="Y755" s="140"/>
      <c r="Z755" s="141"/>
      <c r="AA755" s="139" t="str">
        <f t="shared" si="1503"/>
        <v/>
      </c>
      <c r="AB755" s="140"/>
      <c r="AC755" s="140"/>
      <c r="AD755" s="141"/>
      <c r="AE755" s="142">
        <f t="shared" si="1504"/>
        <v>0</v>
      </c>
      <c r="AF755" s="143">
        <f t="shared" si="1466"/>
        <v>0</v>
      </c>
      <c r="AG755" s="144">
        <f t="shared" si="1505"/>
        <v>0</v>
      </c>
      <c r="AH755" s="76" t="str">
        <f t="shared" si="1506"/>
        <v/>
      </c>
      <c r="AI755" s="143">
        <f> ( IF(ISNUMBER(G755), VLOOKUP(G755/$AH755,F!$A1:$B101,2,1)*G755*$H755*$I755,0)+IF(ISNUMBER(K755), VLOOKUP(K755/$AH755,F!$A1:$B101,2,1)*K755*$L755*$M755,0)+IF(ISNUMBER(O755), VLOOKUP(O755/$AH755,F!$A1:$B101,2,1)*O755*$P755*$Q755,0)+IF(ISNUMBER(S755), VLOOKUP(S755/$AH755,F!$A1:$B101,2,1)*S755*$T755*$U755,0)+IF(ISNUMBER(W755), VLOOKUP(W755/$AH755,F!$A1:$B101,2,1)*W755*$X755*$Y755,0)+IF(ISNUMBER(AA755), VLOOKUP(AA755/$AH755,F!$A1:$B101,2,1)*AA755*$AB755*$AC755,0))*IF(ISNUMBER(F755),F755,1)*IF(ISNUMBER(E755),E755,1)</f>
        <v>0</v>
      </c>
      <c r="AJ755" s="140">
        <f t="shared" si="1507"/>
        <v>0</v>
      </c>
      <c r="AK755" s="145">
        <f t="array" ref="AK755">IFERROR(I755*INDEX(F!$P$21:$AB$33, MATCH(G755/$AH755, F!$O$21:$O$33,1), MATCH(E755, F!$P$20:$AB$20,1)), 0 ) +IFERROR( M755*INDEX(F!$P$21:$AB$33, MATCH(K755/$AH755, F!$O$21:$O$33,1), MATCH(E755, F!$P$20:$AB$20,1)),0) +  IFERROR( Q755*INDEX(F!$P$21:$AB$33, MATCH(O755/$AH755, F!$O$21:$O$33,1), MATCH(E755, F!$P$20:$AB$20,1)), 0) + IFERROR( U755*INDEX(F!$P$21:$AB$33, MATCH(S755/$AH755, F!$O$21:$O$33,1), MATCH(E755, F!$P$20:$AB$20,1)),0)  + IFERROR(Y755*INDEX(F!$P$21:$AB$33, MATCH(W755/$AH755, F!$O$21:$O$33,1), MATCH(E755, F!$P$20:$AB$20,1)),0)  + IFERROR( AC755*INDEX(F!$P$21:$AB$33, MATCH(AA755/$AH755, F!$O$21:$O$33,1), MATCH(E755, F!$P$20:$AB$20,1)),)</f>
        <v>0</v>
      </c>
      <c r="AL755" s="59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 ht="15.75" hidden="1" customHeight="1">
      <c r="A756" s="59"/>
      <c r="B756" s="173" t="str">
        <f t="shared" ref="B756:F756" si="1512">IF(B700="","",B700)</f>
        <v/>
      </c>
      <c r="C756" s="174" t="str">
        <f t="shared" si="1512"/>
        <v/>
      </c>
      <c r="D756" s="175" t="str">
        <f t="shared" si="1512"/>
        <v/>
      </c>
      <c r="E756" s="48" t="str">
        <f t="shared" si="1512"/>
        <v/>
      </c>
      <c r="F756" s="176" t="str">
        <f t="shared" si="1512"/>
        <v/>
      </c>
      <c r="G756" s="177" t="str">
        <f t="shared" si="1498"/>
        <v/>
      </c>
      <c r="H756" s="178"/>
      <c r="I756" s="178"/>
      <c r="J756" s="179"/>
      <c r="K756" s="177" t="str">
        <f t="shared" si="1499"/>
        <v/>
      </c>
      <c r="L756" s="178"/>
      <c r="M756" s="178"/>
      <c r="N756" s="179"/>
      <c r="O756" s="177" t="str">
        <f t="shared" si="1500"/>
        <v/>
      </c>
      <c r="P756" s="178"/>
      <c r="Q756" s="178"/>
      <c r="R756" s="179"/>
      <c r="S756" s="177" t="str">
        <f t="shared" si="1501"/>
        <v/>
      </c>
      <c r="T756" s="178"/>
      <c r="U756" s="178"/>
      <c r="V756" s="179"/>
      <c r="W756" s="177" t="str">
        <f t="shared" si="1502"/>
        <v/>
      </c>
      <c r="X756" s="178"/>
      <c r="Y756" s="178"/>
      <c r="Z756" s="179"/>
      <c r="AA756" s="177" t="str">
        <f t="shared" si="1503"/>
        <v/>
      </c>
      <c r="AB756" s="178"/>
      <c r="AC756" s="178"/>
      <c r="AD756" s="179"/>
      <c r="AE756" s="180">
        <f t="shared" si="1504"/>
        <v>0</v>
      </c>
      <c r="AF756" s="181">
        <f t="shared" si="1466"/>
        <v>0</v>
      </c>
      <c r="AG756" s="182">
        <f t="shared" si="1505"/>
        <v>0</v>
      </c>
      <c r="AH756" s="76" t="str">
        <f t="shared" si="1506"/>
        <v/>
      </c>
      <c r="AI756" s="181">
        <f> ( IF(ISNUMBER(G756), VLOOKUP(G756/$AH756,F!$A1:$B101,2,1)*G756*$H756*$I756,0)+IF(ISNUMBER(K756), VLOOKUP(K756/$AH756,F!$A1:$B101,2,1)*K756*$L756*$M756,0)+IF(ISNUMBER(O756), VLOOKUP(O756/$AH756,F!$A1:$B101,2,1)*O756*$P756*$Q756,0)+IF(ISNUMBER(S756), VLOOKUP(S756/$AH756,F!$A1:$B101,2,1)*S756*$T756*$U756,0)+IF(ISNUMBER(W756), VLOOKUP(W756/$AH756,F!$A1:$B101,2,1)*W756*$X756*$Y756,0)+IF(ISNUMBER(AA756), VLOOKUP(AA756/$AH756,F!$A1:$B101,2,1)*AA756*$AB756*$AC756,0))*IF(ISNUMBER(F756),F756,1)*IF(ISNUMBER(E756),E756,1)</f>
        <v>0</v>
      </c>
      <c r="AJ756" s="178">
        <f t="shared" si="1507"/>
        <v>0</v>
      </c>
      <c r="AK756" s="183">
        <f t="array" ref="AK756">IFERROR(I756*INDEX(F!$P$21:$AB$33, MATCH(G756/$AH756, F!$O$21:$O$33,1), MATCH(E756, F!$P$20:$AB$20,1)), 0 ) +IFERROR( M756*INDEX(F!$P$21:$AB$33, MATCH(K756/$AH756, F!$O$21:$O$33,1), MATCH(E756, F!$P$20:$AB$20,1)),0) +  IFERROR( Q756*INDEX(F!$P$21:$AB$33, MATCH(O756/$AH756, F!$O$21:$O$33,1), MATCH(E756, F!$P$20:$AB$20,1)), 0) + IFERROR( U756*INDEX(F!$P$21:$AB$33, MATCH(S756/$AH756, F!$O$21:$O$33,1), MATCH(E756, F!$P$20:$AB$20,1)),0)  + IFERROR(Y756*INDEX(F!$P$21:$AB$33, MATCH(W756/$AH756, F!$O$21:$O$33,1), MATCH(E756, F!$P$20:$AB$20,1)),0)  + IFERROR( AC756*INDEX(F!$P$21:$AB$33, MATCH(AA756/$AH756, F!$O$21:$O$33,1), MATCH(E756, F!$P$20:$AB$20,1)),)</f>
        <v>0</v>
      </c>
      <c r="AL756" s="59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 ht="15.75" hidden="1" customHeight="1">
      <c r="A757" s="59"/>
      <c r="B757" s="135" t="str">
        <f t="shared" ref="B757:F757" si="1513">IF(B701="","",B701)</f>
        <v/>
      </c>
      <c r="C757" s="136" t="str">
        <f t="shared" si="1513"/>
        <v/>
      </c>
      <c r="D757" s="137" t="str">
        <f t="shared" si="1513"/>
        <v/>
      </c>
      <c r="E757" s="48" t="str">
        <f t="shared" si="1513"/>
        <v/>
      </c>
      <c r="F757" s="138" t="str">
        <f t="shared" si="1513"/>
        <v/>
      </c>
      <c r="G757" s="139" t="str">
        <f t="shared" si="1498"/>
        <v/>
      </c>
      <c r="H757" s="140"/>
      <c r="I757" s="140"/>
      <c r="J757" s="141"/>
      <c r="K757" s="139" t="str">
        <f t="shared" si="1499"/>
        <v/>
      </c>
      <c r="L757" s="140"/>
      <c r="M757" s="140"/>
      <c r="N757" s="141"/>
      <c r="O757" s="139" t="str">
        <f t="shared" si="1500"/>
        <v/>
      </c>
      <c r="P757" s="140"/>
      <c r="Q757" s="140"/>
      <c r="R757" s="141"/>
      <c r="S757" s="139" t="str">
        <f t="shared" si="1501"/>
        <v/>
      </c>
      <c r="T757" s="140"/>
      <c r="U757" s="140"/>
      <c r="V757" s="141"/>
      <c r="W757" s="139" t="str">
        <f t="shared" si="1502"/>
        <v/>
      </c>
      <c r="X757" s="140"/>
      <c r="Y757" s="140"/>
      <c r="Z757" s="141"/>
      <c r="AA757" s="139" t="str">
        <f t="shared" si="1503"/>
        <v/>
      </c>
      <c r="AB757" s="140"/>
      <c r="AC757" s="140"/>
      <c r="AD757" s="141"/>
      <c r="AE757" s="142">
        <f t="shared" si="1504"/>
        <v>0</v>
      </c>
      <c r="AF757" s="143">
        <f t="shared" si="1466"/>
        <v>0</v>
      </c>
      <c r="AG757" s="144">
        <f t="shared" si="1505"/>
        <v>0</v>
      </c>
      <c r="AH757" s="76" t="str">
        <f t="shared" si="1506"/>
        <v/>
      </c>
      <c r="AI757" s="143">
        <f> ( IF(ISNUMBER(G757), VLOOKUP(G757/$AH757,F!$A1:$B101,2,1)*G757*$H757*$I757,0)+IF(ISNUMBER(K757), VLOOKUP(K757/$AH757,F!$A1:$B101,2,1)*K757*$L757*$M757,0)+IF(ISNUMBER(O757), VLOOKUP(O757/$AH757,F!$A1:$B101,2,1)*O757*$P757*$Q757,0)+IF(ISNUMBER(S757), VLOOKUP(S757/$AH757,F!$A1:$B101,2,1)*S757*$T757*$U757,0)+IF(ISNUMBER(W757), VLOOKUP(W757/$AH757,F!$A1:$B101,2,1)*W757*$X757*$Y757,0)+IF(ISNUMBER(AA757), VLOOKUP(AA757/$AH757,F!$A1:$B101,2,1)*AA757*$AB757*$AC757,0))*IF(ISNUMBER(F757),F757,1)*IF(ISNUMBER(E757),E757,1)</f>
        <v>0</v>
      </c>
      <c r="AJ757" s="140">
        <f t="shared" si="1507"/>
        <v>0</v>
      </c>
      <c r="AK757" s="145">
        <f t="array" ref="AK757">IFERROR(I757*INDEX(F!$P$21:$AB$33, MATCH(G757/$AH757, F!$O$21:$O$33,1), MATCH(E757, F!$P$20:$AB$20,1)), 0 ) +IFERROR( M757*INDEX(F!$P$21:$AB$33, MATCH(K757/$AH757, F!$O$21:$O$33,1), MATCH(E757, F!$P$20:$AB$20,1)),0) +  IFERROR( Q757*INDEX(F!$P$21:$AB$33, MATCH(O757/$AH757, F!$O$21:$O$33,1), MATCH(E757, F!$P$20:$AB$20,1)), 0) + IFERROR( U757*INDEX(F!$P$21:$AB$33, MATCH(S757/$AH757, F!$O$21:$O$33,1), MATCH(E757, F!$P$20:$AB$20,1)),0)  + IFERROR(Y757*INDEX(F!$P$21:$AB$33, MATCH(W757/$AH757, F!$O$21:$O$33,1), MATCH(E757, F!$P$20:$AB$20,1)),0)  + IFERROR( AC757*INDEX(F!$P$21:$AB$33, MATCH(AA757/$AH757, F!$O$21:$O$33,1), MATCH(E757, F!$P$20:$AB$20,1)),)</f>
        <v>0</v>
      </c>
      <c r="AL757" s="59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 ht="15.75" hidden="1" customHeight="1">
      <c r="A758" s="98"/>
      <c r="B758" s="188"/>
      <c r="C758" s="189"/>
      <c r="D758" s="190"/>
      <c r="E758" s="102">
        <f>ROUND(IFERROR(SUMPRODUCT(AJ750:AJ757,E750:E757)/AJ758,0),3)</f>
        <v>0</v>
      </c>
      <c r="F758" s="191"/>
      <c r="G758" s="192"/>
      <c r="H758" s="193"/>
      <c r="I758" s="193"/>
      <c r="J758" s="194"/>
      <c r="K758" s="192"/>
      <c r="L758" s="193"/>
      <c r="M758" s="193"/>
      <c r="N758" s="194"/>
      <c r="O758" s="192"/>
      <c r="P758" s="193"/>
      <c r="Q758" s="193"/>
      <c r="R758" s="194"/>
      <c r="S758" s="192"/>
      <c r="T758" s="193"/>
      <c r="U758" s="193"/>
      <c r="V758" s="194"/>
      <c r="W758" s="192"/>
      <c r="X758" s="193"/>
      <c r="Y758" s="193"/>
      <c r="Z758" s="194"/>
      <c r="AA758" s="192"/>
      <c r="AB758" s="193"/>
      <c r="AC758" s="193"/>
      <c r="AD758" s="194"/>
      <c r="AE758" s="107">
        <f>SUM(AE750:AE757)</f>
        <v>0</v>
      </c>
      <c r="AF758" s="108">
        <f t="shared" si="1466"/>
        <v>0</v>
      </c>
      <c r="AG758" s="109">
        <f>IFERROR(  SUMPRODUCT(AG750:AG757,AJ750:AJ757)/AJ758,0)</f>
        <v>0</v>
      </c>
      <c r="AH758" s="157"/>
      <c r="AI758" s="111">
        <f t="shared" ref="AI758:AJ758" si="1514">SUM(AI750:AI757)</f>
        <v>0</v>
      </c>
      <c r="AJ758" s="111">
        <f t="shared" si="1514"/>
        <v>0</v>
      </c>
      <c r="AK758" s="112">
        <f>IF(SUM(AK750:AK757)=0,TIME(,0,),TIME(,SUM(AK750:AK757)+F!$V$37,))</f>
        <v>0</v>
      </c>
      <c r="AL758" s="98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 ht="15.75" hidden="1" customHeight="1">
      <c r="A759" s="25">
        <f>A760</f>
        <v>43876</v>
      </c>
      <c r="B759" s="26" t="str">
        <f t="shared" ref="B759:F759" si="1515">IF(B703="","",B703)</f>
        <v/>
      </c>
      <c r="C759" s="27" t="str">
        <f t="shared" si="1515"/>
        <v/>
      </c>
      <c r="D759" s="28" t="str">
        <f t="shared" si="1515"/>
        <v/>
      </c>
      <c r="E759" s="29" t="str">
        <f t="shared" si="1515"/>
        <v/>
      </c>
      <c r="F759" s="30" t="str">
        <f t="shared" si="1515"/>
        <v/>
      </c>
      <c r="G759" s="31" t="str">
        <f t="shared" ref="G759:G766" si="1517">IF(J759&lt;&gt;0, IFERROR(IF( $F759=2,  MROUND($AH759*J759,1),    IF( OR($F759="",$F759=1),   MROUND($AH759*J759,2.5),  MROUND($AH759*J759, 0.1))), "" ), "")</f>
        <v/>
      </c>
      <c r="H759" s="32"/>
      <c r="I759" s="32"/>
      <c r="J759" s="33"/>
      <c r="K759" s="31" t="str">
        <f t="shared" ref="K759:K766" si="1518">IF(N759&lt;&gt;0, IFERROR(IF( $F759=2,  MROUND($AH759*N759,1),    IF( OR($F759="",$F759=1),   MROUND($AH759*N759,2.5),  MROUND($AH759*N759, 0.1))), "" ), "")</f>
        <v/>
      </c>
      <c r="L759" s="32"/>
      <c r="M759" s="32"/>
      <c r="N759" s="33"/>
      <c r="O759" s="31" t="str">
        <f t="shared" ref="O759:O766" si="1519">IF(R759&lt;&gt;0, IFERROR(IF( $F759=2,  MROUND($AH759*R759,1),    IF( OR($F759="",$F759=1),   MROUND($AH759*R759,2.5),  MROUND($AH759*R759, 0.1))), "" ), "")</f>
        <v/>
      </c>
      <c r="P759" s="32"/>
      <c r="Q759" s="32"/>
      <c r="R759" s="33"/>
      <c r="S759" s="31" t="str">
        <f t="shared" ref="S759:S766" si="1520">IF(V759&lt;&gt;0, IFERROR(IF( $F759=2,  MROUND($AH759*V759,1),    IF( OR($F759="",$F759=1),   MROUND($AH759*V759,2.5),  MROUND($AH759*V759, 0.1))), "" ), "")</f>
        <v/>
      </c>
      <c r="T759" s="32"/>
      <c r="U759" s="32"/>
      <c r="V759" s="33"/>
      <c r="W759" s="31" t="str">
        <f t="shared" ref="W759:W766" si="1521">IF(Z759&lt;&gt;0, IFERROR(IF( $F759=2,  MROUND($AH759*Z759,1),    IF( OR($F759="",$F759=1),   MROUND($AH759*Z759,2.5),  MROUND($AH759*Z759, 0.1))), "" ), "")</f>
        <v/>
      </c>
      <c r="X759" s="32"/>
      <c r="Y759" s="32"/>
      <c r="Z759" s="33"/>
      <c r="AA759" s="31" t="str">
        <f t="shared" ref="AA759:AA766" si="1522">IF(AD759&lt;&gt;0, IFERROR(IF( $F759=2,  MROUND($AH759*AD759,1),    IF( OR($F759="",$F759=1),   MROUND($AH759*AD759,2.5),  MROUND($AH759*AD759, 0.1))), "" ), "")</f>
        <v/>
      </c>
      <c r="AB759" s="32"/>
      <c r="AC759" s="32"/>
      <c r="AD759" s="33"/>
      <c r="AE759" s="35">
        <f t="shared" ref="AE759:AE766" si="1523">(IF(ISNUMBER(G759),G759,0)*H759*I759+IF(ISNUMBER(K759),K759,1)*L759*M759+IF(ISNUMBER(O759),O759,1)*P759*Q759+IF(ISNUMBER(S759),S759,1)*T759*U759+IF(ISNUMBER(W759),W759,1)*X759*Y759+IF(ISNUMBER(AA759),AA759,1)*AB759*AC759)*IF(ISNUMBER(F759),F759,1)</f>
        <v>0</v>
      </c>
      <c r="AF759" s="36">
        <f t="shared" si="1466"/>
        <v>0</v>
      </c>
      <c r="AG759" s="195">
        <f t="shared" ref="AG759:AG766" si="1524">IFERROR((AF759/(AH759*IF(ISNUMBER(F759),F759,1))),0)</f>
        <v>0</v>
      </c>
      <c r="AH759" s="169" t="str">
        <f t="shared" ref="AH759:AH766" si="1525">IF(ISNUMBER(AH703), AH703+(AH703*$AH$730),"")</f>
        <v/>
      </c>
      <c r="AI759" s="196">
        <f> ( IF(ISNUMBER(G759), VLOOKUP(G759/$AH759,F!$A1:$B101,2,1)*G759*$H759*$I759,0)+IF(ISNUMBER(K759), VLOOKUP(K759/$AH759,F!$A1:$B101,2,1)*K759*$L759*$M759,0)+IF(ISNUMBER(O759), VLOOKUP(O759/$AH759,F!$A1:$B101,2,1)*O759*$P759*$Q759,0)+IF(ISNUMBER(S759), VLOOKUP(S759/$AH759,F!$A1:$B101,2,1)*S759*$T759*$U759,0)+IF(ISNUMBER(W759), VLOOKUP(W759/$AH759,F!$A1:$B101,2,1)*W759*$X759*$Y759,0)+IF(ISNUMBER(AA759), VLOOKUP(AA759/$AH759,F!$A1:$B101,2,1)*AA759*$AB759*$AC759,0))*IF(ISNUMBER(F759),F759,1)*IF(ISNUMBER(E759),E759,1)</f>
        <v>0</v>
      </c>
      <c r="AJ759" s="40">
        <f t="shared" ref="AJ759:AJ766" si="1526">H759*I759+L759*M759+P759*Q759+T759*U759+X759*Y759+AB759*AC759</f>
        <v>0</v>
      </c>
      <c r="AK759" s="41">
        <f t="array" ref="AK759">IFERROR(I759*INDEX(F!$P$21:$AB$33, MATCH(G759/$AH759, F!$O$21:$O$33,1), MATCH(E759, F!$P$20:$AB$20,1)), 0 ) +IFERROR( M759*INDEX(F!$P$21:$AB$33, MATCH(K759/$AH759, F!$O$21:$O$33,1), MATCH(E759, F!$P$20:$AB$20,1)),0) +  IFERROR( Q759*INDEX(F!$P$21:$AB$33, MATCH(O759/$AH759, F!$O$21:$O$33,1), MATCH(E759, F!$P$20:$AB$20,1)), 0) + IFERROR( U759*INDEX(F!$P$21:$AB$33, MATCH(S759/$AH759, F!$O$21:$O$33,1), MATCH(E759, F!$P$20:$AB$20,1)),0)  + IFERROR(Y759*INDEX(F!$P$21:$AB$33, MATCH(W759/$AH759, F!$O$21:$O$33,1), MATCH(E759, F!$P$20:$AB$20,1)),0)  + IFERROR( AC759*INDEX(F!$P$21:$AB$33, MATCH(AA759/$AH759, F!$O$21:$O$33,1), MATCH(E759, F!$P$20:$AB$20,1)),)</f>
        <v>0</v>
      </c>
      <c r="AL759" s="42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 ht="15.75" hidden="1" customHeight="1">
      <c r="A760" s="44">
        <f>A704+A674</f>
        <v>43876</v>
      </c>
      <c r="B760" s="45" t="str">
        <f t="shared" ref="B760:F760" si="1516">IF(B704="","",B704)</f>
        <v/>
      </c>
      <c r="C760" s="46" t="str">
        <f t="shared" si="1516"/>
        <v/>
      </c>
      <c r="D760" s="47" t="str">
        <f t="shared" si="1516"/>
        <v/>
      </c>
      <c r="E760" s="48" t="str">
        <f t="shared" si="1516"/>
        <v/>
      </c>
      <c r="F760" s="49" t="str">
        <f t="shared" si="1516"/>
        <v/>
      </c>
      <c r="G760" s="50" t="str">
        <f t="shared" si="1517"/>
        <v/>
      </c>
      <c r="H760" s="51"/>
      <c r="I760" s="51"/>
      <c r="J760" s="52"/>
      <c r="K760" s="50" t="str">
        <f t="shared" si="1518"/>
        <v/>
      </c>
      <c r="L760" s="51"/>
      <c r="M760" s="51"/>
      <c r="N760" s="52"/>
      <c r="O760" s="50" t="str">
        <f t="shared" si="1519"/>
        <v/>
      </c>
      <c r="P760" s="51"/>
      <c r="Q760" s="51"/>
      <c r="R760" s="52"/>
      <c r="S760" s="50" t="str">
        <f t="shared" si="1520"/>
        <v/>
      </c>
      <c r="T760" s="51"/>
      <c r="U760" s="51"/>
      <c r="V760" s="52"/>
      <c r="W760" s="50" t="str">
        <f t="shared" si="1521"/>
        <v/>
      </c>
      <c r="X760" s="51"/>
      <c r="Y760" s="51"/>
      <c r="Z760" s="52"/>
      <c r="AA760" s="50" t="str">
        <f t="shared" si="1522"/>
        <v/>
      </c>
      <c r="AB760" s="51"/>
      <c r="AC760" s="51"/>
      <c r="AD760" s="52"/>
      <c r="AE760" s="53">
        <f t="shared" si="1523"/>
        <v>0</v>
      </c>
      <c r="AF760" s="54">
        <f t="shared" si="1466"/>
        <v>0</v>
      </c>
      <c r="AG760" s="75">
        <f t="shared" si="1524"/>
        <v>0</v>
      </c>
      <c r="AH760" s="76" t="str">
        <f t="shared" si="1525"/>
        <v/>
      </c>
      <c r="AI760" s="77">
        <f> ( IF(ISNUMBER(G760), VLOOKUP(G760/$AH760,F!$A1:$B101,2,1)*G760*$H760*$I760,0)+IF(ISNUMBER(K760), VLOOKUP(K760/$AH760,F!$A1:$B101,2,1)*K760*$L760*$M760,0)+IF(ISNUMBER(O760), VLOOKUP(O760/$AH760,F!$A1:$B101,2,1)*O760*$P760*$Q760,0)+IF(ISNUMBER(S760), VLOOKUP(S760/$AH760,F!$A1:$B101,2,1)*S760*$T760*$U760,0)+IF(ISNUMBER(W760), VLOOKUP(W760/$AH760,F!$A1:$B101,2,1)*W760*$X760*$Y760,0)+IF(ISNUMBER(AA760), VLOOKUP(AA760/$AH760,F!$A1:$B101,2,1)*AA760*$AB760*$AC760,0))*IF(ISNUMBER(F760),F760,1)*IF(ISNUMBER(E760),E760,1)</f>
        <v>0</v>
      </c>
      <c r="AJ760" s="57">
        <f t="shared" si="1526"/>
        <v>0</v>
      </c>
      <c r="AK760" s="58">
        <f t="array" ref="AK760">IFERROR(I760*INDEX(F!$P$21:$AB$33, MATCH(G760/$AH760, F!$O$21:$O$33,1), MATCH(E760, F!$P$20:$AB$20,1)), 0 ) +IFERROR( M760*INDEX(F!$P$21:$AB$33, MATCH(K760/$AH760, F!$O$21:$O$33,1), MATCH(E760, F!$P$20:$AB$20,1)),0) +  IFERROR( Q760*INDEX(F!$P$21:$AB$33, MATCH(O760/$AH760, F!$O$21:$O$33,1), MATCH(E760, F!$P$20:$AB$20,1)), 0) + IFERROR( U760*INDEX(F!$P$21:$AB$33, MATCH(S760/$AH760, F!$O$21:$O$33,1), MATCH(E760, F!$P$20:$AB$20,1)),0)  + IFERROR(Y760*INDEX(F!$P$21:$AB$33, MATCH(W760/$AH760, F!$O$21:$O$33,1), MATCH(E760, F!$P$20:$AB$20,1)),0)  + IFERROR( AC760*INDEX(F!$P$21:$AB$33, MATCH(AA760/$AH760, F!$O$21:$O$33,1), MATCH(E760, F!$P$20:$AB$20,1)),)</f>
        <v>0</v>
      </c>
      <c r="AL760" s="59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 ht="15.75" hidden="1" customHeight="1">
      <c r="A761" s="59"/>
      <c r="B761" s="60" t="str">
        <f t="shared" ref="B761:F761" si="1527">IF(B705="","",B705)</f>
        <v/>
      </c>
      <c r="C761" s="61" t="str">
        <f t="shared" si="1527"/>
        <v/>
      </c>
      <c r="D761" s="62" t="str">
        <f t="shared" si="1527"/>
        <v/>
      </c>
      <c r="E761" s="48" t="str">
        <f t="shared" si="1527"/>
        <v/>
      </c>
      <c r="F761" s="63" t="str">
        <f t="shared" si="1527"/>
        <v/>
      </c>
      <c r="G761" s="64" t="str">
        <f t="shared" si="1517"/>
        <v/>
      </c>
      <c r="H761" s="34"/>
      <c r="I761" s="34"/>
      <c r="J761" s="65"/>
      <c r="K761" s="64" t="str">
        <f t="shared" si="1518"/>
        <v/>
      </c>
      <c r="L761" s="34"/>
      <c r="M761" s="34"/>
      <c r="N761" s="65"/>
      <c r="O761" s="64" t="str">
        <f t="shared" si="1519"/>
        <v/>
      </c>
      <c r="P761" s="34"/>
      <c r="Q761" s="34"/>
      <c r="R761" s="65"/>
      <c r="S761" s="64" t="str">
        <f t="shared" si="1520"/>
        <v/>
      </c>
      <c r="T761" s="34"/>
      <c r="U761" s="34"/>
      <c r="V761" s="65"/>
      <c r="W761" s="64" t="str">
        <f t="shared" si="1521"/>
        <v/>
      </c>
      <c r="X761" s="34"/>
      <c r="Y761" s="34"/>
      <c r="Z761" s="65"/>
      <c r="AA761" s="64" t="str">
        <f t="shared" si="1522"/>
        <v/>
      </c>
      <c r="AB761" s="34"/>
      <c r="AC761" s="34"/>
      <c r="AD761" s="65"/>
      <c r="AE761" s="66">
        <f t="shared" si="1523"/>
        <v>0</v>
      </c>
      <c r="AF761" s="67">
        <f t="shared" si="1466"/>
        <v>0</v>
      </c>
      <c r="AG761" s="68">
        <f t="shared" si="1524"/>
        <v>0</v>
      </c>
      <c r="AH761" s="76" t="str">
        <f t="shared" si="1525"/>
        <v/>
      </c>
      <c r="AI761" s="70">
        <f> ( IF(ISNUMBER(G761), VLOOKUP(G761/$AH761,F!$A1:$B101,2,1)*G761*$H761*$I761,0)+IF(ISNUMBER(K761), VLOOKUP(K761/$AH761,F!$A1:$B101,2,1)*K761*$L761*$M761,0)+IF(ISNUMBER(O761), VLOOKUP(O761/$AH761,F!$A1:$B101,2,1)*O761*$P761*$Q761,0)+IF(ISNUMBER(S761), VLOOKUP(S761/$AH761,F!$A1:$B101,2,1)*S761*$T761*$U761,0)+IF(ISNUMBER(W761), VLOOKUP(W761/$AH761,F!$A1:$B101,2,1)*W761*$X761*$Y761,0)+IF(ISNUMBER(AA761), VLOOKUP(AA761/$AH761,F!$A1:$B101,2,1)*AA761*$AB761*$AC761,0))*IF(ISNUMBER(F761),F761,1)*IF(ISNUMBER(E761),E761,1)</f>
        <v>0</v>
      </c>
      <c r="AJ761" s="71">
        <f t="shared" si="1526"/>
        <v>0</v>
      </c>
      <c r="AK761" s="72">
        <f t="array" ref="AK761">IFERROR(I761*INDEX(F!$P$21:$AB$33, MATCH(G761/$AH761, F!$O$21:$O$33,1), MATCH(E761, F!$P$20:$AB$20,1)), 0 ) +IFERROR( M761*INDEX(F!$P$21:$AB$33, MATCH(K761/$AH761, F!$O$21:$O$33,1), MATCH(E761, F!$P$20:$AB$20,1)),0) +  IFERROR( Q761*INDEX(F!$P$21:$AB$33, MATCH(O761/$AH761, F!$O$21:$O$33,1), MATCH(E761, F!$P$20:$AB$20,1)), 0) + IFERROR( U761*INDEX(F!$P$21:$AB$33, MATCH(S761/$AH761, F!$O$21:$O$33,1), MATCH(E761, F!$P$20:$AB$20,1)),0)  + IFERROR(Y761*INDEX(F!$P$21:$AB$33, MATCH(W761/$AH761, F!$O$21:$O$33,1), MATCH(E761, F!$P$20:$AB$20,1)),0)  + IFERROR( AC761*INDEX(F!$P$21:$AB$33, MATCH(AA761/$AH761, F!$O$21:$O$33,1), MATCH(E761, F!$P$20:$AB$20,1)),)</f>
        <v>0</v>
      </c>
      <c r="AL761" s="59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 ht="15.75" hidden="1" customHeight="1">
      <c r="A762" s="59"/>
      <c r="B762" s="215" t="str">
        <f t="shared" ref="B762:F762" si="1528">IF(B706="","",B706)</f>
        <v/>
      </c>
      <c r="C762" s="73" t="str">
        <f t="shared" si="1528"/>
        <v/>
      </c>
      <c r="D762" s="47" t="str">
        <f t="shared" si="1528"/>
        <v/>
      </c>
      <c r="E762" s="48" t="str">
        <f t="shared" si="1528"/>
        <v/>
      </c>
      <c r="F762" s="74" t="str">
        <f t="shared" si="1528"/>
        <v/>
      </c>
      <c r="G762" s="50" t="str">
        <f t="shared" si="1517"/>
        <v/>
      </c>
      <c r="H762" s="51"/>
      <c r="I762" s="51"/>
      <c r="J762" s="52"/>
      <c r="K762" s="50" t="str">
        <f t="shared" si="1518"/>
        <v/>
      </c>
      <c r="L762" s="51"/>
      <c r="M762" s="51"/>
      <c r="N762" s="52"/>
      <c r="O762" s="50" t="str">
        <f t="shared" si="1519"/>
        <v/>
      </c>
      <c r="P762" s="51"/>
      <c r="Q762" s="51"/>
      <c r="R762" s="52"/>
      <c r="S762" s="50" t="str">
        <f t="shared" si="1520"/>
        <v/>
      </c>
      <c r="T762" s="51"/>
      <c r="U762" s="51"/>
      <c r="V762" s="52"/>
      <c r="W762" s="50" t="str">
        <f t="shared" si="1521"/>
        <v/>
      </c>
      <c r="X762" s="51"/>
      <c r="Y762" s="51"/>
      <c r="Z762" s="52"/>
      <c r="AA762" s="50" t="str">
        <f t="shared" si="1522"/>
        <v/>
      </c>
      <c r="AB762" s="51"/>
      <c r="AC762" s="51"/>
      <c r="AD762" s="52"/>
      <c r="AE762" s="53">
        <f t="shared" si="1523"/>
        <v>0</v>
      </c>
      <c r="AF762" s="54">
        <f t="shared" si="1466"/>
        <v>0</v>
      </c>
      <c r="AG762" s="75">
        <f t="shared" si="1524"/>
        <v>0</v>
      </c>
      <c r="AH762" s="76" t="str">
        <f t="shared" si="1525"/>
        <v/>
      </c>
      <c r="AI762" s="77">
        <f> ( IF(ISNUMBER(G762), VLOOKUP(G762/$AH762,F!$A1:$B101,2,1)*G762*$H762*$I762,0)+IF(ISNUMBER(K762), VLOOKUP(K762/$AH762,F!$A1:$B101,2,1)*K762*$L762*$M762,0)+IF(ISNUMBER(O762), VLOOKUP(O762/$AH762,F!$A1:$B101,2,1)*O762*$P762*$Q762,0)+IF(ISNUMBER(S762), VLOOKUP(S762/$AH762,F!$A1:$B101,2,1)*S762*$T762*$U762,0)+IF(ISNUMBER(W762), VLOOKUP(W762/$AH762,F!$A1:$B101,2,1)*W762*$X762*$Y762,0)+IF(ISNUMBER(AA762), VLOOKUP(AA762/$AH762,F!$A1:$B101,2,1)*AA762*$AB762*$AC762,0))*IF(ISNUMBER(F762),F762,1)*IF(ISNUMBER(E762),E762,1)</f>
        <v>0</v>
      </c>
      <c r="AJ762" s="57">
        <f t="shared" si="1526"/>
        <v>0</v>
      </c>
      <c r="AK762" s="58">
        <f t="array" ref="AK762">IFERROR(I762*INDEX(F!$P$21:$AB$33, MATCH(G762/$AH762, F!$O$21:$O$33,1), MATCH(E762, F!$P$20:$AB$20,1)), 0 ) +IFERROR( M762*INDEX(F!$P$21:$AB$33, MATCH(K762/$AH762, F!$O$21:$O$33,1), MATCH(E762, F!$P$20:$AB$20,1)),0) +  IFERROR( Q762*INDEX(F!$P$21:$AB$33, MATCH(O762/$AH762, F!$O$21:$O$33,1), MATCH(E762, F!$P$20:$AB$20,1)), 0) + IFERROR( U762*INDEX(F!$P$21:$AB$33, MATCH(S762/$AH762, F!$O$21:$O$33,1), MATCH(E762, F!$P$20:$AB$20,1)),0)  + IFERROR(Y762*INDEX(F!$P$21:$AB$33, MATCH(W762/$AH762, F!$O$21:$O$33,1), MATCH(E762, F!$P$20:$AB$20,1)),0)  + IFERROR( AC762*INDEX(F!$P$21:$AB$33, MATCH(AA762/$AH762, F!$O$21:$O$33,1), MATCH(E762, F!$P$20:$AB$20,1)),)</f>
        <v>0</v>
      </c>
      <c r="AL762" s="59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 ht="15.75" hidden="1" customHeight="1">
      <c r="A763" s="59"/>
      <c r="B763" s="216" t="str">
        <f t="shared" ref="B763:F763" si="1529">IF(B707="","",B707)</f>
        <v/>
      </c>
      <c r="C763" s="78" t="str">
        <f t="shared" si="1529"/>
        <v/>
      </c>
      <c r="D763" s="62" t="str">
        <f t="shared" si="1529"/>
        <v/>
      </c>
      <c r="E763" s="48" t="str">
        <f t="shared" si="1529"/>
        <v/>
      </c>
      <c r="F763" s="79" t="str">
        <f t="shared" si="1529"/>
        <v/>
      </c>
      <c r="G763" s="64" t="str">
        <f t="shared" si="1517"/>
        <v/>
      </c>
      <c r="H763" s="34"/>
      <c r="I763" s="34"/>
      <c r="J763" s="65"/>
      <c r="K763" s="64" t="str">
        <f t="shared" si="1518"/>
        <v/>
      </c>
      <c r="L763" s="34"/>
      <c r="M763" s="34"/>
      <c r="N763" s="65"/>
      <c r="O763" s="64" t="str">
        <f t="shared" si="1519"/>
        <v/>
      </c>
      <c r="P763" s="34"/>
      <c r="Q763" s="34"/>
      <c r="R763" s="65"/>
      <c r="S763" s="64" t="str">
        <f t="shared" si="1520"/>
        <v/>
      </c>
      <c r="T763" s="34"/>
      <c r="U763" s="34"/>
      <c r="V763" s="65"/>
      <c r="W763" s="64" t="str">
        <f t="shared" si="1521"/>
        <v/>
      </c>
      <c r="X763" s="34"/>
      <c r="Y763" s="34"/>
      <c r="Z763" s="65"/>
      <c r="AA763" s="64" t="str">
        <f t="shared" si="1522"/>
        <v/>
      </c>
      <c r="AB763" s="34"/>
      <c r="AC763" s="34"/>
      <c r="AD763" s="65"/>
      <c r="AE763" s="66">
        <f t="shared" si="1523"/>
        <v>0</v>
      </c>
      <c r="AF763" s="67">
        <f t="shared" si="1466"/>
        <v>0</v>
      </c>
      <c r="AG763" s="68">
        <f t="shared" si="1524"/>
        <v>0</v>
      </c>
      <c r="AH763" s="76" t="str">
        <f t="shared" si="1525"/>
        <v/>
      </c>
      <c r="AI763" s="70">
        <f> ( IF(ISNUMBER(G763), VLOOKUP(G763/$AH763,F!$A1:$B101,2,1)*G763*$H763*$I763,0)+IF(ISNUMBER(K763), VLOOKUP(K763/$AH763,F!$A1:$B101,2,1)*K763*$L763*$M763,0)+IF(ISNUMBER(O763), VLOOKUP(O763/$AH763,F!$A1:$B101,2,1)*O763*$P763*$Q763,0)+IF(ISNUMBER(S763), VLOOKUP(S763/$AH763,F!$A1:$B101,2,1)*S763*$T763*$U763,0)+IF(ISNUMBER(W763), VLOOKUP(W763/$AH763,F!$A1:$B101,2,1)*W763*$X763*$Y763,0)+IF(ISNUMBER(AA763), VLOOKUP(AA763/$AH763,F!$A1:$B101,2,1)*AA763*$AB763*$AC763,0))*IF(ISNUMBER(F763),F763,1)*IF(ISNUMBER(E763),E763,1)</f>
        <v>0</v>
      </c>
      <c r="AJ763" s="71">
        <f t="shared" si="1526"/>
        <v>0</v>
      </c>
      <c r="AK763" s="72">
        <f t="array" ref="AK763">IFERROR(I763*INDEX(F!$P$21:$AB$33, MATCH(G763/$AH763, F!$O$21:$O$33,1), MATCH(E763, F!$P$20:$AB$20,1)), 0 ) +IFERROR( M763*INDEX(F!$P$21:$AB$33, MATCH(K763/$AH763, F!$O$21:$O$33,1), MATCH(E763, F!$P$20:$AB$20,1)),0) +  IFERROR( Q763*INDEX(F!$P$21:$AB$33, MATCH(O763/$AH763, F!$O$21:$O$33,1), MATCH(E763, F!$P$20:$AB$20,1)), 0) + IFERROR( U763*INDEX(F!$P$21:$AB$33, MATCH(S763/$AH763, F!$O$21:$O$33,1), MATCH(E763, F!$P$20:$AB$20,1)),0)  + IFERROR(Y763*INDEX(F!$P$21:$AB$33, MATCH(W763/$AH763, F!$O$21:$O$33,1), MATCH(E763, F!$P$20:$AB$20,1)),0)  + IFERROR( AC763*INDEX(F!$P$21:$AB$33, MATCH(AA763/$AH763, F!$O$21:$O$33,1), MATCH(E763, F!$P$20:$AB$20,1)),)</f>
        <v>0</v>
      </c>
      <c r="AL763" s="59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 ht="15.75" hidden="1" customHeight="1">
      <c r="A764" s="59"/>
      <c r="B764" s="45" t="str">
        <f t="shared" ref="B764:F764" si="1530">IF(B708="","",B708)</f>
        <v/>
      </c>
      <c r="C764" s="46" t="str">
        <f t="shared" si="1530"/>
        <v/>
      </c>
      <c r="D764" s="197" t="str">
        <f t="shared" si="1530"/>
        <v/>
      </c>
      <c r="E764" s="48" t="str">
        <f t="shared" si="1530"/>
        <v/>
      </c>
      <c r="F764" s="83" t="str">
        <f t="shared" si="1530"/>
        <v/>
      </c>
      <c r="G764" s="50" t="str">
        <f t="shared" si="1517"/>
        <v/>
      </c>
      <c r="H764" s="51"/>
      <c r="I764" s="51"/>
      <c r="J764" s="52"/>
      <c r="K764" s="50" t="str">
        <f t="shared" si="1518"/>
        <v/>
      </c>
      <c r="L764" s="51"/>
      <c r="M764" s="51"/>
      <c r="N764" s="52"/>
      <c r="O764" s="50" t="str">
        <f t="shared" si="1519"/>
        <v/>
      </c>
      <c r="P764" s="51"/>
      <c r="Q764" s="51"/>
      <c r="R764" s="52"/>
      <c r="S764" s="50" t="str">
        <f t="shared" si="1520"/>
        <v/>
      </c>
      <c r="T764" s="51"/>
      <c r="U764" s="51"/>
      <c r="V764" s="52"/>
      <c r="W764" s="50" t="str">
        <f t="shared" si="1521"/>
        <v/>
      </c>
      <c r="X764" s="51"/>
      <c r="Y764" s="51"/>
      <c r="Z764" s="52"/>
      <c r="AA764" s="50" t="str">
        <f t="shared" si="1522"/>
        <v/>
      </c>
      <c r="AB764" s="51"/>
      <c r="AC764" s="51"/>
      <c r="AD764" s="52"/>
      <c r="AE764" s="53">
        <f t="shared" si="1523"/>
        <v>0</v>
      </c>
      <c r="AF764" s="54">
        <f t="shared" si="1466"/>
        <v>0</v>
      </c>
      <c r="AG764" s="75">
        <f t="shared" si="1524"/>
        <v>0</v>
      </c>
      <c r="AH764" s="76" t="str">
        <f t="shared" si="1525"/>
        <v/>
      </c>
      <c r="AI764" s="77">
        <f> ( IF(ISNUMBER(G764), VLOOKUP(G764/$AH764,F!$A1:$B101,2,1)*G764*$H764*$I764,0)+IF(ISNUMBER(K764), VLOOKUP(K764/$AH764,F!$A1:$B101,2,1)*K764*$L764*$M764,0)+IF(ISNUMBER(O764), VLOOKUP(O764/$AH764,F!$A1:$B101,2,1)*O764*$P764*$Q764,0)+IF(ISNUMBER(S764), VLOOKUP(S764/$AH764,F!$A1:$B101,2,1)*S764*$T764*$U764,0)+IF(ISNUMBER(W764), VLOOKUP(W764/$AH764,F!$A1:$B101,2,1)*W764*$X764*$Y764,0)+IF(ISNUMBER(AA764), VLOOKUP(AA764/$AH764,F!$A1:$B101,2,1)*AA764*$AB764*$AC764,0))*IF(ISNUMBER(F764),F764,1)*IF(ISNUMBER(E764),E764,1)</f>
        <v>0</v>
      </c>
      <c r="AJ764" s="86">
        <f t="shared" si="1526"/>
        <v>0</v>
      </c>
      <c r="AK764" s="58">
        <f t="array" ref="AK764">IFERROR(I764*INDEX(F!$P$21:$AB$33, MATCH(G764/$AH764, F!$O$21:$O$33,1), MATCH(E764, F!$P$20:$AB$20,1)), 0 ) +IFERROR( M764*INDEX(F!$P$21:$AB$33, MATCH(K764/$AH764, F!$O$21:$O$33,1), MATCH(E764, F!$P$20:$AB$20,1)),0) +  IFERROR( Q764*INDEX(F!$P$21:$AB$33, MATCH(O764/$AH764, F!$O$21:$O$33,1), MATCH(E764, F!$P$20:$AB$20,1)), 0) + IFERROR( U764*INDEX(F!$P$21:$AB$33, MATCH(S764/$AH764, F!$O$21:$O$33,1), MATCH(E764, F!$P$20:$AB$20,1)),0)  + IFERROR(Y764*INDEX(F!$P$21:$AB$33, MATCH(W764/$AH764, F!$O$21:$O$33,1), MATCH(E764, F!$P$20:$AB$20,1)),0)  + IFERROR( AC764*INDEX(F!$P$21:$AB$33, MATCH(AA764/$AH764, F!$O$21:$O$33,1), MATCH(E764, F!$P$20:$AB$20,1)),)</f>
        <v>0</v>
      </c>
      <c r="AL764" s="59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 ht="15.75" hidden="1" customHeight="1">
      <c r="A765" s="59"/>
      <c r="B765" s="60" t="str">
        <f t="shared" ref="B765:F765" si="1531">IF(B709="","",B709)</f>
        <v/>
      </c>
      <c r="C765" s="61" t="str">
        <f t="shared" si="1531"/>
        <v/>
      </c>
      <c r="D765" s="198" t="str">
        <f t="shared" si="1531"/>
        <v/>
      </c>
      <c r="E765" s="48" t="str">
        <f t="shared" si="1531"/>
        <v/>
      </c>
      <c r="F765" s="79" t="str">
        <f t="shared" si="1531"/>
        <v/>
      </c>
      <c r="G765" s="64" t="str">
        <f t="shared" si="1517"/>
        <v/>
      </c>
      <c r="H765" s="34"/>
      <c r="I765" s="34"/>
      <c r="J765" s="65"/>
      <c r="K765" s="64" t="str">
        <f t="shared" si="1518"/>
        <v/>
      </c>
      <c r="L765" s="34"/>
      <c r="M765" s="34"/>
      <c r="N765" s="65"/>
      <c r="O765" s="64" t="str">
        <f t="shared" si="1519"/>
        <v/>
      </c>
      <c r="P765" s="34"/>
      <c r="Q765" s="34"/>
      <c r="R765" s="65"/>
      <c r="S765" s="64" t="str">
        <f t="shared" si="1520"/>
        <v/>
      </c>
      <c r="T765" s="34"/>
      <c r="U765" s="34"/>
      <c r="V765" s="65"/>
      <c r="W765" s="64" t="str">
        <f t="shared" si="1521"/>
        <v/>
      </c>
      <c r="X765" s="34"/>
      <c r="Y765" s="34"/>
      <c r="Z765" s="65"/>
      <c r="AA765" s="64" t="str">
        <f t="shared" si="1522"/>
        <v/>
      </c>
      <c r="AB765" s="34"/>
      <c r="AC765" s="34"/>
      <c r="AD765" s="65"/>
      <c r="AE765" s="66">
        <f t="shared" si="1523"/>
        <v>0</v>
      </c>
      <c r="AF765" s="67">
        <f t="shared" si="1466"/>
        <v>0</v>
      </c>
      <c r="AG765" s="68">
        <f t="shared" si="1524"/>
        <v>0</v>
      </c>
      <c r="AH765" s="76" t="str">
        <f t="shared" si="1525"/>
        <v/>
      </c>
      <c r="AI765" s="90">
        <f> ( IF(ISNUMBER(G765), VLOOKUP(G765/$AH765,F!$A1:$B101,2,1)*G765*$H765*$I765,0)+IF(ISNUMBER(K765), VLOOKUP(K765/$AH765,F!$A1:$B101,2,1)*K765*$L765*$M765,0)+IF(ISNUMBER(O765), VLOOKUP(O765/$AH765,F!$A1:$B101,2,1)*O765*$P765*$Q765,0)+IF(ISNUMBER(S765), VLOOKUP(S765/$AH765,F!$A1:$B101,2,1)*S765*$T765*$U765,0)+IF(ISNUMBER(W765), VLOOKUP(W765/$AH765,F!$A1:$B101,2,1)*W765*$X765*$Y765,0)+IF(ISNUMBER(AA765), VLOOKUP(AA765/$AH765,F!$A1:$B101,2,1)*AA765*$AB765*$AC765,0))*IF(ISNUMBER(F765),F765,1)*IF(ISNUMBER(E765),E765,1)</f>
        <v>0</v>
      </c>
      <c r="AJ765" s="34">
        <f t="shared" si="1526"/>
        <v>0</v>
      </c>
      <c r="AK765" s="91">
        <f t="array" ref="AK765">IFERROR(I765*INDEX(F!$P$21:$AB$33, MATCH(G765/$AH765, F!$O$21:$O$33,1), MATCH(E765, F!$P$20:$AB$20,1)), 0 ) +IFERROR( M765*INDEX(F!$P$21:$AB$33, MATCH(K765/$AH765, F!$O$21:$O$33,1), MATCH(E765, F!$P$20:$AB$20,1)),0) +  IFERROR( Q765*INDEX(F!$P$21:$AB$33, MATCH(O765/$AH765, F!$O$21:$O$33,1), MATCH(E765, F!$P$20:$AB$20,1)), 0) + IFERROR( U765*INDEX(F!$P$21:$AB$33, MATCH(S765/$AH765, F!$O$21:$O$33,1), MATCH(E765, F!$P$20:$AB$20,1)),0)  + IFERROR(Y765*INDEX(F!$P$21:$AB$33, MATCH(W765/$AH765, F!$O$21:$O$33,1), MATCH(E765, F!$P$20:$AB$20,1)),0)  + IFERROR( AC765*INDEX(F!$P$21:$AB$33, MATCH(AA765/$AH765, F!$O$21:$O$33,1), MATCH(E765, F!$P$20:$AB$20,1)),)</f>
        <v>0</v>
      </c>
      <c r="AL765" s="59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 ht="15.75" hidden="1" customHeight="1">
      <c r="A766" s="59"/>
      <c r="B766" s="45" t="str">
        <f t="shared" ref="B766:F766" si="1532">IF(B710="","",B710)</f>
        <v/>
      </c>
      <c r="C766" s="46" t="str">
        <f t="shared" si="1532"/>
        <v/>
      </c>
      <c r="D766" s="92" t="str">
        <f t="shared" si="1532"/>
        <v/>
      </c>
      <c r="E766" s="48" t="str">
        <f t="shared" si="1532"/>
        <v/>
      </c>
      <c r="F766" s="74" t="str">
        <f t="shared" si="1532"/>
        <v/>
      </c>
      <c r="G766" s="50" t="str">
        <f t="shared" si="1517"/>
        <v/>
      </c>
      <c r="H766" s="51"/>
      <c r="I766" s="51"/>
      <c r="J766" s="52"/>
      <c r="K766" s="50" t="str">
        <f t="shared" si="1518"/>
        <v/>
      </c>
      <c r="L766" s="51"/>
      <c r="M766" s="51"/>
      <c r="N766" s="52"/>
      <c r="O766" s="50" t="str">
        <f t="shared" si="1519"/>
        <v/>
      </c>
      <c r="P766" s="51"/>
      <c r="Q766" s="51"/>
      <c r="R766" s="52"/>
      <c r="S766" s="50" t="str">
        <f t="shared" si="1520"/>
        <v/>
      </c>
      <c r="T766" s="51"/>
      <c r="U766" s="51"/>
      <c r="V766" s="52"/>
      <c r="W766" s="50" t="str">
        <f t="shared" si="1521"/>
        <v/>
      </c>
      <c r="X766" s="51"/>
      <c r="Y766" s="51"/>
      <c r="Z766" s="52"/>
      <c r="AA766" s="50" t="str">
        <f t="shared" si="1522"/>
        <v/>
      </c>
      <c r="AB766" s="51"/>
      <c r="AC766" s="51"/>
      <c r="AD766" s="52"/>
      <c r="AE766" s="53">
        <f t="shared" si="1523"/>
        <v>0</v>
      </c>
      <c r="AF766" s="93">
        <f t="shared" si="1466"/>
        <v>0</v>
      </c>
      <c r="AG766" s="94">
        <f t="shared" si="1524"/>
        <v>0</v>
      </c>
      <c r="AH766" s="76" t="str">
        <f t="shared" si="1525"/>
        <v/>
      </c>
      <c r="AI766" s="95">
        <f> ( IF(ISNUMBER(G766), VLOOKUP(G766/$AH766,F!$A1:$B101,2,1)*G766*$H766*$I766,0)+IF(ISNUMBER(K766), VLOOKUP(K766/$AH766,F!$A1:$B101,2,1)*K766*$L766*$M766,0)+IF(ISNUMBER(O766), VLOOKUP(O766/$AH766,F!$A1:$B101,2,1)*O766*$P766*$Q766,0)+IF(ISNUMBER(S766), VLOOKUP(S766/$AH766,F!$A1:$B101,2,1)*S766*$T766*$U766,0)+IF(ISNUMBER(W766), VLOOKUP(W766/$AH766,F!$A1:$B101,2,1)*W766*$X766*$Y766,0)+IF(ISNUMBER(AA766), VLOOKUP(AA766/$AH766,F!$A1:$B101,2,1)*AA766*$AB766*$AC766,0))*IF(ISNUMBER(F766),F766,1)*IF(ISNUMBER(E766),E766,1)</f>
        <v>0</v>
      </c>
      <c r="AJ766" s="96">
        <f t="shared" si="1526"/>
        <v>0</v>
      </c>
      <c r="AK766" s="97">
        <f t="array" ref="AK766">IFERROR(I766*INDEX(F!$P$21:$AB$33, MATCH(G766/$AH766, F!$O$21:$O$33,1), MATCH(E766, F!$P$20:$AB$20,1)), 0 ) +IFERROR( M766*INDEX(F!$P$21:$AB$33, MATCH(K766/$AH766, F!$O$21:$O$33,1), MATCH(E766, F!$P$20:$AB$20,1)),0) +  IFERROR( Q766*INDEX(F!$P$21:$AB$33, MATCH(O766/$AH766, F!$O$21:$O$33,1), MATCH(E766, F!$P$20:$AB$20,1)), 0) + IFERROR( U766*INDEX(F!$P$21:$AB$33, MATCH(S766/$AH766, F!$O$21:$O$33,1), MATCH(E766, F!$P$20:$AB$20,1)),0)  + IFERROR(Y766*INDEX(F!$P$21:$AB$33, MATCH(W766/$AH766, F!$O$21:$O$33,1), MATCH(E766, F!$P$20:$AB$20,1)),0)  + IFERROR( AC766*INDEX(F!$P$21:$AB$33, MATCH(AA766/$AH766, F!$O$21:$O$33,1), MATCH(E766, F!$P$20:$AB$20,1)),)</f>
        <v>0</v>
      </c>
      <c r="AL766" s="59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 ht="15.75" hidden="1" customHeight="1">
      <c r="A767" s="98"/>
      <c r="B767" s="99"/>
      <c r="C767" s="100"/>
      <c r="D767" s="101"/>
      <c r="E767" s="102">
        <f>ROUND(IFERROR(SUMPRODUCT(AJ759:AJ766,E759:E766)/AJ767,0),3)</f>
        <v>0</v>
      </c>
      <c r="F767" s="199"/>
      <c r="G767" s="104"/>
      <c r="H767" s="105"/>
      <c r="I767" s="105"/>
      <c r="J767" s="106"/>
      <c r="K767" s="104"/>
      <c r="L767" s="105"/>
      <c r="M767" s="105"/>
      <c r="N767" s="106"/>
      <c r="O767" s="104"/>
      <c r="P767" s="105"/>
      <c r="Q767" s="105"/>
      <c r="R767" s="106"/>
      <c r="S767" s="104"/>
      <c r="T767" s="105"/>
      <c r="U767" s="105"/>
      <c r="V767" s="106"/>
      <c r="W767" s="104"/>
      <c r="X767" s="105"/>
      <c r="Y767" s="105"/>
      <c r="Z767" s="106"/>
      <c r="AA767" s="104"/>
      <c r="AB767" s="105"/>
      <c r="AC767" s="105"/>
      <c r="AD767" s="106"/>
      <c r="AE767" s="107">
        <f>SUM(AE759:AE766)</f>
        <v>0</v>
      </c>
      <c r="AF767" s="108">
        <f t="shared" si="1466"/>
        <v>0</v>
      </c>
      <c r="AG767" s="109">
        <f>IFERROR(  SUMPRODUCT(AG759:AG766,AJ759:AJ766)/AJ767,0)</f>
        <v>0</v>
      </c>
      <c r="AH767" s="157"/>
      <c r="AI767" s="111">
        <f t="shared" ref="AI767:AJ767" si="1533">SUM(AI759:AI766)</f>
        <v>0</v>
      </c>
      <c r="AJ767" s="111">
        <f t="shared" si="1533"/>
        <v>0</v>
      </c>
      <c r="AK767" s="112">
        <f>IF(SUM(AK759:AK766)=0,TIME(,0,),TIME(,SUM(AK759:AK766)+F!$V$37,))</f>
        <v>0</v>
      </c>
      <c r="AL767" s="98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 ht="15.75" hidden="1" customHeight="1">
      <c r="A768" s="113">
        <f>A769</f>
        <v>43877</v>
      </c>
      <c r="B768" s="114" t="str">
        <f t="shared" ref="B768:F768" si="1534">IF(B712="","",B712)</f>
        <v/>
      </c>
      <c r="C768" s="115" t="str">
        <f t="shared" si="1534"/>
        <v/>
      </c>
      <c r="D768" s="116" t="str">
        <f t="shared" si="1534"/>
        <v/>
      </c>
      <c r="E768" s="29" t="str">
        <f t="shared" si="1534"/>
        <v/>
      </c>
      <c r="F768" s="117" t="str">
        <f t="shared" si="1534"/>
        <v/>
      </c>
      <c r="G768" s="118" t="str">
        <f t="shared" ref="G768:G775" si="1536">IF(J768&lt;&gt;0, IFERROR(IF( $F768=2,  MROUND($AH768*J768,1),    IF( OR($F768="",$F768=1),   MROUND($AH768*J768,2.5),  MROUND($AH768*J768, 0.1))), "" ), "")</f>
        <v/>
      </c>
      <c r="H768" s="119"/>
      <c r="I768" s="119"/>
      <c r="J768" s="120"/>
      <c r="K768" s="118" t="str">
        <f t="shared" ref="K768:K775" si="1537">IF(N768&lt;&gt;0, IFERROR(IF( $F768=2,  MROUND($AH768*N768,1),    IF( OR($F768="",$F768=1),   MROUND($AH768*N768,2.5),  MROUND($AH768*N768, 0.1))), "" ), "")</f>
        <v/>
      </c>
      <c r="L768" s="119"/>
      <c r="M768" s="119"/>
      <c r="N768" s="120"/>
      <c r="O768" s="118" t="str">
        <f t="shared" ref="O768:O775" si="1538">IF(R768&lt;&gt;0, IFERROR(IF( $F768=2,  MROUND($AH768*R768,1),    IF( OR($F768="",$F768=1),   MROUND($AH768*R768,2.5),  MROUND($AH768*R768, 0.1))), "" ), "")</f>
        <v/>
      </c>
      <c r="P768" s="119"/>
      <c r="Q768" s="119"/>
      <c r="R768" s="120"/>
      <c r="S768" s="118" t="str">
        <f t="shared" ref="S768:S775" si="1539">IF(V768&lt;&gt;0, IFERROR(IF( $F768=2,  MROUND($AH768*V768,1),    IF( OR($F768="",$F768=1),   MROUND($AH768*V768,2.5),  MROUND($AH768*V768, 0.1))), "" ), "")</f>
        <v/>
      </c>
      <c r="T768" s="119"/>
      <c r="U768" s="119"/>
      <c r="V768" s="120"/>
      <c r="W768" s="118" t="str">
        <f t="shared" ref="W768:W775" si="1540">IF(Z768&lt;&gt;0, IFERROR(IF( $F768=2,  MROUND($AH768*Z768,1),    IF( OR($F768="",$F768=1),   MROUND($AH768*Z768,2.5),  MROUND($AH768*Z768, 0.1))), "" ), "")</f>
        <v/>
      </c>
      <c r="X768" s="119"/>
      <c r="Y768" s="119"/>
      <c r="Z768" s="120"/>
      <c r="AA768" s="118" t="str">
        <f t="shared" ref="AA768:AA775" si="1541">IF(AD768&lt;&gt;0, IFERROR(IF( $F768=2,  MROUND($AH768*AD768,1),    IF( OR($F768="",$F768=1),   MROUND($AH768*AD768,2.5),  MROUND($AH768*AD768, 0.1))), "" ), "")</f>
        <v/>
      </c>
      <c r="AB768" s="119"/>
      <c r="AC768" s="119"/>
      <c r="AD768" s="120"/>
      <c r="AE768" s="121">
        <f t="shared" ref="AE768:AE775" si="1542">(IF(ISNUMBER(G768),G768,0)*H768*I768+IF(ISNUMBER(K768),K768,1)*L768*M768+IF(ISNUMBER(O768),O768,1)*P768*Q768+IF(ISNUMBER(S768),S768,1)*T768*U768+IF(ISNUMBER(W768),W768,1)*X768*Y768+IF(ISNUMBER(AA768),AA768,1)*AB768*AC768)*IF(ISNUMBER(F768),F768,1)</f>
        <v>0</v>
      </c>
      <c r="AF768" s="122">
        <f t="shared" si="1466"/>
        <v>0</v>
      </c>
      <c r="AG768" s="200">
        <f t="shared" ref="AG768:AG775" si="1543">IFERROR((AF768/(AH768*IF(ISNUMBER(F768),F768,1))),0)</f>
        <v>0</v>
      </c>
      <c r="AH768" s="169" t="str">
        <f t="shared" ref="AH768:AH775" si="1544">IF(ISNUMBER(AH712), AH712+(AH712*$AH$730),"")</f>
        <v/>
      </c>
      <c r="AI768" s="122">
        <f> ( IF(ISNUMBER(G768), VLOOKUP(G768/$AH768,F!$A1:$B101,2,1)*G768*$H768*$I768,0)+IF(ISNUMBER(K768), VLOOKUP(K768/$AH768,F!$A1:$B101,2,1)*K768*$L768*$M768,0)+IF(ISNUMBER(O768), VLOOKUP(O768/$AH768,F!$A1:$B101,2,1)*O768*$P768*$Q768,0)+IF(ISNUMBER(S768), VLOOKUP(S768/$AH768,F!$A1:$B101,2,1)*S768*$T768*$U768,0)+IF(ISNUMBER(W768), VLOOKUP(W768/$AH768,F!$A1:$B101,2,1)*W768*$X768*$Y768,0)+IF(ISNUMBER(AA768), VLOOKUP(AA768/$AH768,F!$A1:$B101,2,1)*AA768*$AB768*$AC768,0))*IF(ISNUMBER(F768),F768,1)*IF(ISNUMBER(E768),E768,1)</f>
        <v>0</v>
      </c>
      <c r="AJ768" s="119">
        <f t="shared" ref="AJ768:AJ775" si="1545">H768*I768+L768*M768+P768*Q768+T768*U768+X768*Y768+AB768*AC768</f>
        <v>0</v>
      </c>
      <c r="AK768" s="125">
        <f t="array" ref="AK768">IFERROR(I768*INDEX(F!$P$21:$AB$33, MATCH(G768/$AH768, F!$O$21:$O$33,1), MATCH(E768, F!$P$20:$AB$20,1)), 0 ) +IFERROR( M768*INDEX(F!$P$21:$AB$33, MATCH(K768/$AH768, F!$O$21:$O$33,1), MATCH(E768, F!$P$20:$AB$20,1)),0) +  IFERROR( Q768*INDEX(F!$P$21:$AB$33, MATCH(O768/$AH768, F!$O$21:$O$33,1), MATCH(E768, F!$P$20:$AB$20,1)), 0) + IFERROR( U768*INDEX(F!$P$21:$AB$33, MATCH(S768/$AH768, F!$O$21:$O$33,1), MATCH(E768, F!$P$20:$AB$20,1)),0)  + IFERROR(Y768*INDEX(F!$P$21:$AB$33, MATCH(W768/$AH768, F!$O$21:$O$33,1), MATCH(E768, F!$P$20:$AB$20,1)),0)  + IFERROR( AC768*INDEX(F!$P$21:$AB$33, MATCH(AA768/$AH768, F!$O$21:$O$33,1), MATCH(E768, F!$P$20:$AB$20,1)),)</f>
        <v>0</v>
      </c>
      <c r="AL768" s="42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 ht="15.75" hidden="1" customHeight="1">
      <c r="A769" s="44">
        <f>A713+A674</f>
        <v>43877</v>
      </c>
      <c r="B769" s="126" t="str">
        <f t="shared" ref="B769:F769" si="1535">IF(B713="","",B713)</f>
        <v/>
      </c>
      <c r="C769" s="127" t="str">
        <f t="shared" si="1535"/>
        <v/>
      </c>
      <c r="D769" s="128" t="str">
        <f t="shared" si="1535"/>
        <v/>
      </c>
      <c r="E769" s="48" t="str">
        <f t="shared" si="1535"/>
        <v/>
      </c>
      <c r="F769" s="129" t="str">
        <f t="shared" si="1535"/>
        <v/>
      </c>
      <c r="G769" s="130" t="str">
        <f t="shared" si="1536"/>
        <v/>
      </c>
      <c r="H769" s="34"/>
      <c r="I769" s="34"/>
      <c r="J769" s="65"/>
      <c r="K769" s="130" t="str">
        <f t="shared" si="1537"/>
        <v/>
      </c>
      <c r="L769" s="34"/>
      <c r="M769" s="34"/>
      <c r="N769" s="65"/>
      <c r="O769" s="130" t="str">
        <f t="shared" si="1538"/>
        <v/>
      </c>
      <c r="P769" s="34"/>
      <c r="Q769" s="34"/>
      <c r="R769" s="65"/>
      <c r="S769" s="130" t="str">
        <f t="shared" si="1539"/>
        <v/>
      </c>
      <c r="T769" s="34"/>
      <c r="U769" s="34"/>
      <c r="V769" s="65"/>
      <c r="W769" s="130" t="str">
        <f t="shared" si="1540"/>
        <v/>
      </c>
      <c r="X769" s="34"/>
      <c r="Y769" s="34"/>
      <c r="Z769" s="65"/>
      <c r="AA769" s="130" t="str">
        <f t="shared" si="1541"/>
        <v/>
      </c>
      <c r="AB769" s="34"/>
      <c r="AC769" s="34"/>
      <c r="AD769" s="65"/>
      <c r="AE769" s="131">
        <f t="shared" si="1542"/>
        <v>0</v>
      </c>
      <c r="AF769" s="132">
        <f t="shared" si="1466"/>
        <v>0</v>
      </c>
      <c r="AG769" s="133">
        <f t="shared" si="1543"/>
        <v>0</v>
      </c>
      <c r="AH769" s="76" t="str">
        <f t="shared" si="1544"/>
        <v/>
      </c>
      <c r="AI769" s="132">
        <f> ( IF(ISNUMBER(G769), VLOOKUP(G769/$AH769,F!$A1:$B101,2,1)*G769*$H769*$I769,0)+IF(ISNUMBER(K769), VLOOKUP(K769/$AH769,F!$A1:$B101,2,1)*K769*$L769*$M769,0)+IF(ISNUMBER(O769), VLOOKUP(O769/$AH769,F!$A1:$B101,2,1)*O769*$P769*$Q769,0)+IF(ISNUMBER(S769), VLOOKUP(S769/$AH769,F!$A1:$B101,2,1)*S769*$T769*$U769,0)+IF(ISNUMBER(W769), VLOOKUP(W769/$AH769,F!$A1:$B101,2,1)*W769*$X769*$Y769,0)+IF(ISNUMBER(AA769), VLOOKUP(AA769/$AH769,F!$A1:$B101,2,1)*AA769*$AB769*$AC769,0))*IF(ISNUMBER(F769),F769,1)*IF(ISNUMBER(E769),E769,1)</f>
        <v>0</v>
      </c>
      <c r="AJ769" s="34">
        <f t="shared" si="1545"/>
        <v>0</v>
      </c>
      <c r="AK769" s="134">
        <f t="array" ref="AK769">IFERROR(I769*INDEX(F!$P$21:$AB$33, MATCH(G769/$AH769, F!$O$21:$O$33,1), MATCH(E769, F!$P$20:$AB$20,1)), 0 ) +IFERROR( M769*INDEX(F!$P$21:$AB$33, MATCH(K769/$AH769, F!$O$21:$O$33,1), MATCH(E769, F!$P$20:$AB$20,1)),0) +  IFERROR( Q769*INDEX(F!$P$21:$AB$33, MATCH(O769/$AH769, F!$O$21:$O$33,1), MATCH(E769, F!$P$20:$AB$20,1)), 0) + IFERROR( U769*INDEX(F!$P$21:$AB$33, MATCH(S769/$AH769, F!$O$21:$O$33,1), MATCH(E769, F!$P$20:$AB$20,1)),0)  + IFERROR(Y769*INDEX(F!$P$21:$AB$33, MATCH(W769/$AH769, F!$O$21:$O$33,1), MATCH(E769, F!$P$20:$AB$20,1)),0)  + IFERROR( AC769*INDEX(F!$P$21:$AB$33, MATCH(AA769/$AH769, F!$O$21:$O$33,1), MATCH(E769, F!$P$20:$AB$20,1)),)</f>
        <v>0</v>
      </c>
      <c r="AL769" s="59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 ht="15.75" hidden="1" customHeight="1">
      <c r="A770" s="59"/>
      <c r="B770" s="135" t="str">
        <f t="shared" ref="B770:F770" si="1546">IF(B714="","",B714)</f>
        <v/>
      </c>
      <c r="C770" s="136" t="str">
        <f t="shared" si="1546"/>
        <v/>
      </c>
      <c r="D770" s="137" t="str">
        <f t="shared" si="1546"/>
        <v/>
      </c>
      <c r="E770" s="48" t="str">
        <f t="shared" si="1546"/>
        <v/>
      </c>
      <c r="F770" s="138" t="str">
        <f t="shared" si="1546"/>
        <v/>
      </c>
      <c r="G770" s="139" t="str">
        <f t="shared" si="1536"/>
        <v/>
      </c>
      <c r="H770" s="140"/>
      <c r="I770" s="140"/>
      <c r="J770" s="141"/>
      <c r="K770" s="139" t="str">
        <f t="shared" si="1537"/>
        <v/>
      </c>
      <c r="L770" s="140"/>
      <c r="M770" s="140"/>
      <c r="N770" s="141"/>
      <c r="O770" s="139" t="str">
        <f t="shared" si="1538"/>
        <v/>
      </c>
      <c r="P770" s="140"/>
      <c r="Q770" s="140"/>
      <c r="R770" s="141"/>
      <c r="S770" s="139" t="str">
        <f t="shared" si="1539"/>
        <v/>
      </c>
      <c r="T770" s="140"/>
      <c r="U770" s="140"/>
      <c r="V770" s="141"/>
      <c r="W770" s="139" t="str">
        <f t="shared" si="1540"/>
        <v/>
      </c>
      <c r="X770" s="140"/>
      <c r="Y770" s="140"/>
      <c r="Z770" s="141"/>
      <c r="AA770" s="139" t="str">
        <f t="shared" si="1541"/>
        <v/>
      </c>
      <c r="AB770" s="140"/>
      <c r="AC770" s="140"/>
      <c r="AD770" s="141"/>
      <c r="AE770" s="142">
        <f t="shared" si="1542"/>
        <v>0</v>
      </c>
      <c r="AF770" s="143">
        <f t="shared" si="1466"/>
        <v>0</v>
      </c>
      <c r="AG770" s="144">
        <f t="shared" si="1543"/>
        <v>0</v>
      </c>
      <c r="AH770" s="76" t="str">
        <f t="shared" si="1544"/>
        <v/>
      </c>
      <c r="AI770" s="143">
        <f> ( IF(ISNUMBER(G770), VLOOKUP(G770/$AH770,F!$A1:$B101,2,1)*G770*$H770*$I770,0)+IF(ISNUMBER(K770), VLOOKUP(K770/$AH770,F!$A1:$B101,2,1)*K770*$L770*$M770,0)+IF(ISNUMBER(O770), VLOOKUP(O770/$AH770,F!$A1:$B101,2,1)*O770*$P770*$Q770,0)+IF(ISNUMBER(S770), VLOOKUP(S770/$AH770,F!$A1:$B101,2,1)*S770*$T770*$U770,0)+IF(ISNUMBER(W770), VLOOKUP(W770/$AH770,F!$A1:$B101,2,1)*W770*$X770*$Y770,0)+IF(ISNUMBER(AA770), VLOOKUP(AA770/$AH770,F!$A1:$B101,2,1)*AA770*$AB770*$AC770,0))*IF(ISNUMBER(F770),F770,1)*IF(ISNUMBER(E770),E770,1)</f>
        <v>0</v>
      </c>
      <c r="AJ770" s="140">
        <f t="shared" si="1545"/>
        <v>0</v>
      </c>
      <c r="AK770" s="145">
        <f t="array" ref="AK770">IFERROR(I770*INDEX(F!$P$21:$AB$33, MATCH(G770/$AH770, F!$O$21:$O$33,1), MATCH(E770, F!$P$20:$AB$20,1)), 0 ) +IFERROR( M770*INDEX(F!$P$21:$AB$33, MATCH(K770/$AH770, F!$O$21:$O$33,1), MATCH(E770, F!$P$20:$AB$20,1)),0) +  IFERROR( Q770*INDEX(F!$P$21:$AB$33, MATCH(O770/$AH770, F!$O$21:$O$33,1), MATCH(E770, F!$P$20:$AB$20,1)), 0) + IFERROR( U770*INDEX(F!$P$21:$AB$33, MATCH(S770/$AH770, F!$O$21:$O$33,1), MATCH(E770, F!$P$20:$AB$20,1)),0)  + IFERROR(Y770*INDEX(F!$P$21:$AB$33, MATCH(W770/$AH770, F!$O$21:$O$33,1), MATCH(E770, F!$P$20:$AB$20,1)),0)  + IFERROR( AC770*INDEX(F!$P$21:$AB$33, MATCH(AA770/$AH770, F!$O$21:$O$33,1), MATCH(E770, F!$P$20:$AB$20,1)),)</f>
        <v>0</v>
      </c>
      <c r="AL770" s="59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 ht="15.75" hidden="1" customHeight="1">
      <c r="A771" s="59"/>
      <c r="B771" s="126" t="str">
        <f t="shared" ref="B771:F771" si="1547">IF(B715="","",B715)</f>
        <v/>
      </c>
      <c r="C771" s="127" t="str">
        <f t="shared" si="1547"/>
        <v/>
      </c>
      <c r="D771" s="128" t="str">
        <f t="shared" si="1547"/>
        <v/>
      </c>
      <c r="E771" s="48" t="str">
        <f t="shared" si="1547"/>
        <v/>
      </c>
      <c r="F771" s="129" t="str">
        <f t="shared" si="1547"/>
        <v/>
      </c>
      <c r="G771" s="130" t="str">
        <f t="shared" si="1536"/>
        <v/>
      </c>
      <c r="H771" s="34"/>
      <c r="I771" s="34"/>
      <c r="J771" s="65"/>
      <c r="K771" s="130" t="str">
        <f t="shared" si="1537"/>
        <v/>
      </c>
      <c r="L771" s="34"/>
      <c r="M771" s="34"/>
      <c r="N771" s="65"/>
      <c r="O771" s="130" t="str">
        <f t="shared" si="1538"/>
        <v/>
      </c>
      <c r="P771" s="34"/>
      <c r="Q771" s="34"/>
      <c r="R771" s="65"/>
      <c r="S771" s="130" t="str">
        <f t="shared" si="1539"/>
        <v/>
      </c>
      <c r="T771" s="34"/>
      <c r="U771" s="34"/>
      <c r="V771" s="65"/>
      <c r="W771" s="130" t="str">
        <f t="shared" si="1540"/>
        <v/>
      </c>
      <c r="X771" s="34"/>
      <c r="Y771" s="34"/>
      <c r="Z771" s="65"/>
      <c r="AA771" s="130" t="str">
        <f t="shared" si="1541"/>
        <v/>
      </c>
      <c r="AB771" s="34"/>
      <c r="AC771" s="34"/>
      <c r="AD771" s="65"/>
      <c r="AE771" s="131">
        <f t="shared" si="1542"/>
        <v>0</v>
      </c>
      <c r="AF771" s="132">
        <f t="shared" si="1466"/>
        <v>0</v>
      </c>
      <c r="AG771" s="133">
        <f t="shared" si="1543"/>
        <v>0</v>
      </c>
      <c r="AH771" s="76" t="str">
        <f t="shared" si="1544"/>
        <v/>
      </c>
      <c r="AI771" s="132">
        <f> ( IF(ISNUMBER(G771), VLOOKUP(G771/$AH771,F!$A1:$B101,2,1)*G771*$H771*$I771,0)+IF(ISNUMBER(K771), VLOOKUP(K771/$AH771,F!$A1:$B101,2,1)*K771*$L771*$M771,0)+IF(ISNUMBER(O771), VLOOKUP(O771/$AH771,F!$A1:$B101,2,1)*O771*$P771*$Q771,0)+IF(ISNUMBER(S771), VLOOKUP(S771/$AH771,F!$A1:$B101,2,1)*S771*$T771*$U771,0)+IF(ISNUMBER(W771), VLOOKUP(W771/$AH771,F!$A1:$B101,2,1)*W771*$X771*$Y771,0)+IF(ISNUMBER(AA771), VLOOKUP(AA771/$AH771,F!$A1:$B101,2,1)*AA771*$AB771*$AC771,0))*IF(ISNUMBER(F771),F771,1)*IF(ISNUMBER(E771),E771,1)</f>
        <v>0</v>
      </c>
      <c r="AJ771" s="34">
        <f t="shared" si="1545"/>
        <v>0</v>
      </c>
      <c r="AK771" s="134">
        <f t="array" ref="AK771">IFERROR(I771*INDEX(F!$P$21:$AB$33, MATCH(G771/$AH771, F!$O$21:$O$33,1), MATCH(E771, F!$P$20:$AB$20,1)), 0 ) +IFERROR( M771*INDEX(F!$P$21:$AB$33, MATCH(K771/$AH771, F!$O$21:$O$33,1), MATCH(E771, F!$P$20:$AB$20,1)),0) +  IFERROR( Q771*INDEX(F!$P$21:$AB$33, MATCH(O771/$AH771, F!$O$21:$O$33,1), MATCH(E771, F!$P$20:$AB$20,1)), 0) + IFERROR( U771*INDEX(F!$P$21:$AB$33, MATCH(S771/$AH771, F!$O$21:$O$33,1), MATCH(E771, F!$P$20:$AB$20,1)),0)  + IFERROR(Y771*INDEX(F!$P$21:$AB$33, MATCH(W771/$AH771, F!$O$21:$O$33,1), MATCH(E771, F!$P$20:$AB$20,1)),0)  + IFERROR( AC771*INDEX(F!$P$21:$AB$33, MATCH(AA771/$AH771, F!$O$21:$O$33,1), MATCH(E771, F!$P$20:$AB$20,1)),)</f>
        <v>0</v>
      </c>
      <c r="AL771" s="59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 ht="15.75" hidden="1" customHeight="1">
      <c r="A772" s="59"/>
      <c r="B772" s="135" t="str">
        <f t="shared" ref="B772:F772" si="1548">IF(B716="","",B716)</f>
        <v/>
      </c>
      <c r="C772" s="136" t="str">
        <f t="shared" si="1548"/>
        <v/>
      </c>
      <c r="D772" s="137" t="str">
        <f t="shared" si="1548"/>
        <v/>
      </c>
      <c r="E772" s="48" t="str">
        <f t="shared" si="1548"/>
        <v/>
      </c>
      <c r="F772" s="138" t="str">
        <f t="shared" si="1548"/>
        <v/>
      </c>
      <c r="G772" s="139" t="str">
        <f t="shared" si="1536"/>
        <v/>
      </c>
      <c r="H772" s="140"/>
      <c r="I772" s="140"/>
      <c r="J772" s="141"/>
      <c r="K772" s="139" t="str">
        <f t="shared" si="1537"/>
        <v/>
      </c>
      <c r="L772" s="140"/>
      <c r="M772" s="140"/>
      <c r="N772" s="141"/>
      <c r="O772" s="139" t="str">
        <f t="shared" si="1538"/>
        <v/>
      </c>
      <c r="P772" s="140"/>
      <c r="Q772" s="140"/>
      <c r="R772" s="141"/>
      <c r="S772" s="139" t="str">
        <f t="shared" si="1539"/>
        <v/>
      </c>
      <c r="T772" s="140"/>
      <c r="U772" s="140"/>
      <c r="V772" s="141"/>
      <c r="W772" s="139" t="str">
        <f t="shared" si="1540"/>
        <v/>
      </c>
      <c r="X772" s="140"/>
      <c r="Y772" s="140"/>
      <c r="Z772" s="141"/>
      <c r="AA772" s="139" t="str">
        <f t="shared" si="1541"/>
        <v/>
      </c>
      <c r="AB772" s="140"/>
      <c r="AC772" s="140"/>
      <c r="AD772" s="141"/>
      <c r="AE772" s="142">
        <f t="shared" si="1542"/>
        <v>0</v>
      </c>
      <c r="AF772" s="143">
        <f t="shared" si="1466"/>
        <v>0</v>
      </c>
      <c r="AG772" s="144">
        <f t="shared" si="1543"/>
        <v>0</v>
      </c>
      <c r="AH772" s="76" t="str">
        <f t="shared" si="1544"/>
        <v/>
      </c>
      <c r="AI772" s="143">
        <f> ( IF(ISNUMBER(G772), VLOOKUP(G772/$AH772,F!$A1:$B101,2,1)*G772*$H772*$I772,0)+IF(ISNUMBER(K772), VLOOKUP(K772/$AH772,F!$A1:$B101,2,1)*K772*$L772*$M772,0)+IF(ISNUMBER(O772), VLOOKUP(O772/$AH772,F!$A1:$B101,2,1)*O772*$P772*$Q772,0)+IF(ISNUMBER(S772), VLOOKUP(S772/$AH772,F!$A1:$B101,2,1)*S772*$T772*$U772,0)+IF(ISNUMBER(W772), VLOOKUP(W772/$AH772,F!$A1:$B101,2,1)*W772*$X772*$Y772,0)+IF(ISNUMBER(AA772), VLOOKUP(AA772/$AH772,F!$A1:$B101,2,1)*AA772*$AB772*$AC772,0))*IF(ISNUMBER(F772),F772,1)*IF(ISNUMBER(E772),E772,1)</f>
        <v>0</v>
      </c>
      <c r="AJ772" s="140">
        <f t="shared" si="1545"/>
        <v>0</v>
      </c>
      <c r="AK772" s="145">
        <f t="array" ref="AK772">IFERROR(I772*INDEX(F!$P$21:$AB$33, MATCH(G772/$AH772, F!$O$21:$O$33,1), MATCH(E772, F!$P$20:$AB$20,1)), 0 ) +IFERROR( M772*INDEX(F!$P$21:$AB$33, MATCH(K772/$AH772, F!$O$21:$O$33,1), MATCH(E772, F!$P$20:$AB$20,1)),0) +  IFERROR( Q772*INDEX(F!$P$21:$AB$33, MATCH(O772/$AH772, F!$O$21:$O$33,1), MATCH(E772, F!$P$20:$AB$20,1)), 0) + IFERROR( U772*INDEX(F!$P$21:$AB$33, MATCH(S772/$AH772, F!$O$21:$O$33,1), MATCH(E772, F!$P$20:$AB$20,1)),0)  + IFERROR(Y772*INDEX(F!$P$21:$AB$33, MATCH(W772/$AH772, F!$O$21:$O$33,1), MATCH(E772, F!$P$20:$AB$20,1)),0)  + IFERROR( AC772*INDEX(F!$P$21:$AB$33, MATCH(AA772/$AH772, F!$O$21:$O$33,1), MATCH(E772, F!$P$20:$AB$20,1)),)</f>
        <v>0</v>
      </c>
      <c r="AL772" s="59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 ht="15.75" hidden="1" customHeight="1">
      <c r="A773" s="59"/>
      <c r="B773" s="126" t="str">
        <f t="shared" ref="B773:F773" si="1549">IF(B717="","",B717)</f>
        <v/>
      </c>
      <c r="C773" s="127" t="str">
        <f t="shared" si="1549"/>
        <v/>
      </c>
      <c r="D773" s="128" t="str">
        <f t="shared" si="1549"/>
        <v/>
      </c>
      <c r="E773" s="48" t="str">
        <f t="shared" si="1549"/>
        <v/>
      </c>
      <c r="F773" s="129" t="str">
        <f t="shared" si="1549"/>
        <v/>
      </c>
      <c r="G773" s="130" t="str">
        <f t="shared" si="1536"/>
        <v/>
      </c>
      <c r="H773" s="34"/>
      <c r="I773" s="34"/>
      <c r="J773" s="65"/>
      <c r="K773" s="130" t="str">
        <f t="shared" si="1537"/>
        <v/>
      </c>
      <c r="L773" s="34"/>
      <c r="M773" s="34"/>
      <c r="N773" s="65"/>
      <c r="O773" s="130" t="str">
        <f t="shared" si="1538"/>
        <v/>
      </c>
      <c r="P773" s="34"/>
      <c r="Q773" s="34"/>
      <c r="R773" s="65"/>
      <c r="S773" s="130" t="str">
        <f t="shared" si="1539"/>
        <v/>
      </c>
      <c r="T773" s="34"/>
      <c r="U773" s="34"/>
      <c r="V773" s="65"/>
      <c r="W773" s="130" t="str">
        <f t="shared" si="1540"/>
        <v/>
      </c>
      <c r="X773" s="34"/>
      <c r="Y773" s="34"/>
      <c r="Z773" s="65"/>
      <c r="AA773" s="130" t="str">
        <f t="shared" si="1541"/>
        <v/>
      </c>
      <c r="AB773" s="34"/>
      <c r="AC773" s="34"/>
      <c r="AD773" s="65"/>
      <c r="AE773" s="131">
        <f t="shared" si="1542"/>
        <v>0</v>
      </c>
      <c r="AF773" s="132">
        <f t="shared" si="1466"/>
        <v>0</v>
      </c>
      <c r="AG773" s="133">
        <f t="shared" si="1543"/>
        <v>0</v>
      </c>
      <c r="AH773" s="76" t="str">
        <f t="shared" si="1544"/>
        <v/>
      </c>
      <c r="AI773" s="132">
        <f> ( IF(ISNUMBER(G773), VLOOKUP(G773/$AH773,F!$A1:$B101,2,1)*G773*$H773*$I773,0)+IF(ISNUMBER(K773), VLOOKUP(K773/$AH773,F!$A1:$B101,2,1)*K773*$L773*$M773,0)+IF(ISNUMBER(O773), VLOOKUP(O773/$AH773,F!$A1:$B101,2,1)*O773*$P773*$Q773,0)+IF(ISNUMBER(S773), VLOOKUP(S773/$AH773,F!$A1:$B101,2,1)*S773*$T773*$U773,0)+IF(ISNUMBER(W773), VLOOKUP(W773/$AH773,F!$A1:$B101,2,1)*W773*$X773*$Y773,0)+IF(ISNUMBER(AA773), VLOOKUP(AA773/$AH773,F!$A1:$B101,2,1)*AA773*$AB773*$AC773,0))*IF(ISNUMBER(F773),F773,1)*IF(ISNUMBER(E773),E773,1)</f>
        <v>0</v>
      </c>
      <c r="AJ773" s="34">
        <f t="shared" si="1545"/>
        <v>0</v>
      </c>
      <c r="AK773" s="134">
        <f t="array" ref="AK773">IFERROR(I773*INDEX(F!$P$21:$AB$33, MATCH(G773/$AH773, F!$O$21:$O$33,1), MATCH(E773, F!$P$20:$AB$20,1)), 0 ) +IFERROR( M773*INDEX(F!$P$21:$AB$33, MATCH(K773/$AH773, F!$O$21:$O$33,1), MATCH(E773, F!$P$20:$AB$20,1)),0) +  IFERROR( Q773*INDEX(F!$P$21:$AB$33, MATCH(O773/$AH773, F!$O$21:$O$33,1), MATCH(E773, F!$P$20:$AB$20,1)), 0) + IFERROR( U773*INDEX(F!$P$21:$AB$33, MATCH(S773/$AH773, F!$O$21:$O$33,1), MATCH(E773, F!$P$20:$AB$20,1)),0)  + IFERROR(Y773*INDEX(F!$P$21:$AB$33, MATCH(W773/$AH773, F!$O$21:$O$33,1), MATCH(E773, F!$P$20:$AB$20,1)),0)  + IFERROR( AC773*INDEX(F!$P$21:$AB$33, MATCH(AA773/$AH773, F!$O$21:$O$33,1), MATCH(E773, F!$P$20:$AB$20,1)),)</f>
        <v>0</v>
      </c>
      <c r="AL773" s="59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 ht="15.75" hidden="1" customHeight="1">
      <c r="A774" s="59"/>
      <c r="B774" s="135" t="str">
        <f t="shared" ref="B774:F774" si="1550">IF(B718="","",B718)</f>
        <v/>
      </c>
      <c r="C774" s="136" t="str">
        <f t="shared" si="1550"/>
        <v/>
      </c>
      <c r="D774" s="137" t="str">
        <f t="shared" si="1550"/>
        <v/>
      </c>
      <c r="E774" s="48" t="str">
        <f t="shared" si="1550"/>
        <v/>
      </c>
      <c r="F774" s="138" t="str">
        <f t="shared" si="1550"/>
        <v/>
      </c>
      <c r="G774" s="139" t="str">
        <f t="shared" si="1536"/>
        <v/>
      </c>
      <c r="H774" s="140"/>
      <c r="I774" s="140"/>
      <c r="J774" s="141"/>
      <c r="K774" s="139" t="str">
        <f t="shared" si="1537"/>
        <v/>
      </c>
      <c r="L774" s="140"/>
      <c r="M774" s="140"/>
      <c r="N774" s="141"/>
      <c r="O774" s="139" t="str">
        <f t="shared" si="1538"/>
        <v/>
      </c>
      <c r="P774" s="140"/>
      <c r="Q774" s="140"/>
      <c r="R774" s="141"/>
      <c r="S774" s="139" t="str">
        <f t="shared" si="1539"/>
        <v/>
      </c>
      <c r="T774" s="140"/>
      <c r="U774" s="140"/>
      <c r="V774" s="141"/>
      <c r="W774" s="139" t="str">
        <f t="shared" si="1540"/>
        <v/>
      </c>
      <c r="X774" s="140"/>
      <c r="Y774" s="140"/>
      <c r="Z774" s="141"/>
      <c r="AA774" s="139" t="str">
        <f t="shared" si="1541"/>
        <v/>
      </c>
      <c r="AB774" s="140"/>
      <c r="AC774" s="140"/>
      <c r="AD774" s="141"/>
      <c r="AE774" s="142">
        <f t="shared" si="1542"/>
        <v>0</v>
      </c>
      <c r="AF774" s="143">
        <f t="shared" si="1466"/>
        <v>0</v>
      </c>
      <c r="AG774" s="144">
        <f t="shared" si="1543"/>
        <v>0</v>
      </c>
      <c r="AH774" s="76" t="str">
        <f t="shared" si="1544"/>
        <v/>
      </c>
      <c r="AI774" s="143">
        <f> ( IF(ISNUMBER(G774), VLOOKUP(G774/$AH774,F!$A1:$B101,2,1)*G774*$H774*$I774,0)+IF(ISNUMBER(K774), VLOOKUP(K774/$AH774,F!$A1:$B101,2,1)*K774*$L774*$M774,0)+IF(ISNUMBER(O774), VLOOKUP(O774/$AH774,F!$A1:$B101,2,1)*O774*$P774*$Q774,0)+IF(ISNUMBER(S774), VLOOKUP(S774/$AH774,F!$A1:$B101,2,1)*S774*$T774*$U774,0)+IF(ISNUMBER(W774), VLOOKUP(W774/$AH774,F!$A1:$B101,2,1)*W774*$X774*$Y774,0)+IF(ISNUMBER(AA774), VLOOKUP(AA774/$AH774,F!$A1:$B101,2,1)*AA774*$AB774*$AC774,0))*IF(ISNUMBER(F774),F774,1)*IF(ISNUMBER(E774),E774,1)</f>
        <v>0</v>
      </c>
      <c r="AJ774" s="140">
        <f t="shared" si="1545"/>
        <v>0</v>
      </c>
      <c r="AK774" s="145">
        <f t="array" ref="AK774">IFERROR(I774*INDEX(F!$P$21:$AB$33, MATCH(G774/$AH774, F!$O$21:$O$33,1), MATCH(E774, F!$P$20:$AB$20,1)), 0 ) +IFERROR( M774*INDEX(F!$P$21:$AB$33, MATCH(K774/$AH774, F!$O$21:$O$33,1), MATCH(E774, F!$P$20:$AB$20,1)),0) +  IFERROR( Q774*INDEX(F!$P$21:$AB$33, MATCH(O774/$AH774, F!$O$21:$O$33,1), MATCH(E774, F!$P$20:$AB$20,1)), 0) + IFERROR( U774*INDEX(F!$P$21:$AB$33, MATCH(S774/$AH774, F!$O$21:$O$33,1), MATCH(E774, F!$P$20:$AB$20,1)),0)  + IFERROR(Y774*INDEX(F!$P$21:$AB$33, MATCH(W774/$AH774, F!$O$21:$O$33,1), MATCH(E774, F!$P$20:$AB$20,1)),0)  + IFERROR( AC774*INDEX(F!$P$21:$AB$33, MATCH(AA774/$AH774, F!$O$21:$O$33,1), MATCH(E774, F!$P$20:$AB$20,1)),)</f>
        <v>0</v>
      </c>
      <c r="AL774" s="59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 ht="15.75" hidden="1" customHeight="1">
      <c r="A775" s="59"/>
      <c r="B775" s="126" t="str">
        <f t="shared" ref="B775:F775" si="1551">IF(B719="","",B719)</f>
        <v/>
      </c>
      <c r="C775" s="127" t="str">
        <f t="shared" si="1551"/>
        <v/>
      </c>
      <c r="D775" s="128" t="str">
        <f t="shared" si="1551"/>
        <v/>
      </c>
      <c r="E775" s="48" t="str">
        <f t="shared" si="1551"/>
        <v/>
      </c>
      <c r="F775" s="129" t="str">
        <f t="shared" si="1551"/>
        <v/>
      </c>
      <c r="G775" s="130" t="str">
        <f t="shared" si="1536"/>
        <v/>
      </c>
      <c r="H775" s="34"/>
      <c r="I775" s="34"/>
      <c r="J775" s="65"/>
      <c r="K775" s="130" t="str">
        <f t="shared" si="1537"/>
        <v/>
      </c>
      <c r="L775" s="34"/>
      <c r="M775" s="34"/>
      <c r="N775" s="65"/>
      <c r="O775" s="130" t="str">
        <f t="shared" si="1538"/>
        <v/>
      </c>
      <c r="P775" s="34"/>
      <c r="Q775" s="34"/>
      <c r="R775" s="65"/>
      <c r="S775" s="130" t="str">
        <f t="shared" si="1539"/>
        <v/>
      </c>
      <c r="T775" s="34"/>
      <c r="U775" s="34"/>
      <c r="V775" s="65"/>
      <c r="W775" s="130" t="str">
        <f t="shared" si="1540"/>
        <v/>
      </c>
      <c r="X775" s="34"/>
      <c r="Y775" s="34"/>
      <c r="Z775" s="65"/>
      <c r="AA775" s="130" t="str">
        <f t="shared" si="1541"/>
        <v/>
      </c>
      <c r="AB775" s="34"/>
      <c r="AC775" s="34"/>
      <c r="AD775" s="65"/>
      <c r="AE775" s="131">
        <f t="shared" si="1542"/>
        <v>0</v>
      </c>
      <c r="AF775" s="132">
        <f t="shared" si="1466"/>
        <v>0</v>
      </c>
      <c r="AG775" s="133">
        <f t="shared" si="1543"/>
        <v>0</v>
      </c>
      <c r="AH775" s="76" t="str">
        <f t="shared" si="1544"/>
        <v/>
      </c>
      <c r="AI775" s="132">
        <f> ( IF(ISNUMBER(G775), VLOOKUP(G775/$AH775,F!$A1:$B101,2,1)*G775*$H775*$I775,0)+IF(ISNUMBER(K775), VLOOKUP(K775/$AH775,F!$A1:$B101,2,1)*K775*$L775*$M775,0)+IF(ISNUMBER(O775), VLOOKUP(O775/$AH775,F!$A1:$B101,2,1)*O775*$P775*$Q775,0)+IF(ISNUMBER(S775), VLOOKUP(S775/$AH775,F!$A1:$B101,2,1)*S775*$T775*$U775,0)+IF(ISNUMBER(W775), VLOOKUP(W775/$AH775,F!$A1:$B101,2,1)*W775*$X775*$Y775,0)+IF(ISNUMBER(AA775), VLOOKUP(AA775/$AH775,F!$A1:$B101,2,1)*AA775*$AB775*$AC775,0))*IF(ISNUMBER(F775),F775,1)*IF(ISNUMBER(E775),E775,1)</f>
        <v>0</v>
      </c>
      <c r="AJ775" s="34">
        <f t="shared" si="1545"/>
        <v>0</v>
      </c>
      <c r="AK775" s="134">
        <f t="array" ref="AK775">IFERROR(I775*INDEX(F!$P$21:$AB$33, MATCH(G775/$AH775, F!$O$21:$O$33,1), MATCH(E775, F!$P$20:$AB$20,1)), 0 ) +IFERROR( M775*INDEX(F!$P$21:$AB$33, MATCH(K775/$AH775, F!$O$21:$O$33,1), MATCH(E775, F!$P$20:$AB$20,1)),0) +  IFERROR( Q775*INDEX(F!$P$21:$AB$33, MATCH(O775/$AH775, F!$O$21:$O$33,1), MATCH(E775, F!$P$20:$AB$20,1)), 0) + IFERROR( U775*INDEX(F!$P$21:$AB$33, MATCH(S775/$AH775, F!$O$21:$O$33,1), MATCH(E775, F!$P$20:$AB$20,1)),0)  + IFERROR(Y775*INDEX(F!$P$21:$AB$33, MATCH(W775/$AH775, F!$O$21:$O$33,1), MATCH(E775, F!$P$20:$AB$20,1)),0)  + IFERROR( AC775*INDEX(F!$P$21:$AB$33, MATCH(AA775/$AH775, F!$O$21:$O$33,1), MATCH(E775, F!$P$20:$AB$20,1)),)</f>
        <v>0</v>
      </c>
      <c r="AL775" s="59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 ht="15.75" hidden="1" customHeight="1">
      <c r="A776" s="98"/>
      <c r="B776" s="150"/>
      <c r="C776" s="151"/>
      <c r="D776" s="152"/>
      <c r="E776" s="102">
        <f>ROUND(IFERROR(SUMPRODUCT(AJ768:AJ775,E768:E775)/AJ776,0),3)</f>
        <v>0</v>
      </c>
      <c r="F776" s="153"/>
      <c r="G776" s="154"/>
      <c r="H776" s="155"/>
      <c r="I776" s="155"/>
      <c r="J776" s="156"/>
      <c r="K776" s="154"/>
      <c r="L776" s="155"/>
      <c r="M776" s="155"/>
      <c r="N776" s="156"/>
      <c r="O776" s="154"/>
      <c r="P776" s="155"/>
      <c r="Q776" s="155"/>
      <c r="R776" s="156"/>
      <c r="S776" s="154"/>
      <c r="T776" s="155"/>
      <c r="U776" s="155"/>
      <c r="V776" s="156"/>
      <c r="W776" s="154"/>
      <c r="X776" s="155"/>
      <c r="Y776" s="155"/>
      <c r="Z776" s="156"/>
      <c r="AA776" s="154"/>
      <c r="AB776" s="155"/>
      <c r="AC776" s="155"/>
      <c r="AD776" s="156"/>
      <c r="AE776" s="107">
        <f>SUM(AE768:AE775)</f>
        <v>0</v>
      </c>
      <c r="AF776" s="108">
        <f t="shared" si="1466"/>
        <v>0</v>
      </c>
      <c r="AG776" s="109">
        <f>IFERROR(  SUMPRODUCT(AG768:AG775,AJ768:AJ775)/AJ776,0)</f>
        <v>0</v>
      </c>
      <c r="AH776" s="157"/>
      <c r="AI776" s="111">
        <f t="shared" ref="AI776:AJ776" si="1552">SUM(AI768:AI775)</f>
        <v>0</v>
      </c>
      <c r="AJ776" s="111">
        <f t="shared" si="1552"/>
        <v>0</v>
      </c>
      <c r="AK776" s="112">
        <f>IF(SUM(AK768:AK775)=0,TIME(,0,),TIME(,SUM(AK768:AK775)+F!$V$37,))</f>
        <v>0</v>
      </c>
      <c r="AL776" s="98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 ht="15.75" hidden="1" customHeight="1">
      <c r="A777" s="158">
        <f>A778</f>
        <v>43878</v>
      </c>
      <c r="B777" s="159" t="str">
        <f t="shared" ref="B777:F777" si="1553">IF(B721="","",B721)</f>
        <v/>
      </c>
      <c r="C777" s="160" t="str">
        <f t="shared" si="1553"/>
        <v/>
      </c>
      <c r="D777" s="161" t="str">
        <f t="shared" si="1553"/>
        <v/>
      </c>
      <c r="E777" s="29" t="str">
        <f t="shared" si="1553"/>
        <v/>
      </c>
      <c r="F777" s="162" t="str">
        <f t="shared" si="1553"/>
        <v/>
      </c>
      <c r="G777" s="163" t="str">
        <f t="shared" ref="G777:G784" si="1555">IF(J777&lt;&gt;0, IFERROR(IF( $F777=2,  MROUND($AH777*J777,1),    IF( OR($F777="",$F777=1),   MROUND($AH777*J777,2.5),  MROUND($AH777*J777, 0.1))), "" ), "")</f>
        <v/>
      </c>
      <c r="H777" s="164"/>
      <c r="I777" s="164"/>
      <c r="J777" s="165"/>
      <c r="K777" s="163" t="str">
        <f t="shared" ref="K777:K784" si="1556">IF(N777&lt;&gt;0, IFERROR(IF( $F777=2,  MROUND($AH777*N777,1),    IF( OR($F777="",$F777=1),   MROUND($AH777*N777,2.5),  MROUND($AH777*N777, 0.1))), "" ), "")</f>
        <v/>
      </c>
      <c r="L777" s="164"/>
      <c r="M777" s="164"/>
      <c r="N777" s="165"/>
      <c r="O777" s="163" t="str">
        <f t="shared" ref="O777:O784" si="1557">IF(R777&lt;&gt;0, IFERROR(IF( $F777=2,  MROUND($AH777*R777,1),    IF( OR($F777="",$F777=1),   MROUND($AH777*R777,2.5),  MROUND($AH777*R777, 0.1))), "" ), "")</f>
        <v/>
      </c>
      <c r="P777" s="164"/>
      <c r="Q777" s="164"/>
      <c r="R777" s="165"/>
      <c r="S777" s="163" t="str">
        <f t="shared" ref="S777:S784" si="1558">IF(V777&lt;&gt;0, IFERROR(IF( $F777=2,  MROUND($AH777*V777,1),    IF( OR($F777="",$F777=1),   MROUND($AH777*V777,2.5),  MROUND($AH777*V777, 0.1))), "" ), "")</f>
        <v/>
      </c>
      <c r="T777" s="164"/>
      <c r="U777" s="164"/>
      <c r="V777" s="165"/>
      <c r="W777" s="163" t="str">
        <f t="shared" ref="W777:W784" si="1559">IF(Z777&lt;&gt;0, IFERROR(IF( $F777=2,  MROUND($AH777*Z777,1),    IF( OR($F777="",$F777=1),   MROUND($AH777*Z777,2.5),  MROUND($AH777*Z777, 0.1))), "" ), "")</f>
        <v/>
      </c>
      <c r="X777" s="164"/>
      <c r="Y777" s="164"/>
      <c r="Z777" s="165"/>
      <c r="AA777" s="163" t="str">
        <f t="shared" ref="AA777:AA784" si="1560">IF(AD777&lt;&gt;0, IFERROR(IF( $F777=2,  MROUND($AH777*AD777,1),    IF( OR($F777="",$F777=1),   MROUND($AH777*AD777,2.5),  MROUND($AH777*AD777, 0.1))), "" ), "")</f>
        <v/>
      </c>
      <c r="AB777" s="164"/>
      <c r="AC777" s="164"/>
      <c r="AD777" s="165"/>
      <c r="AE777" s="166">
        <f t="shared" ref="AE777:AE784" si="1561">(IF(ISNUMBER(G777),G777,0)*H777*I777+IF(ISNUMBER(K777),K777,1)*L777*M777+IF(ISNUMBER(O777),O777,1)*P777*Q777+IF(ISNUMBER(S777),S777,1)*T777*U777+IF(ISNUMBER(W777),W777,1)*X777*Y777+IF(ISNUMBER(AA777),AA777,1)*AB777*AC777)*IF(ISNUMBER(F777),F777,1)</f>
        <v>0</v>
      </c>
      <c r="AF777" s="167">
        <f t="shared" si="1466"/>
        <v>0</v>
      </c>
      <c r="AG777" s="168">
        <f t="shared" ref="AG777:AG784" si="1562">IFERROR((AF777/(AH777*IF(ISNUMBER(F777),F777,1))),0)</f>
        <v>0</v>
      </c>
      <c r="AH777" s="169" t="str">
        <f t="shared" ref="AH777:AH784" si="1563">IF(ISNUMBER(AH721), AH721+(AH721*$AH$730),"")</f>
        <v/>
      </c>
      <c r="AI777" s="167">
        <f> ( IF(ISNUMBER(G777), VLOOKUP(G777/$AH777,F!$A1:$B101,2,1)*G777*$H777*$I777,0)+IF(ISNUMBER(K777), VLOOKUP(K777/$AH777,F!$A1:$B101,2,1)*K777*$L777*$M777,0)+IF(ISNUMBER(O777), VLOOKUP(O777/$AH777,F!$A1:$B101,2,1)*O777*$P777*$Q777,0)+IF(ISNUMBER(S777), VLOOKUP(S777/$AH777,F!$A1:$B101,2,1)*S777*$T777*$U777,0)+IF(ISNUMBER(W777), VLOOKUP(W777/$AH777,F!$A1:$B101,2,1)*W777*$X777*$Y777,0)+IF(ISNUMBER(AA777), VLOOKUP(AA777/$AH777,F!$A1:$B101,2,1)*AA777*$AB777*$AC777,0))*IF(ISNUMBER(F777),F777,1)*IF(ISNUMBER(E777),E777,1)</f>
        <v>0</v>
      </c>
      <c r="AJ777" s="164">
        <f t="shared" ref="AJ777:AJ784" si="1564">H777*I777+L777*M777+P777*Q777+T777*U777+X777*Y777+AB777*AC777</f>
        <v>0</v>
      </c>
      <c r="AK777" s="170">
        <f t="array" ref="AK777">IFERROR(I777*INDEX(F!$P$21:$AB$33, MATCH(G777/$AH777, F!$O$21:$O$33,1), MATCH(E777, F!$P$20:$AB$20,1)), 0 ) +IFERROR( M777*INDEX(F!$P$21:$AB$33, MATCH(K777/$AH777, F!$O$21:$O$33,1), MATCH(E777, F!$P$20:$AB$20,1)),0) +  IFERROR( Q777*INDEX(F!$P$21:$AB$33, MATCH(O777/$AH777, F!$O$21:$O$33,1), MATCH(E777, F!$P$20:$AB$20,1)), 0) + IFERROR( U777*INDEX(F!$P$21:$AB$33, MATCH(S777/$AH777, F!$O$21:$O$33,1), MATCH(E777, F!$P$20:$AB$20,1)),0)  + IFERROR(Y777*INDEX(F!$P$21:$AB$33, MATCH(W777/$AH777, F!$O$21:$O$33,1), MATCH(E777, F!$P$20:$AB$20,1)),0)  + IFERROR( AC777*INDEX(F!$P$21:$AB$33, MATCH(AA777/$AH777, F!$O$21:$O$33,1), MATCH(E777, F!$P$20:$AB$20,1)),)</f>
        <v>0</v>
      </c>
      <c r="AL777" s="42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 ht="15.75" hidden="1" customHeight="1">
      <c r="A778" s="44">
        <f>A722+A674</f>
        <v>43878</v>
      </c>
      <c r="B778" s="135" t="str">
        <f t="shared" ref="B778:F778" si="1554">IF(B722="","",B722)</f>
        <v/>
      </c>
      <c r="C778" s="136" t="str">
        <f t="shared" si="1554"/>
        <v/>
      </c>
      <c r="D778" s="137" t="str">
        <f t="shared" si="1554"/>
        <v/>
      </c>
      <c r="E778" s="48" t="str">
        <f t="shared" si="1554"/>
        <v/>
      </c>
      <c r="F778" s="138" t="str">
        <f t="shared" si="1554"/>
        <v/>
      </c>
      <c r="G778" s="139" t="str">
        <f t="shared" si="1555"/>
        <v/>
      </c>
      <c r="H778" s="140"/>
      <c r="I778" s="140"/>
      <c r="J778" s="141"/>
      <c r="K778" s="139" t="str">
        <f t="shared" si="1556"/>
        <v/>
      </c>
      <c r="L778" s="140"/>
      <c r="M778" s="140"/>
      <c r="N778" s="141"/>
      <c r="O778" s="139" t="str">
        <f t="shared" si="1557"/>
        <v/>
      </c>
      <c r="P778" s="140"/>
      <c r="Q778" s="140"/>
      <c r="R778" s="141"/>
      <c r="S778" s="139" t="str">
        <f t="shared" si="1558"/>
        <v/>
      </c>
      <c r="T778" s="140"/>
      <c r="U778" s="140"/>
      <c r="V778" s="141"/>
      <c r="W778" s="139" t="str">
        <f t="shared" si="1559"/>
        <v/>
      </c>
      <c r="X778" s="140"/>
      <c r="Y778" s="140"/>
      <c r="Z778" s="141"/>
      <c r="AA778" s="139" t="str">
        <f t="shared" si="1560"/>
        <v/>
      </c>
      <c r="AB778" s="140"/>
      <c r="AC778" s="140"/>
      <c r="AD778" s="141"/>
      <c r="AE778" s="142">
        <f t="shared" si="1561"/>
        <v>0</v>
      </c>
      <c r="AF778" s="143">
        <f t="shared" si="1466"/>
        <v>0</v>
      </c>
      <c r="AG778" s="144">
        <f t="shared" si="1562"/>
        <v>0</v>
      </c>
      <c r="AH778" s="76" t="str">
        <f t="shared" si="1563"/>
        <v/>
      </c>
      <c r="AI778" s="143">
        <f> ( IF(ISNUMBER(G778), VLOOKUP(G778/$AH778,F!$A1:$B101,2,1)*G778*$H778*$I778,0)+IF(ISNUMBER(K778), VLOOKUP(K778/$AH778,F!$A1:$B101,2,1)*K778*$L778*$M778,0)+IF(ISNUMBER(O778), VLOOKUP(O778/$AH778,F!$A1:$B101,2,1)*O778*$P778*$Q778,0)+IF(ISNUMBER(S778), VLOOKUP(S778/$AH778,F!$A1:$B101,2,1)*S778*$T778*$U778,0)+IF(ISNUMBER(W778), VLOOKUP(W778/$AH778,F!$A1:$B101,2,1)*W778*$X778*$Y778,0)+IF(ISNUMBER(AA778), VLOOKUP(AA778/$AH778,F!$A1:$B101,2,1)*AA778*$AB778*$AC778,0))*IF(ISNUMBER(F778),F778,1)*IF(ISNUMBER(E778),E778,1)</f>
        <v>0</v>
      </c>
      <c r="AJ778" s="140">
        <f t="shared" si="1564"/>
        <v>0</v>
      </c>
      <c r="AK778" s="145">
        <f t="array" ref="AK778">IFERROR(I778*INDEX(F!$P$21:$AB$33, MATCH(G778/$AH778, F!$O$21:$O$33,1), MATCH(E778, F!$P$20:$AB$20,1)), 0 ) +IFERROR( M778*INDEX(F!$P$21:$AB$33, MATCH(K778/$AH778, F!$O$21:$O$33,1), MATCH(E778, F!$P$20:$AB$20,1)),0) +  IFERROR( Q778*INDEX(F!$P$21:$AB$33, MATCH(O778/$AH778, F!$O$21:$O$33,1), MATCH(E778, F!$P$20:$AB$20,1)), 0) + IFERROR( U778*INDEX(F!$P$21:$AB$33, MATCH(S778/$AH778, F!$O$21:$O$33,1), MATCH(E778, F!$P$20:$AB$20,1)),0)  + IFERROR(Y778*INDEX(F!$P$21:$AB$33, MATCH(W778/$AH778, F!$O$21:$O$33,1), MATCH(E778, F!$P$20:$AB$20,1)),0)  + IFERROR( AC778*INDEX(F!$P$21:$AB$33, MATCH(AA778/$AH778, F!$O$21:$O$33,1), MATCH(E778, F!$P$20:$AB$20,1)),)</f>
        <v>0</v>
      </c>
      <c r="AL778" s="59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 ht="15.75" hidden="1" customHeight="1">
      <c r="A779" s="59"/>
      <c r="B779" s="173" t="str">
        <f t="shared" ref="B779:F779" si="1565">IF(B723="","",B723)</f>
        <v/>
      </c>
      <c r="C779" s="174" t="str">
        <f t="shared" si="1565"/>
        <v/>
      </c>
      <c r="D779" s="175" t="str">
        <f t="shared" si="1565"/>
        <v/>
      </c>
      <c r="E779" s="48" t="str">
        <f t="shared" si="1565"/>
        <v/>
      </c>
      <c r="F779" s="176" t="str">
        <f t="shared" si="1565"/>
        <v/>
      </c>
      <c r="G779" s="177" t="str">
        <f t="shared" si="1555"/>
        <v/>
      </c>
      <c r="H779" s="178"/>
      <c r="I779" s="178"/>
      <c r="J779" s="179"/>
      <c r="K779" s="177" t="str">
        <f t="shared" si="1556"/>
        <v/>
      </c>
      <c r="L779" s="178"/>
      <c r="M779" s="178"/>
      <c r="N779" s="179"/>
      <c r="O779" s="177" t="str">
        <f t="shared" si="1557"/>
        <v/>
      </c>
      <c r="P779" s="178"/>
      <c r="Q779" s="178"/>
      <c r="R779" s="179"/>
      <c r="S779" s="177" t="str">
        <f t="shared" si="1558"/>
        <v/>
      </c>
      <c r="T779" s="178"/>
      <c r="U779" s="178"/>
      <c r="V779" s="179"/>
      <c r="W779" s="177" t="str">
        <f t="shared" si="1559"/>
        <v/>
      </c>
      <c r="X779" s="178"/>
      <c r="Y779" s="178"/>
      <c r="Z779" s="179"/>
      <c r="AA779" s="177" t="str">
        <f t="shared" si="1560"/>
        <v/>
      </c>
      <c r="AB779" s="178"/>
      <c r="AC779" s="178"/>
      <c r="AD779" s="179"/>
      <c r="AE779" s="180">
        <f t="shared" si="1561"/>
        <v>0</v>
      </c>
      <c r="AF779" s="181">
        <f t="shared" si="1466"/>
        <v>0</v>
      </c>
      <c r="AG779" s="182">
        <f t="shared" si="1562"/>
        <v>0</v>
      </c>
      <c r="AH779" s="76" t="str">
        <f t="shared" si="1563"/>
        <v/>
      </c>
      <c r="AI779" s="181">
        <f> ( IF(ISNUMBER(G779), VLOOKUP(G779/$AH779,F!$A1:$B101,2,1)*G779*$H779*$I779,0)+IF(ISNUMBER(K779), VLOOKUP(K779/$AH779,F!$A1:$B101,2,1)*K779*$L779*$M779,0)+IF(ISNUMBER(O779), VLOOKUP(O779/$AH779,F!$A1:$B101,2,1)*O779*$P779*$Q779,0)+IF(ISNUMBER(S779), VLOOKUP(S779/$AH779,F!$A1:$B101,2,1)*S779*$T779*$U779,0)+IF(ISNUMBER(W779), VLOOKUP(W779/$AH779,F!$A1:$B101,2,1)*W779*$X779*$Y779,0)+IF(ISNUMBER(AA779), VLOOKUP(AA779/$AH779,F!$A1:$B101,2,1)*AA779*$AB779*$AC779,0))*IF(ISNUMBER(F779),F779,1)*IF(ISNUMBER(E779),E779,1)</f>
        <v>0</v>
      </c>
      <c r="AJ779" s="178">
        <f t="shared" si="1564"/>
        <v>0</v>
      </c>
      <c r="AK779" s="183">
        <f t="array" ref="AK779">IFERROR(I779*INDEX(F!$P$21:$AB$33, MATCH(G779/$AH779, F!$O$21:$O$33,1), MATCH(E779, F!$P$20:$AB$20,1)), 0 ) +IFERROR( M779*INDEX(F!$P$21:$AB$33, MATCH(K779/$AH779, F!$O$21:$O$33,1), MATCH(E779, F!$P$20:$AB$20,1)),0) +  IFERROR( Q779*INDEX(F!$P$21:$AB$33, MATCH(O779/$AH779, F!$O$21:$O$33,1), MATCH(E779, F!$P$20:$AB$20,1)), 0) + IFERROR( U779*INDEX(F!$P$21:$AB$33, MATCH(S779/$AH779, F!$O$21:$O$33,1), MATCH(E779, F!$P$20:$AB$20,1)),0)  + IFERROR(Y779*INDEX(F!$P$21:$AB$33, MATCH(W779/$AH779, F!$O$21:$O$33,1), MATCH(E779, F!$P$20:$AB$20,1)),0)  + IFERROR( AC779*INDEX(F!$P$21:$AB$33, MATCH(AA779/$AH779, F!$O$21:$O$33,1), MATCH(E779, F!$P$20:$AB$20,1)),)</f>
        <v>0</v>
      </c>
      <c r="AL779" s="59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 ht="15.75" hidden="1" customHeight="1">
      <c r="A780" s="59"/>
      <c r="B780" s="135" t="str">
        <f t="shared" ref="B780:F780" si="1566">IF(B724="","",B724)</f>
        <v/>
      </c>
      <c r="C780" s="136" t="str">
        <f t="shared" si="1566"/>
        <v/>
      </c>
      <c r="D780" s="137" t="str">
        <f t="shared" si="1566"/>
        <v/>
      </c>
      <c r="E780" s="48" t="str">
        <f t="shared" si="1566"/>
        <v/>
      </c>
      <c r="F780" s="138" t="str">
        <f t="shared" si="1566"/>
        <v/>
      </c>
      <c r="G780" s="139" t="str">
        <f t="shared" si="1555"/>
        <v/>
      </c>
      <c r="H780" s="140"/>
      <c r="I780" s="140"/>
      <c r="J780" s="141"/>
      <c r="K780" s="139" t="str">
        <f t="shared" si="1556"/>
        <v/>
      </c>
      <c r="L780" s="140"/>
      <c r="M780" s="140"/>
      <c r="N780" s="141"/>
      <c r="O780" s="139" t="str">
        <f t="shared" si="1557"/>
        <v/>
      </c>
      <c r="P780" s="140"/>
      <c r="Q780" s="140"/>
      <c r="R780" s="141"/>
      <c r="S780" s="139" t="str">
        <f t="shared" si="1558"/>
        <v/>
      </c>
      <c r="T780" s="140"/>
      <c r="U780" s="140"/>
      <c r="V780" s="141"/>
      <c r="W780" s="139" t="str">
        <f t="shared" si="1559"/>
        <v/>
      </c>
      <c r="X780" s="140"/>
      <c r="Y780" s="140"/>
      <c r="Z780" s="141"/>
      <c r="AA780" s="139" t="str">
        <f t="shared" si="1560"/>
        <v/>
      </c>
      <c r="AB780" s="140"/>
      <c r="AC780" s="140"/>
      <c r="AD780" s="141"/>
      <c r="AE780" s="142">
        <f t="shared" si="1561"/>
        <v>0</v>
      </c>
      <c r="AF780" s="143">
        <f t="shared" si="1466"/>
        <v>0</v>
      </c>
      <c r="AG780" s="144">
        <f t="shared" si="1562"/>
        <v>0</v>
      </c>
      <c r="AH780" s="76" t="str">
        <f t="shared" si="1563"/>
        <v/>
      </c>
      <c r="AI780" s="143">
        <f> ( IF(ISNUMBER(G780), VLOOKUP(G780/$AH780,F!$A1:$B101,2,1)*G780*$H780*$I780,0)+IF(ISNUMBER(K780), VLOOKUP(K780/$AH780,F!$A1:$B101,2,1)*K780*$L780*$M780,0)+IF(ISNUMBER(O780), VLOOKUP(O780/$AH780,F!$A1:$B101,2,1)*O780*$P780*$Q780,0)+IF(ISNUMBER(S780), VLOOKUP(S780/$AH780,F!$A1:$B101,2,1)*S780*$T780*$U780,0)+IF(ISNUMBER(W780), VLOOKUP(W780/$AH780,F!$A1:$B101,2,1)*W780*$X780*$Y780,0)+IF(ISNUMBER(AA780), VLOOKUP(AA780/$AH780,F!$A1:$B101,2,1)*AA780*$AB780*$AC780,0))*IF(ISNUMBER(F780),F780,1)*IF(ISNUMBER(E780),E780,1)</f>
        <v>0</v>
      </c>
      <c r="AJ780" s="140">
        <f t="shared" si="1564"/>
        <v>0</v>
      </c>
      <c r="AK780" s="145">
        <f t="array" ref="AK780">IFERROR(I780*INDEX(F!$P$21:$AB$33, MATCH(G780/$AH780, F!$O$21:$O$33,1), MATCH(E780, F!$P$20:$AB$20,1)), 0 ) +IFERROR( M780*INDEX(F!$P$21:$AB$33, MATCH(K780/$AH780, F!$O$21:$O$33,1), MATCH(E780, F!$P$20:$AB$20,1)),0) +  IFERROR( Q780*INDEX(F!$P$21:$AB$33, MATCH(O780/$AH780, F!$O$21:$O$33,1), MATCH(E780, F!$P$20:$AB$20,1)), 0) + IFERROR( U780*INDEX(F!$P$21:$AB$33, MATCH(S780/$AH780, F!$O$21:$O$33,1), MATCH(E780, F!$P$20:$AB$20,1)),0)  + IFERROR(Y780*INDEX(F!$P$21:$AB$33, MATCH(W780/$AH780, F!$O$21:$O$33,1), MATCH(E780, F!$P$20:$AB$20,1)),0)  + IFERROR( AC780*INDEX(F!$P$21:$AB$33, MATCH(AA780/$AH780, F!$O$21:$O$33,1), MATCH(E780, F!$P$20:$AB$20,1)),)</f>
        <v>0</v>
      </c>
      <c r="AL780" s="59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 ht="15.75" hidden="1" customHeight="1">
      <c r="A781" s="59"/>
      <c r="B781" s="173" t="str">
        <f t="shared" ref="B781:F781" si="1567">IF(B725="","",B725)</f>
        <v/>
      </c>
      <c r="C781" s="174" t="str">
        <f t="shared" si="1567"/>
        <v/>
      </c>
      <c r="D781" s="175" t="str">
        <f t="shared" si="1567"/>
        <v/>
      </c>
      <c r="E781" s="48" t="str">
        <f t="shared" si="1567"/>
        <v/>
      </c>
      <c r="F781" s="176" t="str">
        <f t="shared" si="1567"/>
        <v/>
      </c>
      <c r="G781" s="177" t="str">
        <f t="shared" si="1555"/>
        <v/>
      </c>
      <c r="H781" s="178"/>
      <c r="I781" s="178"/>
      <c r="J781" s="179"/>
      <c r="K781" s="177" t="str">
        <f t="shared" si="1556"/>
        <v/>
      </c>
      <c r="L781" s="178"/>
      <c r="M781" s="178"/>
      <c r="N781" s="179"/>
      <c r="O781" s="177" t="str">
        <f t="shared" si="1557"/>
        <v/>
      </c>
      <c r="P781" s="178"/>
      <c r="Q781" s="178"/>
      <c r="R781" s="179"/>
      <c r="S781" s="177" t="str">
        <f t="shared" si="1558"/>
        <v/>
      </c>
      <c r="T781" s="178"/>
      <c r="U781" s="178"/>
      <c r="V781" s="179"/>
      <c r="W781" s="177" t="str">
        <f t="shared" si="1559"/>
        <v/>
      </c>
      <c r="X781" s="178"/>
      <c r="Y781" s="178"/>
      <c r="Z781" s="179"/>
      <c r="AA781" s="177" t="str">
        <f t="shared" si="1560"/>
        <v/>
      </c>
      <c r="AB781" s="178"/>
      <c r="AC781" s="178"/>
      <c r="AD781" s="179"/>
      <c r="AE781" s="180">
        <f t="shared" si="1561"/>
        <v>0</v>
      </c>
      <c r="AF781" s="181">
        <f t="shared" si="1466"/>
        <v>0</v>
      </c>
      <c r="AG781" s="182">
        <f t="shared" si="1562"/>
        <v>0</v>
      </c>
      <c r="AH781" s="76" t="str">
        <f t="shared" si="1563"/>
        <v/>
      </c>
      <c r="AI781" s="181">
        <f> ( IF(ISNUMBER(G781), VLOOKUP(G781/$AH781,F!$A1:$B101,2,1)*G781*$H781*$I781,0)+IF(ISNUMBER(K781), VLOOKUP(K781/$AH781,F!$A1:$B101,2,1)*K781*$L781*$M781,0)+IF(ISNUMBER(O781), VLOOKUP(O781/$AH781,F!$A1:$B101,2,1)*O781*$P781*$Q781,0)+IF(ISNUMBER(S781), VLOOKUP(S781/$AH781,F!$A1:$B101,2,1)*S781*$T781*$U781,0)+IF(ISNUMBER(W781), VLOOKUP(W781/$AH781,F!$A1:$B101,2,1)*W781*$X781*$Y781,0)+IF(ISNUMBER(AA781), VLOOKUP(AA781/$AH781,F!$A1:$B101,2,1)*AA781*$AB781*$AC781,0))*IF(ISNUMBER(F781),F781,1)*IF(ISNUMBER(E781),E781,1)</f>
        <v>0</v>
      </c>
      <c r="AJ781" s="178">
        <f t="shared" si="1564"/>
        <v>0</v>
      </c>
      <c r="AK781" s="183">
        <f t="array" ref="AK781">IFERROR(I781*INDEX(F!$P$21:$AB$33, MATCH(G781/$AH781, F!$O$21:$O$33,1), MATCH(E781, F!$P$20:$AB$20,1)), 0 ) +IFERROR( M781*INDEX(F!$P$21:$AB$33, MATCH(K781/$AH781, F!$O$21:$O$33,1), MATCH(E781, F!$P$20:$AB$20,1)),0) +  IFERROR( Q781*INDEX(F!$P$21:$AB$33, MATCH(O781/$AH781, F!$O$21:$O$33,1), MATCH(E781, F!$P$20:$AB$20,1)), 0) + IFERROR( U781*INDEX(F!$P$21:$AB$33, MATCH(S781/$AH781, F!$O$21:$O$33,1), MATCH(E781, F!$P$20:$AB$20,1)),0)  + IFERROR(Y781*INDEX(F!$P$21:$AB$33, MATCH(W781/$AH781, F!$O$21:$O$33,1), MATCH(E781, F!$P$20:$AB$20,1)),0)  + IFERROR( AC781*INDEX(F!$P$21:$AB$33, MATCH(AA781/$AH781, F!$O$21:$O$33,1), MATCH(E781, F!$P$20:$AB$20,1)),)</f>
        <v>0</v>
      </c>
      <c r="AL781" s="59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 ht="15.75" hidden="1" customHeight="1">
      <c r="A782" s="59"/>
      <c r="B782" s="135" t="str">
        <f t="shared" ref="B782:F782" si="1568">IF(B726="","",B726)</f>
        <v/>
      </c>
      <c r="C782" s="136" t="str">
        <f t="shared" si="1568"/>
        <v/>
      </c>
      <c r="D782" s="137" t="str">
        <f t="shared" si="1568"/>
        <v/>
      </c>
      <c r="E782" s="48" t="str">
        <f t="shared" si="1568"/>
        <v/>
      </c>
      <c r="F782" s="138" t="str">
        <f t="shared" si="1568"/>
        <v/>
      </c>
      <c r="G782" s="139" t="str">
        <f t="shared" si="1555"/>
        <v/>
      </c>
      <c r="H782" s="140"/>
      <c r="I782" s="140"/>
      <c r="J782" s="141"/>
      <c r="K782" s="139" t="str">
        <f t="shared" si="1556"/>
        <v/>
      </c>
      <c r="L782" s="140"/>
      <c r="M782" s="140"/>
      <c r="N782" s="141"/>
      <c r="O782" s="139" t="str">
        <f t="shared" si="1557"/>
        <v/>
      </c>
      <c r="P782" s="140"/>
      <c r="Q782" s="140"/>
      <c r="R782" s="141"/>
      <c r="S782" s="139" t="str">
        <f t="shared" si="1558"/>
        <v/>
      </c>
      <c r="T782" s="140"/>
      <c r="U782" s="140"/>
      <c r="V782" s="141"/>
      <c r="W782" s="139" t="str">
        <f t="shared" si="1559"/>
        <v/>
      </c>
      <c r="X782" s="140"/>
      <c r="Y782" s="140"/>
      <c r="Z782" s="141"/>
      <c r="AA782" s="139" t="str">
        <f t="shared" si="1560"/>
        <v/>
      </c>
      <c r="AB782" s="140"/>
      <c r="AC782" s="140"/>
      <c r="AD782" s="141"/>
      <c r="AE782" s="142">
        <f t="shared" si="1561"/>
        <v>0</v>
      </c>
      <c r="AF782" s="143">
        <f t="shared" si="1466"/>
        <v>0</v>
      </c>
      <c r="AG782" s="144">
        <f t="shared" si="1562"/>
        <v>0</v>
      </c>
      <c r="AH782" s="76" t="str">
        <f t="shared" si="1563"/>
        <v/>
      </c>
      <c r="AI782" s="143">
        <f> ( IF(ISNUMBER(G782), VLOOKUP(G782/$AH782,F!$A1:$B101,2,1)*G782*$H782*$I782,0)+IF(ISNUMBER(K782), VLOOKUP(K782/$AH782,F!$A1:$B101,2,1)*K782*$L782*$M782,0)+IF(ISNUMBER(O782), VLOOKUP(O782/$AH782,F!$A1:$B101,2,1)*O782*$P782*$Q782,0)+IF(ISNUMBER(S782), VLOOKUP(S782/$AH782,F!$A1:$B101,2,1)*S782*$T782*$U782,0)+IF(ISNUMBER(W782), VLOOKUP(W782/$AH782,F!$A1:$B101,2,1)*W782*$X782*$Y782,0)+IF(ISNUMBER(AA782), VLOOKUP(AA782/$AH782,F!$A1:$B101,2,1)*AA782*$AB782*$AC782,0))*IF(ISNUMBER(F782),F782,1)*IF(ISNUMBER(E782),E782,1)</f>
        <v>0</v>
      </c>
      <c r="AJ782" s="140">
        <f t="shared" si="1564"/>
        <v>0</v>
      </c>
      <c r="AK782" s="145">
        <f t="array" ref="AK782">IFERROR(I782*INDEX(F!$P$21:$AB$33, MATCH(G782/$AH782, F!$O$21:$O$33,1), MATCH(E782, F!$P$20:$AB$20,1)), 0 ) +IFERROR( M782*INDEX(F!$P$21:$AB$33, MATCH(K782/$AH782, F!$O$21:$O$33,1), MATCH(E782, F!$P$20:$AB$20,1)),0) +  IFERROR( Q782*INDEX(F!$P$21:$AB$33, MATCH(O782/$AH782, F!$O$21:$O$33,1), MATCH(E782, F!$P$20:$AB$20,1)), 0) + IFERROR( U782*INDEX(F!$P$21:$AB$33, MATCH(S782/$AH782, F!$O$21:$O$33,1), MATCH(E782, F!$P$20:$AB$20,1)),0)  + IFERROR(Y782*INDEX(F!$P$21:$AB$33, MATCH(W782/$AH782, F!$O$21:$O$33,1), MATCH(E782, F!$P$20:$AB$20,1)),0)  + IFERROR( AC782*INDEX(F!$P$21:$AB$33, MATCH(AA782/$AH782, F!$O$21:$O$33,1), MATCH(E782, F!$P$20:$AB$20,1)),)</f>
        <v>0</v>
      </c>
      <c r="AL782" s="59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 ht="15.75" hidden="1" customHeight="1">
      <c r="A783" s="59"/>
      <c r="B783" s="173" t="str">
        <f t="shared" ref="B783:F783" si="1569">IF(B727="","",B727)</f>
        <v/>
      </c>
      <c r="C783" s="174" t="str">
        <f t="shared" si="1569"/>
        <v/>
      </c>
      <c r="D783" s="175" t="str">
        <f t="shared" si="1569"/>
        <v/>
      </c>
      <c r="E783" s="48" t="str">
        <f t="shared" si="1569"/>
        <v/>
      </c>
      <c r="F783" s="176" t="str">
        <f t="shared" si="1569"/>
        <v/>
      </c>
      <c r="G783" s="177" t="str">
        <f t="shared" si="1555"/>
        <v/>
      </c>
      <c r="H783" s="178"/>
      <c r="I783" s="178"/>
      <c r="J783" s="179"/>
      <c r="K783" s="177" t="str">
        <f t="shared" si="1556"/>
        <v/>
      </c>
      <c r="L783" s="178"/>
      <c r="M783" s="178"/>
      <c r="N783" s="179"/>
      <c r="O783" s="177" t="str">
        <f t="shared" si="1557"/>
        <v/>
      </c>
      <c r="P783" s="178"/>
      <c r="Q783" s="178"/>
      <c r="R783" s="179"/>
      <c r="S783" s="177" t="str">
        <f t="shared" si="1558"/>
        <v/>
      </c>
      <c r="T783" s="178"/>
      <c r="U783" s="178"/>
      <c r="V783" s="179"/>
      <c r="W783" s="177" t="str">
        <f t="shared" si="1559"/>
        <v/>
      </c>
      <c r="X783" s="178"/>
      <c r="Y783" s="178"/>
      <c r="Z783" s="179"/>
      <c r="AA783" s="177" t="str">
        <f t="shared" si="1560"/>
        <v/>
      </c>
      <c r="AB783" s="178"/>
      <c r="AC783" s="178"/>
      <c r="AD783" s="179"/>
      <c r="AE783" s="180">
        <f t="shared" si="1561"/>
        <v>0</v>
      </c>
      <c r="AF783" s="181">
        <f t="shared" si="1466"/>
        <v>0</v>
      </c>
      <c r="AG783" s="182">
        <f t="shared" si="1562"/>
        <v>0</v>
      </c>
      <c r="AH783" s="76" t="str">
        <f t="shared" si="1563"/>
        <v/>
      </c>
      <c r="AI783" s="181">
        <f> ( IF(ISNUMBER(G783), VLOOKUP(G783/$AH783,F!$A1:$B101,2,1)*G783*$H783*$I783,0)+IF(ISNUMBER(K783), VLOOKUP(K783/$AH783,F!$A1:$B101,2,1)*K783*$L783*$M783,0)+IF(ISNUMBER(O783), VLOOKUP(O783/$AH783,F!$A1:$B101,2,1)*O783*$P783*$Q783,0)+IF(ISNUMBER(S783), VLOOKUP(S783/$AH783,F!$A1:$B101,2,1)*S783*$T783*$U783,0)+IF(ISNUMBER(W783), VLOOKUP(W783/$AH783,F!$A1:$B101,2,1)*W783*$X783*$Y783,0)+IF(ISNUMBER(AA783), VLOOKUP(AA783/$AH783,F!$A1:$B101,2,1)*AA783*$AB783*$AC783,0))*IF(ISNUMBER(F783),F783,1)*IF(ISNUMBER(E783),E783,1)</f>
        <v>0</v>
      </c>
      <c r="AJ783" s="178">
        <f t="shared" si="1564"/>
        <v>0</v>
      </c>
      <c r="AK783" s="183">
        <f t="array" ref="AK783">IFERROR(I783*INDEX(F!$P$21:$AB$33, MATCH(G783/$AH783, F!$O$21:$O$33,1), MATCH(E783, F!$P$20:$AB$20,1)), 0 ) +IFERROR( M783*INDEX(F!$P$21:$AB$33, MATCH(K783/$AH783, F!$O$21:$O$33,1), MATCH(E783, F!$P$20:$AB$20,1)),0) +  IFERROR( Q783*INDEX(F!$P$21:$AB$33, MATCH(O783/$AH783, F!$O$21:$O$33,1), MATCH(E783, F!$P$20:$AB$20,1)), 0) + IFERROR( U783*INDEX(F!$P$21:$AB$33, MATCH(S783/$AH783, F!$O$21:$O$33,1), MATCH(E783, F!$P$20:$AB$20,1)),0)  + IFERROR(Y783*INDEX(F!$P$21:$AB$33, MATCH(W783/$AH783, F!$O$21:$O$33,1), MATCH(E783, F!$P$20:$AB$20,1)),0)  + IFERROR( AC783*INDEX(F!$P$21:$AB$33, MATCH(AA783/$AH783, F!$O$21:$O$33,1), MATCH(E783, F!$P$20:$AB$20,1)),)</f>
        <v>0</v>
      </c>
      <c r="AL783" s="59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 ht="15.75" hidden="1" customHeight="1">
      <c r="A784" s="59"/>
      <c r="B784" s="135" t="str">
        <f t="shared" ref="B784:F784" si="1570">IF(B728="","",B728)</f>
        <v/>
      </c>
      <c r="C784" s="136" t="str">
        <f t="shared" si="1570"/>
        <v/>
      </c>
      <c r="D784" s="137" t="str">
        <f t="shared" si="1570"/>
        <v/>
      </c>
      <c r="E784" s="48" t="str">
        <f t="shared" si="1570"/>
        <v/>
      </c>
      <c r="F784" s="138" t="str">
        <f t="shared" si="1570"/>
        <v/>
      </c>
      <c r="G784" s="139" t="str">
        <f t="shared" si="1555"/>
        <v/>
      </c>
      <c r="H784" s="140"/>
      <c r="I784" s="140"/>
      <c r="J784" s="141"/>
      <c r="K784" s="139" t="str">
        <f t="shared" si="1556"/>
        <v/>
      </c>
      <c r="L784" s="140"/>
      <c r="M784" s="140"/>
      <c r="N784" s="141"/>
      <c r="O784" s="139" t="str">
        <f t="shared" si="1557"/>
        <v/>
      </c>
      <c r="P784" s="140"/>
      <c r="Q784" s="140"/>
      <c r="R784" s="141"/>
      <c r="S784" s="139" t="str">
        <f t="shared" si="1558"/>
        <v/>
      </c>
      <c r="T784" s="140"/>
      <c r="U784" s="140"/>
      <c r="V784" s="141"/>
      <c r="W784" s="139" t="str">
        <f t="shared" si="1559"/>
        <v/>
      </c>
      <c r="X784" s="140"/>
      <c r="Y784" s="140"/>
      <c r="Z784" s="141"/>
      <c r="AA784" s="139" t="str">
        <f t="shared" si="1560"/>
        <v/>
      </c>
      <c r="AB784" s="140"/>
      <c r="AC784" s="140"/>
      <c r="AD784" s="141"/>
      <c r="AE784" s="142">
        <f t="shared" si="1561"/>
        <v>0</v>
      </c>
      <c r="AF784" s="143">
        <f t="shared" si="1466"/>
        <v>0</v>
      </c>
      <c r="AG784" s="144">
        <f t="shared" si="1562"/>
        <v>0</v>
      </c>
      <c r="AH784" s="76" t="str">
        <f t="shared" si="1563"/>
        <v/>
      </c>
      <c r="AI784" s="143">
        <f> ( IF(ISNUMBER(G784), VLOOKUP(G784/$AH784,F!$A1:$B101,2,1)*G784*$H784*$I784,0)+IF(ISNUMBER(K784), VLOOKUP(K784/$AH784,F!$A1:$B101,2,1)*K784*$L784*$M784,0)+IF(ISNUMBER(O784), VLOOKUP(O784/$AH784,F!$A1:$B101,2,1)*O784*$P784*$Q784,0)+IF(ISNUMBER(S784), VLOOKUP(S784/$AH784,F!$A1:$B101,2,1)*S784*$T784*$U784,0)+IF(ISNUMBER(W784), VLOOKUP(W784/$AH784,F!$A1:$B101,2,1)*W784*$X784*$Y784,0)+IF(ISNUMBER(AA784), VLOOKUP(AA784/$AH784,F!$A1:$B101,2,1)*AA784*$AB784*$AC784,0))*IF(ISNUMBER(F784),F784,1)*IF(ISNUMBER(E784),E784,1)</f>
        <v>0</v>
      </c>
      <c r="AJ784" s="140">
        <f t="shared" si="1564"/>
        <v>0</v>
      </c>
      <c r="AK784" s="145">
        <f t="array" ref="AK784">IFERROR(I784*INDEX(F!$P$21:$AB$33, MATCH(G784/$AH784, F!$O$21:$O$33,1), MATCH(E784, F!$P$20:$AB$20,1)), 0 ) +IFERROR( M784*INDEX(F!$P$21:$AB$33, MATCH(K784/$AH784, F!$O$21:$O$33,1), MATCH(E784, F!$P$20:$AB$20,1)),0) +  IFERROR( Q784*INDEX(F!$P$21:$AB$33, MATCH(O784/$AH784, F!$O$21:$O$33,1), MATCH(E784, F!$P$20:$AB$20,1)), 0) + IFERROR( U784*INDEX(F!$P$21:$AB$33, MATCH(S784/$AH784, F!$O$21:$O$33,1), MATCH(E784, F!$P$20:$AB$20,1)),0)  + IFERROR(Y784*INDEX(F!$P$21:$AB$33, MATCH(W784/$AH784, F!$O$21:$O$33,1), MATCH(E784, F!$P$20:$AB$20,1)),0)  + IFERROR( AC784*INDEX(F!$P$21:$AB$33, MATCH(AA784/$AH784, F!$O$21:$O$33,1), MATCH(E784, F!$P$20:$AB$20,1)),)</f>
        <v>0</v>
      </c>
      <c r="AL784" s="59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 ht="15.75" hidden="1" customHeight="1">
      <c r="A785" s="98"/>
      <c r="B785" s="188"/>
      <c r="C785" s="189"/>
      <c r="D785" s="190"/>
      <c r="E785" s="102">
        <f>ROUND(IFERROR(SUMPRODUCT(AJ777:AJ784,E777:E784)/AJ785,0),3)</f>
        <v>0</v>
      </c>
      <c r="F785" s="191"/>
      <c r="G785" s="201"/>
      <c r="H785" s="193"/>
      <c r="I785" s="193"/>
      <c r="J785" s="194"/>
      <c r="K785" s="201"/>
      <c r="L785" s="193"/>
      <c r="M785" s="193"/>
      <c r="N785" s="194"/>
      <c r="O785" s="201"/>
      <c r="P785" s="193"/>
      <c r="Q785" s="193"/>
      <c r="R785" s="194"/>
      <c r="S785" s="201"/>
      <c r="T785" s="193"/>
      <c r="U785" s="193"/>
      <c r="V785" s="194"/>
      <c r="W785" s="201"/>
      <c r="X785" s="193"/>
      <c r="Y785" s="193"/>
      <c r="Z785" s="194"/>
      <c r="AA785" s="201"/>
      <c r="AB785" s="193"/>
      <c r="AC785" s="193"/>
      <c r="AD785" s="194"/>
      <c r="AE785" s="107">
        <f>SUM(AE777:AE784)</f>
        <v>0</v>
      </c>
      <c r="AF785" s="108">
        <f t="shared" si="1466"/>
        <v>0</v>
      </c>
      <c r="AG785" s="109">
        <f>IFERROR(  SUMPRODUCT(AG777:AG784,AJ777:AJ784)/AJ785,0)</f>
        <v>0</v>
      </c>
      <c r="AH785" s="157"/>
      <c r="AI785" s="111">
        <f t="shared" ref="AI785:AJ785" si="1571">SUM(AI777:AI784)</f>
        <v>0</v>
      </c>
      <c r="AJ785" s="111">
        <f t="shared" si="1571"/>
        <v>0</v>
      </c>
      <c r="AK785" s="112">
        <f>IF(SUM(AK777:AK784)=0,TIME(,0,),TIME(,SUM(AK777:AK784)+F!$V$37,))</f>
        <v>0</v>
      </c>
      <c r="AL785" s="98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 ht="15.75" hidden="1" customHeight="1">
      <c r="A786" s="5">
        <f>A730</f>
        <v>7</v>
      </c>
      <c r="B786" s="6"/>
      <c r="C786" s="6"/>
      <c r="D786" s="6"/>
      <c r="E786" s="7">
        <f>IF(AJ786=0,0,(E796*AJ796 + E805*AJ805 + E814*AJ814 + E823*AJ823 + E832*AJ832 + E841*AJ841   ) /AJ786 )</f>
        <v>0</v>
      </c>
      <c r="F786" s="8" t="s">
        <v>0</v>
      </c>
      <c r="G786" s="9"/>
      <c r="H786" s="9"/>
      <c r="I786" s="9"/>
      <c r="J786" s="9"/>
      <c r="K786" s="9"/>
      <c r="L786" s="9"/>
      <c r="M786" s="10"/>
      <c r="N786" s="228">
        <f>N730+1</f>
        <v>15</v>
      </c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  <c r="AA786" s="222"/>
      <c r="AB786" s="222"/>
      <c r="AC786" s="222"/>
      <c r="AD786" s="223"/>
      <c r="AE786" s="5">
        <f>AE796+AE805+AE814+AE823+AE832+AE841</f>
        <v>0</v>
      </c>
      <c r="AF786" s="229">
        <f t="shared" si="1466"/>
        <v>0</v>
      </c>
      <c r="AG786" s="230">
        <f>IF(AJ786=0,0,(AG796*AJ796 + AG805*AJ805 + AG814*AJ814 + AG823*AJ823 + AG832*AJ832 + AG841*AJ841   ) /AJ786 )</f>
        <v>0</v>
      </c>
      <c r="AH786" s="210">
        <f>AH730</f>
        <v>0.02</v>
      </c>
      <c r="AI786" s="5">
        <f t="shared" ref="AI786:AK786" si="1572">AI796+AI805+AI814+AI823+AI832+AI841</f>
        <v>0</v>
      </c>
      <c r="AJ786" s="5">
        <f t="shared" si="1572"/>
        <v>0</v>
      </c>
      <c r="AK786" s="231">
        <f t="shared" si="1572"/>
        <v>0</v>
      </c>
      <c r="AL786" s="218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 ht="15.75" hidden="1" customHeight="1">
      <c r="A787" s="19" t="s">
        <v>1</v>
      </c>
      <c r="B787" s="20" t="s">
        <v>2</v>
      </c>
      <c r="C787" s="20" t="s">
        <v>3</v>
      </c>
      <c r="D787" s="20" t="s">
        <v>4</v>
      </c>
      <c r="E787" s="20" t="s">
        <v>5</v>
      </c>
      <c r="F787" s="20" t="s">
        <v>6</v>
      </c>
      <c r="G787" s="20" t="s">
        <v>7</v>
      </c>
      <c r="H787" s="20" t="s">
        <v>8</v>
      </c>
      <c r="I787" s="20" t="s">
        <v>9</v>
      </c>
      <c r="J787" s="20" t="s">
        <v>10</v>
      </c>
      <c r="K787" s="20" t="s">
        <v>7</v>
      </c>
      <c r="L787" s="20" t="s">
        <v>8</v>
      </c>
      <c r="M787" s="20" t="s">
        <v>9</v>
      </c>
      <c r="N787" s="20" t="s">
        <v>10</v>
      </c>
      <c r="O787" s="20" t="s">
        <v>7</v>
      </c>
      <c r="P787" s="20" t="s">
        <v>8</v>
      </c>
      <c r="Q787" s="20" t="s">
        <v>9</v>
      </c>
      <c r="R787" s="20" t="s">
        <v>10</v>
      </c>
      <c r="S787" s="20" t="s">
        <v>7</v>
      </c>
      <c r="T787" s="20" t="s">
        <v>8</v>
      </c>
      <c r="U787" s="20" t="s">
        <v>9</v>
      </c>
      <c r="V787" s="20" t="s">
        <v>10</v>
      </c>
      <c r="W787" s="20" t="s">
        <v>7</v>
      </c>
      <c r="X787" s="20" t="s">
        <v>8</v>
      </c>
      <c r="Y787" s="20" t="s">
        <v>9</v>
      </c>
      <c r="Z787" s="20" t="s">
        <v>10</v>
      </c>
      <c r="AA787" s="20" t="s">
        <v>7</v>
      </c>
      <c r="AB787" s="20" t="s">
        <v>8</v>
      </c>
      <c r="AC787" s="20" t="s">
        <v>9</v>
      </c>
      <c r="AD787" s="21" t="s">
        <v>10</v>
      </c>
      <c r="AE787" s="20" t="s">
        <v>11</v>
      </c>
      <c r="AF787" s="20" t="s">
        <v>12</v>
      </c>
      <c r="AG787" s="20" t="s">
        <v>13</v>
      </c>
      <c r="AH787" s="213" t="s">
        <v>14</v>
      </c>
      <c r="AI787" s="23" t="s">
        <v>15</v>
      </c>
      <c r="AJ787" s="20" t="s">
        <v>16</v>
      </c>
      <c r="AK787" s="21" t="s">
        <v>17</v>
      </c>
      <c r="AL787" s="214" t="s">
        <v>18</v>
      </c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 ht="15.75" hidden="1" customHeight="1">
      <c r="A788" s="25">
        <f>A789</f>
        <v>43878</v>
      </c>
      <c r="B788" s="26" t="str">
        <f t="shared" ref="B788:F788" si="1573">IF(B732="","",B732)</f>
        <v>Средняя</v>
      </c>
      <c r="C788" s="27" t="str">
        <f t="shared" si="1573"/>
        <v>ПР</v>
      </c>
      <c r="D788" s="28" t="str">
        <f t="shared" si="1573"/>
        <v>Присед</v>
      </c>
      <c r="E788" s="29">
        <f t="shared" si="1573"/>
        <v>1.2</v>
      </c>
      <c r="F788" s="30" t="str">
        <f t="shared" si="1573"/>
        <v/>
      </c>
      <c r="G788" s="31" t="str">
        <f t="shared" ref="G788:G795" si="1575">IF(J788&lt;&gt;0, IFERROR(IF( $F788=2,  MROUND($AH788*J788,1),    IF( OR($F788="",$F788=1),   MROUND($AH788*J788,2.5),  MROUND($AH788*J788, 0.1))), "" ), "")</f>
        <v/>
      </c>
      <c r="H788" s="32"/>
      <c r="I788" s="32"/>
      <c r="J788" s="33"/>
      <c r="K788" s="31" t="str">
        <f t="shared" ref="K788:K795" si="1576">IF(N788&lt;&gt;0, IFERROR(IF( $F788=2,  MROUND($AH788*N788,1),    IF( OR($F788="",$F788=1),   MROUND($AH788*N788,2.5),  MROUND($AH788*N788, 0.1))), "" ), "")</f>
        <v/>
      </c>
      <c r="L788" s="32"/>
      <c r="M788" s="32"/>
      <c r="N788" s="33"/>
      <c r="O788" s="31" t="str">
        <f t="shared" ref="O788:O795" si="1577">IF(R788&lt;&gt;0, IFERROR(IF( $F788=2,  MROUND($AH788*R788,1),    IF( OR($F788="",$F788=1),   MROUND($AH788*R788,2.5),  MROUND($AH788*R788, 0.1))), "" ), "")</f>
        <v/>
      </c>
      <c r="P788" s="32"/>
      <c r="Q788" s="32"/>
      <c r="R788" s="33"/>
      <c r="S788" s="31" t="str">
        <f t="shared" ref="S788:S795" si="1578">IF(V788&lt;&gt;0, IFERROR(IF( $F788=2,  MROUND($AH788*V788,1),    IF( OR($F788="",$F788=1),   MROUND($AH788*V788,2.5),  MROUND($AH788*V788, 0.1))), "" ), "")</f>
        <v/>
      </c>
      <c r="T788" s="32"/>
      <c r="U788" s="32"/>
      <c r="V788" s="33"/>
      <c r="W788" s="31" t="str">
        <f t="shared" ref="W788:W795" si="1579">IF(Z788&lt;&gt;0, IFERROR(IF( $F788=2,  MROUND($AH788*Z788,1),    IF( OR($F788="",$F788=1),   MROUND($AH788*Z788,2.5),  MROUND($AH788*Z788, 0.1))), "" ), "")</f>
        <v/>
      </c>
      <c r="X788" s="32"/>
      <c r="Y788" s="32"/>
      <c r="Z788" s="33"/>
      <c r="AA788" s="31" t="str">
        <f t="shared" ref="AA788:AA795" si="1580">IF(AD788&lt;&gt;0, IFERROR(IF( $F788=2,  MROUND($AH788*AD788,1),    IF( OR($F788="",$F788=1),   MROUND($AH788*AD788,2.5),  MROUND($AH788*AD788, 0.1))), "" ), "")</f>
        <v/>
      </c>
      <c r="AB788" s="32"/>
      <c r="AC788" s="32"/>
      <c r="AD788" s="33"/>
      <c r="AE788" s="35">
        <f t="shared" ref="AE788:AE795" si="1581">(IF(ISNUMBER(G788),G788,0)*H788*I788+IF(ISNUMBER(K788),K788,1)*L788*M788+IF(ISNUMBER(O788),O788,1)*P788*Q788+IF(ISNUMBER(S788),S788,1)*T788*U788+IF(ISNUMBER(W788),W788,1)*X788*Y788+IF(ISNUMBER(AA788),AA788,1)*AB788*AC788)*IF(ISNUMBER(F788),F788,1)</f>
        <v>0</v>
      </c>
      <c r="AF788" s="36">
        <f t="shared" ref="AF788:AF842" si="1582">IFERROR(AE788/AJ788,0)</f>
        <v>0</v>
      </c>
      <c r="AG788" s="195">
        <f t="shared" ref="AG788:AG795" si="1583">IFERROR((AF788/(AH788*IF(ISNUMBER(F788),F788,1))),0)</f>
        <v>0</v>
      </c>
      <c r="AH788" s="169">
        <f t="shared" ref="AH788:AH795" si="1584">IF(ISNUMBER(AH732), AH732+(AH732*$AH$786),"")</f>
        <v>178.129633</v>
      </c>
      <c r="AI788" s="70">
        <f> ( IF(ISNUMBER(G788), VLOOKUP(G788/$AH788,F!$A1:$B101,2,1)*G788*$H788*$I788,0)+IF(ISNUMBER(K788), VLOOKUP(K788/$AH788,F!$A1:$B101,2,1)*K788*$L788*$M788,0)+IF(ISNUMBER(O788), VLOOKUP(O788/$AH788,F!$A1:$B101,2,1)*O788*$P788*$Q788,0)+IF(ISNUMBER(S788), VLOOKUP(S788/$AH788,F!$A1:$B101,2,1)*S788*$T788*$U788,0)+IF(ISNUMBER(W788), VLOOKUP(W788/$AH788,F!$A1:$B101,2,1)*W788*$X788*$Y788,0)+IF(ISNUMBER(AA788), VLOOKUP(AA788/$AH788,F!$A1:$B101,2,1)*AA788*$AB788*$AC788,0))*IF(ISNUMBER(F788),F788,1)*IF(ISNUMBER(E788),E788,1)</f>
        <v>0</v>
      </c>
      <c r="AJ788" s="40">
        <f t="shared" ref="AJ788:AJ795" si="1585">H788*I788+L788*M788+P788*Q788+T788*U788+X788*Y788+AB788*AC788</f>
        <v>0</v>
      </c>
      <c r="AK788" s="41">
        <f t="array" ref="AK788">IFERROR(I788*INDEX(F!$P$21:$AB$33, MATCH(G788/$AH788, F!$O$21:$O$33,1), MATCH(E788, F!$P$20:$AB$20,1)), 0 ) +IFERROR( M788*INDEX(F!$P$21:$AB$33, MATCH(K788/$AH788, F!$O$21:$O$33,1), MATCH(E788, F!$P$20:$AB$20,1)),0) +  IFERROR( Q788*INDEX(F!$P$21:$AB$33, MATCH(O788/$AH788, F!$O$21:$O$33,1), MATCH(E788, F!$P$20:$AB$20,1)), 0) + IFERROR( U788*INDEX(F!$P$21:$AB$33, MATCH(S788/$AH788, F!$O$21:$O$33,1), MATCH(E788, F!$P$20:$AB$20,1)),0)  + IFERROR(Y788*INDEX(F!$P$21:$AB$33, MATCH(W788/$AH788, F!$O$21:$O$33,1), MATCH(E788, F!$P$20:$AB$20,1)),0)  + IFERROR( AC788*INDEX(F!$P$21:$AB$33, MATCH(AA788/$AH788, F!$O$21:$O$33,1), MATCH(E788, F!$P$20:$AB$20,1)),)</f>
        <v>0</v>
      </c>
      <c r="AL788" s="42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 ht="15.75" hidden="1" customHeight="1">
      <c r="A789" s="44">
        <f>A733+A730</f>
        <v>43878</v>
      </c>
      <c r="B789" s="45" t="str">
        <f t="shared" ref="B789:F789" si="1574">IF(B733="","",B733)</f>
        <v>Средняя</v>
      </c>
      <c r="C789" s="46" t="str">
        <f t="shared" si="1574"/>
        <v>ЖМ</v>
      </c>
      <c r="D789" s="47" t="str">
        <f t="shared" si="1574"/>
        <v>Жим лежа</v>
      </c>
      <c r="E789" s="48">
        <f t="shared" si="1574"/>
        <v>1</v>
      </c>
      <c r="F789" s="49" t="str">
        <f t="shared" si="1574"/>
        <v/>
      </c>
      <c r="G789" s="50" t="str">
        <f t="shared" si="1575"/>
        <v/>
      </c>
      <c r="H789" s="51"/>
      <c r="I789" s="51"/>
      <c r="J789" s="52"/>
      <c r="K789" s="50" t="str">
        <f t="shared" si="1576"/>
        <v/>
      </c>
      <c r="L789" s="51"/>
      <c r="M789" s="51"/>
      <c r="N789" s="52"/>
      <c r="O789" s="50" t="str">
        <f t="shared" si="1577"/>
        <v/>
      </c>
      <c r="P789" s="51"/>
      <c r="Q789" s="51"/>
      <c r="R789" s="52"/>
      <c r="S789" s="50" t="str">
        <f t="shared" si="1578"/>
        <v/>
      </c>
      <c r="T789" s="51"/>
      <c r="U789" s="51"/>
      <c r="V789" s="52"/>
      <c r="W789" s="50" t="str">
        <f t="shared" si="1579"/>
        <v/>
      </c>
      <c r="X789" s="51"/>
      <c r="Y789" s="51"/>
      <c r="Z789" s="52"/>
      <c r="AA789" s="50" t="str">
        <f t="shared" si="1580"/>
        <v/>
      </c>
      <c r="AB789" s="51"/>
      <c r="AC789" s="51"/>
      <c r="AD789" s="52"/>
      <c r="AE789" s="53">
        <f t="shared" si="1581"/>
        <v>0</v>
      </c>
      <c r="AF789" s="54">
        <f t="shared" si="1582"/>
        <v>0</v>
      </c>
      <c r="AG789" s="75">
        <f t="shared" si="1583"/>
        <v>0</v>
      </c>
      <c r="AH789" s="76">
        <f t="shared" si="1584"/>
        <v>125.3504825</v>
      </c>
      <c r="AI789" s="77">
        <f> ( IF(ISNUMBER(G789), VLOOKUP(G789/$AH789,F!$A1:$B101,2,1)*G789*$H789*$I789,0)+IF(ISNUMBER(K789), VLOOKUP(K789/$AH789,F!$A1:$B101,2,1)*K789*$L789*$M789,0)+IF(ISNUMBER(O789), VLOOKUP(O789/$AH789,F!$A1:$B101,2,1)*O789*$P789*$Q789,0)+IF(ISNUMBER(S789), VLOOKUP(S789/$AH789,F!$A1:$B101,2,1)*S789*$T789*$U789,0)+IF(ISNUMBER(W789), VLOOKUP(W789/$AH789,F!$A1:$B101,2,1)*W789*$X789*$Y789,0)+IF(ISNUMBER(AA789), VLOOKUP(AA789/$AH789,F!$A1:$B101,2,1)*AA789*$AB789*$AC789,0))*IF(ISNUMBER(F789),F789,1)*IF(ISNUMBER(E789),E789,1)</f>
        <v>0</v>
      </c>
      <c r="AJ789" s="57">
        <f t="shared" si="1585"/>
        <v>0</v>
      </c>
      <c r="AK789" s="58">
        <f t="array" ref="AK789">IFERROR(I789*INDEX(F!$P$21:$AB$33, MATCH(G789/$AH789, F!$O$21:$O$33,1), MATCH(E789, F!$P$20:$AB$20,1)), 0 ) +IFERROR( M789*INDEX(F!$P$21:$AB$33, MATCH(K789/$AH789, F!$O$21:$O$33,1), MATCH(E789, F!$P$20:$AB$20,1)),0) +  IFERROR( Q789*INDEX(F!$P$21:$AB$33, MATCH(O789/$AH789, F!$O$21:$O$33,1), MATCH(E789, F!$P$20:$AB$20,1)), 0) + IFERROR( U789*INDEX(F!$P$21:$AB$33, MATCH(S789/$AH789, F!$O$21:$O$33,1), MATCH(E789, F!$P$20:$AB$20,1)),0)  + IFERROR(Y789*INDEX(F!$P$21:$AB$33, MATCH(W789/$AH789, F!$O$21:$O$33,1), MATCH(E789, F!$P$20:$AB$20,1)),0)  + IFERROR( AC789*INDEX(F!$P$21:$AB$33, MATCH(AA789/$AH789, F!$O$21:$O$33,1), MATCH(E789, F!$P$20:$AB$20,1)),)</f>
        <v>0</v>
      </c>
      <c r="AL789" s="59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 ht="15.75" hidden="1" customHeight="1">
      <c r="A790" s="59"/>
      <c r="B790" s="60" t="str">
        <f t="shared" ref="B790:F790" si="1586">IF(B734="","",B734)</f>
        <v>Тяжелая</v>
      </c>
      <c r="C790" s="61" t="str">
        <f t="shared" si="1586"/>
        <v>ПР</v>
      </c>
      <c r="D790" s="62" t="str">
        <f t="shared" si="1586"/>
        <v>Присед</v>
      </c>
      <c r="E790" s="48">
        <f t="shared" si="1586"/>
        <v>1.2</v>
      </c>
      <c r="F790" s="63" t="str">
        <f t="shared" si="1586"/>
        <v/>
      </c>
      <c r="G790" s="64" t="str">
        <f t="shared" si="1575"/>
        <v/>
      </c>
      <c r="H790" s="34"/>
      <c r="I790" s="34"/>
      <c r="J790" s="65"/>
      <c r="K790" s="64" t="str">
        <f t="shared" si="1576"/>
        <v/>
      </c>
      <c r="L790" s="34"/>
      <c r="M790" s="34"/>
      <c r="N790" s="65"/>
      <c r="O790" s="64" t="str">
        <f t="shared" si="1577"/>
        <v/>
      </c>
      <c r="P790" s="34"/>
      <c r="Q790" s="34"/>
      <c r="R790" s="65"/>
      <c r="S790" s="64" t="str">
        <f t="shared" si="1578"/>
        <v/>
      </c>
      <c r="T790" s="34"/>
      <c r="U790" s="34"/>
      <c r="V790" s="65"/>
      <c r="W790" s="64" t="str">
        <f t="shared" si="1579"/>
        <v/>
      </c>
      <c r="X790" s="34"/>
      <c r="Y790" s="34"/>
      <c r="Z790" s="65"/>
      <c r="AA790" s="64" t="str">
        <f t="shared" si="1580"/>
        <v/>
      </c>
      <c r="AB790" s="34"/>
      <c r="AC790" s="34"/>
      <c r="AD790" s="65"/>
      <c r="AE790" s="66">
        <f t="shared" si="1581"/>
        <v>0</v>
      </c>
      <c r="AF790" s="67">
        <f t="shared" si="1582"/>
        <v>0</v>
      </c>
      <c r="AG790" s="68">
        <f t="shared" si="1583"/>
        <v>0</v>
      </c>
      <c r="AH790" s="76">
        <f t="shared" si="1584"/>
        <v>178.129633</v>
      </c>
      <c r="AI790" s="70">
        <f> ( IF(ISNUMBER(G790), VLOOKUP(G790/$AH790,F!$A1:$B101,2,1)*G790*$H790*$I790,0)+IF(ISNUMBER(K790), VLOOKUP(K790/$AH790,F!$A1:$B101,2,1)*K790*$L790*$M790,0)+IF(ISNUMBER(O790), VLOOKUP(O790/$AH790,F!$A1:$B101,2,1)*O790*$P790*$Q790,0)+IF(ISNUMBER(S790), VLOOKUP(S790/$AH790,F!$A1:$B101,2,1)*S790*$T790*$U790,0)+IF(ISNUMBER(W790), VLOOKUP(W790/$AH790,F!$A1:$B101,2,1)*W790*$X790*$Y790,0)+IF(ISNUMBER(AA790), VLOOKUP(AA790/$AH790,F!$A1:$B101,2,1)*AA790*$AB790*$AC790,0))*IF(ISNUMBER(F790),F790,1)*IF(ISNUMBER(E790),E790,1)</f>
        <v>0</v>
      </c>
      <c r="AJ790" s="71">
        <f t="shared" si="1585"/>
        <v>0</v>
      </c>
      <c r="AK790" s="72">
        <f t="array" ref="AK790">IFERROR(I790*INDEX(F!$P$21:$AB$33, MATCH(G790/$AH790, F!$O$21:$O$33,1), MATCH(E790, F!$P$20:$AB$20,1)), 0 ) +IFERROR( M790*INDEX(F!$P$21:$AB$33, MATCH(K790/$AH790, F!$O$21:$O$33,1), MATCH(E790, F!$P$20:$AB$20,1)),0) +  IFERROR( Q790*INDEX(F!$P$21:$AB$33, MATCH(O790/$AH790, F!$O$21:$O$33,1), MATCH(E790, F!$P$20:$AB$20,1)), 0) + IFERROR( U790*INDEX(F!$P$21:$AB$33, MATCH(S790/$AH790, F!$O$21:$O$33,1), MATCH(E790, F!$P$20:$AB$20,1)),0)  + IFERROR(Y790*INDEX(F!$P$21:$AB$33, MATCH(W790/$AH790, F!$O$21:$O$33,1), MATCH(E790, F!$P$20:$AB$20,1)),0)  + IFERROR( AC790*INDEX(F!$P$21:$AB$33, MATCH(AA790/$AH790, F!$O$21:$O$33,1), MATCH(E790, F!$P$20:$AB$20,1)),)</f>
        <v>0</v>
      </c>
      <c r="AL790" s="59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 ht="15.75" hidden="1" customHeight="1">
      <c r="A791" s="59"/>
      <c r="B791" s="215" t="str">
        <f t="shared" ref="B791:F791" si="1587">IF(B735="","",B735)</f>
        <v>Средняя</v>
      </c>
      <c r="C791" s="73" t="str">
        <f t="shared" si="1587"/>
        <v>ЖМ</v>
      </c>
      <c r="D791" s="47" t="str">
        <f t="shared" si="1587"/>
        <v>Жим гантелей</v>
      </c>
      <c r="E791" s="48">
        <f t="shared" si="1587"/>
        <v>1</v>
      </c>
      <c r="F791" s="74">
        <f t="shared" si="1587"/>
        <v>2</v>
      </c>
      <c r="G791" s="50" t="str">
        <f t="shared" si="1575"/>
        <v/>
      </c>
      <c r="H791" s="51"/>
      <c r="I791" s="51"/>
      <c r="J791" s="52"/>
      <c r="K791" s="50" t="str">
        <f t="shared" si="1576"/>
        <v/>
      </c>
      <c r="L791" s="51"/>
      <c r="M791" s="51"/>
      <c r="N791" s="52"/>
      <c r="O791" s="50" t="str">
        <f t="shared" si="1577"/>
        <v/>
      </c>
      <c r="P791" s="51"/>
      <c r="Q791" s="51"/>
      <c r="R791" s="52"/>
      <c r="S791" s="50" t="str">
        <f t="shared" si="1578"/>
        <v/>
      </c>
      <c r="T791" s="51"/>
      <c r="U791" s="51"/>
      <c r="V791" s="52"/>
      <c r="W791" s="50" t="str">
        <f t="shared" si="1579"/>
        <v/>
      </c>
      <c r="X791" s="51"/>
      <c r="Y791" s="51"/>
      <c r="Z791" s="52"/>
      <c r="AA791" s="50" t="str">
        <f t="shared" si="1580"/>
        <v/>
      </c>
      <c r="AB791" s="51"/>
      <c r="AC791" s="51"/>
      <c r="AD791" s="52"/>
      <c r="AE791" s="53">
        <f t="shared" si="1581"/>
        <v>0</v>
      </c>
      <c r="AF791" s="54">
        <f t="shared" si="1582"/>
        <v>0</v>
      </c>
      <c r="AG791" s="75">
        <f t="shared" si="1583"/>
        <v>0</v>
      </c>
      <c r="AH791" s="76">
        <f t="shared" si="1584"/>
        <v>40.1121544</v>
      </c>
      <c r="AI791" s="77">
        <f> ( IF(ISNUMBER(G791), VLOOKUP(G791/$AH791,F!$A1:$B101,2,1)*G791*$H791*$I791,0)+IF(ISNUMBER(K791), VLOOKUP(K791/$AH791,F!$A1:$B101,2,1)*K791*$L791*$M791,0)+IF(ISNUMBER(O791), VLOOKUP(O791/$AH791,F!$A1:$B101,2,1)*O791*$P791*$Q791,0)+IF(ISNUMBER(S791), VLOOKUP(S791/$AH791,F!$A1:$B101,2,1)*S791*$T791*$U791,0)+IF(ISNUMBER(W791), VLOOKUP(W791/$AH791,F!$A1:$B101,2,1)*W791*$X791*$Y791,0)+IF(ISNUMBER(AA791), VLOOKUP(AA791/$AH791,F!$A1:$B101,2,1)*AA791*$AB791*$AC791,0))*IF(ISNUMBER(F791),F791,1)*IF(ISNUMBER(E791),E791,1)</f>
        <v>0</v>
      </c>
      <c r="AJ791" s="57">
        <f t="shared" si="1585"/>
        <v>0</v>
      </c>
      <c r="AK791" s="58">
        <f t="array" ref="AK791">IFERROR(I791*INDEX(F!$P$21:$AB$33, MATCH(G791/$AH791, F!$O$21:$O$33,1), MATCH(E791, F!$P$20:$AB$20,1)), 0 ) +IFERROR( M791*INDEX(F!$P$21:$AB$33, MATCH(K791/$AH791, F!$O$21:$O$33,1), MATCH(E791, F!$P$20:$AB$20,1)),0) +  IFERROR( Q791*INDEX(F!$P$21:$AB$33, MATCH(O791/$AH791, F!$O$21:$O$33,1), MATCH(E791, F!$P$20:$AB$20,1)), 0) + IFERROR( U791*INDEX(F!$P$21:$AB$33, MATCH(S791/$AH791, F!$O$21:$O$33,1), MATCH(E791, F!$P$20:$AB$20,1)),0)  + IFERROR(Y791*INDEX(F!$P$21:$AB$33, MATCH(W791/$AH791, F!$O$21:$O$33,1), MATCH(E791, F!$P$20:$AB$20,1)),0)  + IFERROR( AC791*INDEX(F!$P$21:$AB$33, MATCH(AA791/$AH791, F!$O$21:$O$33,1), MATCH(E791, F!$P$20:$AB$20,1)),)</f>
        <v>0</v>
      </c>
      <c r="AL791" s="59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 ht="15.75" hidden="1" customHeight="1">
      <c r="A792" s="59"/>
      <c r="B792" s="216" t="str">
        <f t="shared" ref="B792:F792" si="1588">IF(B736="","",B736)</f>
        <v>Средняя</v>
      </c>
      <c r="C792" s="78" t="str">
        <f t="shared" si="1588"/>
        <v>ОФП</v>
      </c>
      <c r="D792" s="62" t="str">
        <f t="shared" si="1588"/>
        <v>Французский жим</v>
      </c>
      <c r="E792" s="48">
        <f t="shared" si="1588"/>
        <v>0.4</v>
      </c>
      <c r="F792" s="79" t="str">
        <f t="shared" si="1588"/>
        <v/>
      </c>
      <c r="G792" s="64" t="str">
        <f t="shared" si="1575"/>
        <v/>
      </c>
      <c r="H792" s="34"/>
      <c r="I792" s="34"/>
      <c r="J792" s="65"/>
      <c r="K792" s="64" t="str">
        <f t="shared" si="1576"/>
        <v/>
      </c>
      <c r="L792" s="34"/>
      <c r="M792" s="34"/>
      <c r="N792" s="65"/>
      <c r="O792" s="64" t="str">
        <f t="shared" si="1577"/>
        <v/>
      </c>
      <c r="P792" s="34"/>
      <c r="Q792" s="34"/>
      <c r="R792" s="65"/>
      <c r="S792" s="64" t="str">
        <f t="shared" si="1578"/>
        <v/>
      </c>
      <c r="T792" s="34"/>
      <c r="U792" s="34"/>
      <c r="V792" s="65"/>
      <c r="W792" s="64" t="str">
        <f t="shared" si="1579"/>
        <v/>
      </c>
      <c r="X792" s="34"/>
      <c r="Y792" s="34"/>
      <c r="Z792" s="65"/>
      <c r="AA792" s="64" t="str">
        <f t="shared" si="1580"/>
        <v/>
      </c>
      <c r="AB792" s="34"/>
      <c r="AC792" s="34"/>
      <c r="AD792" s="65"/>
      <c r="AE792" s="66">
        <f t="shared" si="1581"/>
        <v>0</v>
      </c>
      <c r="AF792" s="67">
        <f t="shared" si="1582"/>
        <v>0</v>
      </c>
      <c r="AG792" s="68">
        <f t="shared" si="1583"/>
        <v>0</v>
      </c>
      <c r="AH792" s="76">
        <f t="shared" si="1584"/>
        <v>57.66122195</v>
      </c>
      <c r="AI792" s="70">
        <f> ( IF(ISNUMBER(G792), VLOOKUP(G792/$AH792,F!$A1:$B101,2,1)*G792*$H792*$I792,0)+IF(ISNUMBER(K792), VLOOKUP(K792/$AH792,F!$A1:$B101,2,1)*K792*$L792*$M792,0)+IF(ISNUMBER(O792), VLOOKUP(O792/$AH792,F!$A1:$B101,2,1)*O792*$P792*$Q792,0)+IF(ISNUMBER(S792), VLOOKUP(S792/$AH792,F!$A1:$B101,2,1)*S792*$T792*$U792,0)+IF(ISNUMBER(W792), VLOOKUP(W792/$AH792,F!$A1:$B101,2,1)*W792*$X792*$Y792,0)+IF(ISNUMBER(AA792), VLOOKUP(AA792/$AH792,F!$A1:$B101,2,1)*AA792*$AB792*$AC792,0))*IF(ISNUMBER(F792),F792,1)*IF(ISNUMBER(E792),E792,1)</f>
        <v>0</v>
      </c>
      <c r="AJ792" s="71">
        <f t="shared" si="1585"/>
        <v>0</v>
      </c>
      <c r="AK792" s="72">
        <f t="array" ref="AK792">IFERROR(I792*INDEX(F!$P$21:$AB$33, MATCH(G792/$AH792, F!$O$21:$O$33,1), MATCH(E792, F!$P$20:$AB$20,1)), 0 ) +IFERROR( M792*INDEX(F!$P$21:$AB$33, MATCH(K792/$AH792, F!$O$21:$O$33,1), MATCH(E792, F!$P$20:$AB$20,1)),0) +  IFERROR( Q792*INDEX(F!$P$21:$AB$33, MATCH(O792/$AH792, F!$O$21:$O$33,1), MATCH(E792, F!$P$20:$AB$20,1)), 0) + IFERROR( U792*INDEX(F!$P$21:$AB$33, MATCH(S792/$AH792, F!$O$21:$O$33,1), MATCH(E792, F!$P$20:$AB$20,1)),0)  + IFERROR(Y792*INDEX(F!$P$21:$AB$33, MATCH(W792/$AH792, F!$O$21:$O$33,1), MATCH(E792, F!$P$20:$AB$20,1)),0)  + IFERROR( AC792*INDEX(F!$P$21:$AB$33, MATCH(AA792/$AH792, F!$O$21:$O$33,1), MATCH(E792, F!$P$20:$AB$20,1)),)</f>
        <v>0</v>
      </c>
      <c r="AL792" s="59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 ht="15.75" hidden="1" customHeight="1">
      <c r="A793" s="59"/>
      <c r="B793" s="45" t="str">
        <f t="shared" ref="B793:F793" si="1589">IF(B737="","",B737)</f>
        <v/>
      </c>
      <c r="C793" s="46" t="str">
        <f t="shared" si="1589"/>
        <v/>
      </c>
      <c r="D793" s="197" t="str">
        <f t="shared" si="1589"/>
        <v/>
      </c>
      <c r="E793" s="48" t="str">
        <f t="shared" si="1589"/>
        <v/>
      </c>
      <c r="F793" s="83" t="str">
        <f t="shared" si="1589"/>
        <v/>
      </c>
      <c r="G793" s="50" t="str">
        <f t="shared" si="1575"/>
        <v/>
      </c>
      <c r="H793" s="51"/>
      <c r="I793" s="51"/>
      <c r="J793" s="52"/>
      <c r="K793" s="50" t="str">
        <f t="shared" si="1576"/>
        <v/>
      </c>
      <c r="L793" s="51"/>
      <c r="M793" s="51"/>
      <c r="N793" s="52"/>
      <c r="O793" s="50" t="str">
        <f t="shared" si="1577"/>
        <v/>
      </c>
      <c r="P793" s="51"/>
      <c r="Q793" s="51"/>
      <c r="R793" s="52"/>
      <c r="S793" s="50" t="str">
        <f t="shared" si="1578"/>
        <v/>
      </c>
      <c r="T793" s="51"/>
      <c r="U793" s="51"/>
      <c r="V793" s="52"/>
      <c r="W793" s="50" t="str">
        <f t="shared" si="1579"/>
        <v/>
      </c>
      <c r="X793" s="51"/>
      <c r="Y793" s="51"/>
      <c r="Z793" s="52"/>
      <c r="AA793" s="50" t="str">
        <f t="shared" si="1580"/>
        <v/>
      </c>
      <c r="AB793" s="51"/>
      <c r="AC793" s="51"/>
      <c r="AD793" s="52"/>
      <c r="AE793" s="53">
        <f t="shared" si="1581"/>
        <v>0</v>
      </c>
      <c r="AF793" s="54">
        <f t="shared" si="1582"/>
        <v>0</v>
      </c>
      <c r="AG793" s="75">
        <f t="shared" si="1583"/>
        <v>0</v>
      </c>
      <c r="AH793" s="76" t="str">
        <f t="shared" si="1584"/>
        <v/>
      </c>
      <c r="AI793" s="77">
        <f> ( IF(ISNUMBER(G793), VLOOKUP(G793/$AH793,F!$A1:$B101,2,1)*G793*$H793*$I793,0)+IF(ISNUMBER(K793), VLOOKUP(K793/$AH793,F!$A1:$B101,2,1)*K793*$L793*$M793,0)+IF(ISNUMBER(O793), VLOOKUP(O793/$AH793,F!$A1:$B101,2,1)*O793*$P793*$Q793,0)+IF(ISNUMBER(S793), VLOOKUP(S793/$AH793,F!$A1:$B101,2,1)*S793*$T793*$U793,0)+IF(ISNUMBER(W793), VLOOKUP(W793/$AH793,F!$A1:$B101,2,1)*W793*$X793*$Y793,0)+IF(ISNUMBER(AA793), VLOOKUP(AA793/$AH793,F!$A1:$B101,2,1)*AA793*$AB793*$AC793,0))*IF(ISNUMBER(F793),F793,1)*IF(ISNUMBER(E793),E793,1)</f>
        <v>0</v>
      </c>
      <c r="AJ793" s="86">
        <f t="shared" si="1585"/>
        <v>0</v>
      </c>
      <c r="AK793" s="58">
        <f t="array" ref="AK793">IFERROR(I793*INDEX(F!$P$21:$AB$33, MATCH(G793/$AH793, F!$O$21:$O$33,1), MATCH(E793, F!$P$20:$AB$20,1)), 0 ) +IFERROR( M793*INDEX(F!$P$21:$AB$33, MATCH(K793/$AH793, F!$O$21:$O$33,1), MATCH(E793, F!$P$20:$AB$20,1)),0) +  IFERROR( Q793*INDEX(F!$P$21:$AB$33, MATCH(O793/$AH793, F!$O$21:$O$33,1), MATCH(E793, F!$P$20:$AB$20,1)), 0) + IFERROR( U793*INDEX(F!$P$21:$AB$33, MATCH(S793/$AH793, F!$O$21:$O$33,1), MATCH(E793, F!$P$20:$AB$20,1)),0)  + IFERROR(Y793*INDEX(F!$P$21:$AB$33, MATCH(W793/$AH793, F!$O$21:$O$33,1), MATCH(E793, F!$P$20:$AB$20,1)),0)  + IFERROR( AC793*INDEX(F!$P$21:$AB$33, MATCH(AA793/$AH793, F!$O$21:$O$33,1), MATCH(E793, F!$P$20:$AB$20,1)),)</f>
        <v>0</v>
      </c>
      <c r="AL793" s="59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 ht="15.0" hidden="1" customHeight="1">
      <c r="A794" s="59"/>
      <c r="B794" s="60" t="str">
        <f t="shared" ref="B794:F794" si="1590">IF(B738="","",B738)</f>
        <v/>
      </c>
      <c r="C794" s="61" t="str">
        <f t="shared" si="1590"/>
        <v/>
      </c>
      <c r="D794" s="198" t="str">
        <f t="shared" si="1590"/>
        <v/>
      </c>
      <c r="E794" s="48" t="str">
        <f t="shared" si="1590"/>
        <v/>
      </c>
      <c r="F794" s="79" t="str">
        <f t="shared" si="1590"/>
        <v/>
      </c>
      <c r="G794" s="64" t="str">
        <f t="shared" si="1575"/>
        <v/>
      </c>
      <c r="H794" s="34"/>
      <c r="I794" s="34"/>
      <c r="J794" s="65"/>
      <c r="K794" s="64" t="str">
        <f t="shared" si="1576"/>
        <v/>
      </c>
      <c r="L794" s="34"/>
      <c r="M794" s="34"/>
      <c r="N794" s="65"/>
      <c r="O794" s="64" t="str">
        <f t="shared" si="1577"/>
        <v/>
      </c>
      <c r="P794" s="34"/>
      <c r="Q794" s="34"/>
      <c r="R794" s="65"/>
      <c r="S794" s="64" t="str">
        <f t="shared" si="1578"/>
        <v/>
      </c>
      <c r="T794" s="34"/>
      <c r="U794" s="34"/>
      <c r="V794" s="65"/>
      <c r="W794" s="64" t="str">
        <f t="shared" si="1579"/>
        <v/>
      </c>
      <c r="X794" s="34"/>
      <c r="Y794" s="34"/>
      <c r="Z794" s="65"/>
      <c r="AA794" s="64" t="str">
        <f t="shared" si="1580"/>
        <v/>
      </c>
      <c r="AB794" s="34"/>
      <c r="AC794" s="34"/>
      <c r="AD794" s="65"/>
      <c r="AE794" s="66">
        <f t="shared" si="1581"/>
        <v>0</v>
      </c>
      <c r="AF794" s="67">
        <f t="shared" si="1582"/>
        <v>0</v>
      </c>
      <c r="AG794" s="68">
        <f t="shared" si="1583"/>
        <v>0</v>
      </c>
      <c r="AH794" s="76" t="str">
        <f t="shared" si="1584"/>
        <v/>
      </c>
      <c r="AI794" s="90">
        <f> ( IF(ISNUMBER(G794), VLOOKUP(G794/$AH794,F!$A1:$B101,2,1)*G794*$H794*$I794,0)+IF(ISNUMBER(K794), VLOOKUP(K794/$AH794,F!$A1:$B101,2,1)*K794*$L794*$M794,0)+IF(ISNUMBER(O794), VLOOKUP(O794/$AH794,F!$A1:$B101,2,1)*O794*$P794*$Q794,0)+IF(ISNUMBER(S794), VLOOKUP(S794/$AH794,F!$A1:$B101,2,1)*S794*$T794*$U794,0)+IF(ISNUMBER(W794), VLOOKUP(W794/$AH794,F!$A1:$B101,2,1)*W794*$X794*$Y794,0)+IF(ISNUMBER(AA794), VLOOKUP(AA794/$AH794,F!$A1:$B101,2,1)*AA794*$AB794*$AC794,0))*IF(ISNUMBER(F794),F794,1)*IF(ISNUMBER(E794),E794,1)</f>
        <v>0</v>
      </c>
      <c r="AJ794" s="34">
        <f t="shared" si="1585"/>
        <v>0</v>
      </c>
      <c r="AK794" s="91">
        <f t="array" ref="AK794">IFERROR(I794*INDEX(F!$P$21:$AB$33, MATCH(G794/$AH794, F!$O$21:$O$33,1), MATCH(E794, F!$P$20:$AB$20,1)), 0 ) +IFERROR( M794*INDEX(F!$P$21:$AB$33, MATCH(K794/$AH794, F!$O$21:$O$33,1), MATCH(E794, F!$P$20:$AB$20,1)),0) +  IFERROR( Q794*INDEX(F!$P$21:$AB$33, MATCH(O794/$AH794, F!$O$21:$O$33,1), MATCH(E794, F!$P$20:$AB$20,1)), 0) + IFERROR( U794*INDEX(F!$P$21:$AB$33, MATCH(S794/$AH794, F!$O$21:$O$33,1), MATCH(E794, F!$P$20:$AB$20,1)),0)  + IFERROR(Y794*INDEX(F!$P$21:$AB$33, MATCH(W794/$AH794, F!$O$21:$O$33,1), MATCH(E794, F!$P$20:$AB$20,1)),0)  + IFERROR( AC794*INDEX(F!$P$21:$AB$33, MATCH(AA794/$AH794, F!$O$21:$O$33,1), MATCH(E794, F!$P$20:$AB$20,1)),)</f>
        <v>0</v>
      </c>
      <c r="AL794" s="59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 ht="15.0" hidden="1" customHeight="1">
      <c r="A795" s="59"/>
      <c r="B795" s="45" t="str">
        <f t="shared" ref="B795:F795" si="1591">IF(B739="","",B739)</f>
        <v/>
      </c>
      <c r="C795" s="46" t="str">
        <f t="shared" si="1591"/>
        <v/>
      </c>
      <c r="D795" s="92" t="str">
        <f t="shared" si="1591"/>
        <v/>
      </c>
      <c r="E795" s="48" t="str">
        <f t="shared" si="1591"/>
        <v/>
      </c>
      <c r="F795" s="74" t="str">
        <f t="shared" si="1591"/>
        <v/>
      </c>
      <c r="G795" s="50" t="str">
        <f t="shared" si="1575"/>
        <v/>
      </c>
      <c r="H795" s="51"/>
      <c r="I795" s="51"/>
      <c r="J795" s="52"/>
      <c r="K795" s="50" t="str">
        <f t="shared" si="1576"/>
        <v/>
      </c>
      <c r="L795" s="51"/>
      <c r="M795" s="51"/>
      <c r="N795" s="52"/>
      <c r="O795" s="50" t="str">
        <f t="shared" si="1577"/>
        <v/>
      </c>
      <c r="P795" s="51"/>
      <c r="Q795" s="51"/>
      <c r="R795" s="52"/>
      <c r="S795" s="50" t="str">
        <f t="shared" si="1578"/>
        <v/>
      </c>
      <c r="T795" s="51"/>
      <c r="U795" s="51"/>
      <c r="V795" s="52"/>
      <c r="W795" s="50" t="str">
        <f t="shared" si="1579"/>
        <v/>
      </c>
      <c r="X795" s="51"/>
      <c r="Y795" s="51"/>
      <c r="Z795" s="52"/>
      <c r="AA795" s="50" t="str">
        <f t="shared" si="1580"/>
        <v/>
      </c>
      <c r="AB795" s="51"/>
      <c r="AC795" s="51"/>
      <c r="AD795" s="52"/>
      <c r="AE795" s="53">
        <f t="shared" si="1581"/>
        <v>0</v>
      </c>
      <c r="AF795" s="93">
        <f t="shared" si="1582"/>
        <v>0</v>
      </c>
      <c r="AG795" s="94">
        <f t="shared" si="1583"/>
        <v>0</v>
      </c>
      <c r="AH795" s="76" t="str">
        <f t="shared" si="1584"/>
        <v/>
      </c>
      <c r="AI795" s="95">
        <f> ( IF(ISNUMBER(G795), VLOOKUP(G795/$AH795,F!$A1:$B101,2,1)*G795*$H795*$I795,0)+IF(ISNUMBER(K795), VLOOKUP(K795/$AH795,F!$A1:$B101,2,1)*K795*$L795*$M795,0)+IF(ISNUMBER(O795), VLOOKUP(O795/$AH795,F!$A1:$B101,2,1)*O795*$P795*$Q795,0)+IF(ISNUMBER(S795), VLOOKUP(S795/$AH795,F!$A1:$B101,2,1)*S795*$T795*$U795,0)+IF(ISNUMBER(W795), VLOOKUP(W795/$AH795,F!$A1:$B101,2,1)*W795*$X795*$Y795,0)+IF(ISNUMBER(AA795), VLOOKUP(AA795/$AH795,F!$A1:$B101,2,1)*AA795*$AB795*$AC795,0))*IF(ISNUMBER(F795),F795,1)*IF(ISNUMBER(E795),E795,1)</f>
        <v>0</v>
      </c>
      <c r="AJ795" s="96">
        <f t="shared" si="1585"/>
        <v>0</v>
      </c>
      <c r="AK795" s="97">
        <f t="array" ref="AK795">IFERROR(I795*INDEX(F!$P$21:$AB$33, MATCH(G795/$AH795, F!$O$21:$O$33,1), MATCH(E795, F!$P$20:$AB$20,1)), 0 ) +IFERROR( M795*INDEX(F!$P$21:$AB$33, MATCH(K795/$AH795, F!$O$21:$O$33,1), MATCH(E795, F!$P$20:$AB$20,1)),0) +  IFERROR( Q795*INDEX(F!$P$21:$AB$33, MATCH(O795/$AH795, F!$O$21:$O$33,1), MATCH(E795, F!$P$20:$AB$20,1)), 0) + IFERROR( U795*INDEX(F!$P$21:$AB$33, MATCH(S795/$AH795, F!$O$21:$O$33,1), MATCH(E795, F!$P$20:$AB$20,1)),0)  + IFERROR(Y795*INDEX(F!$P$21:$AB$33, MATCH(W795/$AH795, F!$O$21:$O$33,1), MATCH(E795, F!$P$20:$AB$20,1)),0)  + IFERROR( AC795*INDEX(F!$P$21:$AB$33, MATCH(AA795/$AH795, F!$O$21:$O$33,1), MATCH(E795, F!$P$20:$AB$20,1)),)</f>
        <v>0</v>
      </c>
      <c r="AL795" s="59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 ht="15.75" hidden="1" customHeight="1">
      <c r="A796" s="98"/>
      <c r="B796" s="99"/>
      <c r="C796" s="100"/>
      <c r="D796" s="101"/>
      <c r="E796" s="102">
        <f>ROUND(IFERROR(SUMPRODUCT(AJ788:AJ795,E788:E795)/AJ796,0),3)</f>
        <v>0</v>
      </c>
      <c r="F796" s="199"/>
      <c r="G796" s="104"/>
      <c r="H796" s="105"/>
      <c r="I796" s="105"/>
      <c r="J796" s="106"/>
      <c r="K796" s="104"/>
      <c r="L796" s="105"/>
      <c r="M796" s="105"/>
      <c r="N796" s="106"/>
      <c r="O796" s="104"/>
      <c r="P796" s="105"/>
      <c r="Q796" s="105"/>
      <c r="R796" s="106"/>
      <c r="S796" s="104"/>
      <c r="T796" s="105"/>
      <c r="U796" s="105"/>
      <c r="V796" s="106"/>
      <c r="W796" s="104"/>
      <c r="X796" s="105"/>
      <c r="Y796" s="105"/>
      <c r="Z796" s="106"/>
      <c r="AA796" s="104"/>
      <c r="AB796" s="105"/>
      <c r="AC796" s="105"/>
      <c r="AD796" s="106"/>
      <c r="AE796" s="107">
        <f>SUM(AE788:AE795)</f>
        <v>0</v>
      </c>
      <c r="AF796" s="108">
        <f t="shared" si="1582"/>
        <v>0</v>
      </c>
      <c r="AG796" s="109">
        <f>IFERROR(  SUMPRODUCT(AG788:AG795,AJ788:AJ795)/AJ796,0)</f>
        <v>0</v>
      </c>
      <c r="AH796" s="157"/>
      <c r="AI796" s="111">
        <f t="shared" ref="AI796:AJ796" si="1592">SUM(AI788:AI795)</f>
        <v>0</v>
      </c>
      <c r="AJ796" s="111">
        <f t="shared" si="1592"/>
        <v>0</v>
      </c>
      <c r="AK796" s="112">
        <f>IF(SUM(AK788:AK795)=0,TIME(,0,),TIME(,SUM(AK788:AK795)+F!$V$37,))</f>
        <v>0</v>
      </c>
      <c r="AL796" s="98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 ht="15.75" hidden="1" customHeight="1">
      <c r="A797" s="113">
        <f>A798</f>
        <v>43880</v>
      </c>
      <c r="B797" s="114" t="str">
        <f t="shared" ref="B797:F797" si="1593">IF(B741="","",B741)</f>
        <v>Тяжелая</v>
      </c>
      <c r="C797" s="115" t="str">
        <f t="shared" si="1593"/>
        <v>ТГ</v>
      </c>
      <c r="D797" s="116" t="str">
        <f t="shared" si="1593"/>
        <v>Становая тяга</v>
      </c>
      <c r="E797" s="29">
        <f t="shared" si="1593"/>
        <v>1.4</v>
      </c>
      <c r="F797" s="117" t="str">
        <f t="shared" si="1593"/>
        <v/>
      </c>
      <c r="G797" s="118" t="str">
        <f t="shared" ref="G797:G804" si="1595">IF(J797&lt;&gt;0, IFERROR(IF( $F797=2,  MROUND($AH797*J797,1),    IF( OR($F797="",$F797=1),   MROUND($AH797*J797,2.5),  MROUND($AH797*J797, 0.1))), "" ), "")</f>
        <v/>
      </c>
      <c r="H797" s="119"/>
      <c r="I797" s="119"/>
      <c r="J797" s="120"/>
      <c r="K797" s="118" t="str">
        <f t="shared" ref="K797:K804" si="1596">IF(N797&lt;&gt;0, IFERROR(IF( $F797=2,  MROUND($AH797*N797,1),    IF( OR($F797="",$F797=1),   MROUND($AH797*N797,2.5),  MROUND($AH797*N797, 0.1))), "" ), "")</f>
        <v/>
      </c>
      <c r="L797" s="119"/>
      <c r="M797" s="119"/>
      <c r="N797" s="120"/>
      <c r="O797" s="118" t="str">
        <f t="shared" ref="O797:O804" si="1597">IF(R797&lt;&gt;0, IFERROR(IF( $F797=2,  MROUND($AH797*R797,1),    IF( OR($F797="",$F797=1),   MROUND($AH797*R797,2.5),  MROUND($AH797*R797, 0.1))), "" ), "")</f>
        <v/>
      </c>
      <c r="P797" s="119"/>
      <c r="Q797" s="119"/>
      <c r="R797" s="120"/>
      <c r="S797" s="118" t="str">
        <f t="shared" ref="S797:S804" si="1598">IF(V797&lt;&gt;0, IFERROR(IF( $F797=2,  MROUND($AH797*V797,1),    IF( OR($F797="",$F797=1),   MROUND($AH797*V797,2.5),  MROUND($AH797*V797, 0.1))), "" ), "")</f>
        <v/>
      </c>
      <c r="T797" s="119"/>
      <c r="U797" s="119"/>
      <c r="V797" s="120"/>
      <c r="W797" s="118" t="str">
        <f t="shared" ref="W797:W804" si="1599">IF(Z797&lt;&gt;0, IFERROR(IF( $F797=2,  MROUND($AH797*Z797,1),    IF( OR($F797="",$F797=1),   MROUND($AH797*Z797,2.5),  MROUND($AH797*Z797, 0.1))), "" ), "")</f>
        <v/>
      </c>
      <c r="X797" s="119"/>
      <c r="Y797" s="119"/>
      <c r="Z797" s="120"/>
      <c r="AA797" s="118" t="str">
        <f t="shared" ref="AA797:AA804" si="1600">IF(AD797&lt;&gt;0, IFERROR(IF( $F797=2,  MROUND($AH797*AD797,1),    IF( OR($F797="",$F797=1),   MROUND($AH797*AD797,2.5),  MROUND($AH797*AD797, 0.1))), "" ), "")</f>
        <v/>
      </c>
      <c r="AB797" s="119"/>
      <c r="AC797" s="119"/>
      <c r="AD797" s="120"/>
      <c r="AE797" s="121">
        <f t="shared" ref="AE797:AE804" si="1601">(IF(ISNUMBER(G797),G797,0)*H797*I797+IF(ISNUMBER(K797),K797,1)*L797*M797+IF(ISNUMBER(O797),O797,1)*P797*Q797+IF(ISNUMBER(S797),S797,1)*T797*U797+IF(ISNUMBER(W797),W797,1)*X797*Y797+IF(ISNUMBER(AA797),AA797,1)*AB797*AC797)*IF(ISNUMBER(F797),F797,1)</f>
        <v>0</v>
      </c>
      <c r="AF797" s="122">
        <f t="shared" si="1582"/>
        <v>0</v>
      </c>
      <c r="AG797" s="200">
        <f t="shared" ref="AG797:AG804" si="1602">IFERROR((AF797/(AH797*IF(ISNUMBER(F797),F797,1))),0)</f>
        <v>0</v>
      </c>
      <c r="AH797" s="169">
        <f t="shared" ref="AH797:AH804" si="1603">IF(ISNUMBER(AH741), AH741+(AH741*$AH$786),"")</f>
        <v>244.1035712</v>
      </c>
      <c r="AI797" s="122">
        <f> ( IF(ISNUMBER(G797), VLOOKUP(G797/$AH797,F!$A1:$B101,2,1)*G797*$H797*$I797,0)+IF(ISNUMBER(K797), VLOOKUP(K797/$AH797,F!$A1:$B101,2,1)*K797*$L797*$M797,0)+IF(ISNUMBER(O797), VLOOKUP(O797/$AH797,F!$A1:$B101,2,1)*O797*$P797*$Q797,0)+IF(ISNUMBER(S797), VLOOKUP(S797/$AH797,F!$A1:$B101,2,1)*S797*$T797*$U797,0)+IF(ISNUMBER(W797), VLOOKUP(W797/$AH797,F!$A1:$B101,2,1)*W797*$X797*$Y797,0)+IF(ISNUMBER(AA797), VLOOKUP(AA797/$AH797,F!$A1:$B101,2,1)*AA797*$AB797*$AC797,0))*IF(ISNUMBER(F797),F797,1)*IF(ISNUMBER(E797),E797,1)</f>
        <v>0</v>
      </c>
      <c r="AJ797" s="119">
        <f t="shared" ref="AJ797:AJ804" si="1604">H797*I797+L797*M797+P797*Q797+T797*U797+X797*Y797+AB797*AC797</f>
        <v>0</v>
      </c>
      <c r="AK797" s="125">
        <f t="array" ref="AK797">IFERROR(I797*INDEX(F!$P$21:$AB$33, MATCH(G797/$AH797, F!$O$21:$O$33,1), MATCH(E797, F!$P$20:$AB$20,1)), 0 ) +IFERROR( M797*INDEX(F!$P$21:$AB$33, MATCH(K797/$AH797, F!$O$21:$O$33,1), MATCH(E797, F!$P$20:$AB$20,1)),0) +  IFERROR( Q797*INDEX(F!$P$21:$AB$33, MATCH(O797/$AH797, F!$O$21:$O$33,1), MATCH(E797, F!$P$20:$AB$20,1)), 0) + IFERROR( U797*INDEX(F!$P$21:$AB$33, MATCH(S797/$AH797, F!$O$21:$O$33,1), MATCH(E797, F!$P$20:$AB$20,1)),0)  + IFERROR(Y797*INDEX(F!$P$21:$AB$33, MATCH(W797/$AH797, F!$O$21:$O$33,1), MATCH(E797, F!$P$20:$AB$20,1)),0)  + IFERROR( AC797*INDEX(F!$P$21:$AB$33, MATCH(AA797/$AH797, F!$O$21:$O$33,1), MATCH(E797, F!$P$20:$AB$20,1)),)</f>
        <v>0</v>
      </c>
      <c r="AL797" s="42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 ht="15.75" hidden="1" customHeight="1">
      <c r="A798" s="44">
        <f>A742+A730</f>
        <v>43880</v>
      </c>
      <c r="B798" s="126" t="str">
        <f t="shared" ref="B798:F798" si="1594">IF(B742="","",B742)</f>
        <v>Средняя</v>
      </c>
      <c r="C798" s="127" t="str">
        <f t="shared" si="1594"/>
        <v>ЖМ</v>
      </c>
      <c r="D798" s="128" t="str">
        <f t="shared" si="1594"/>
        <v>Жим лежа</v>
      </c>
      <c r="E798" s="48">
        <f t="shared" si="1594"/>
        <v>1</v>
      </c>
      <c r="F798" s="129" t="str">
        <f t="shared" si="1594"/>
        <v/>
      </c>
      <c r="G798" s="130" t="str">
        <f t="shared" si="1595"/>
        <v/>
      </c>
      <c r="H798" s="34"/>
      <c r="I798" s="34"/>
      <c r="J798" s="65"/>
      <c r="K798" s="130" t="str">
        <f t="shared" si="1596"/>
        <v/>
      </c>
      <c r="L798" s="34"/>
      <c r="M798" s="34"/>
      <c r="N798" s="65"/>
      <c r="O798" s="130" t="str">
        <f t="shared" si="1597"/>
        <v/>
      </c>
      <c r="P798" s="34"/>
      <c r="Q798" s="34"/>
      <c r="R798" s="65"/>
      <c r="S798" s="130" t="str">
        <f t="shared" si="1598"/>
        <v/>
      </c>
      <c r="T798" s="34"/>
      <c r="U798" s="34"/>
      <c r="V798" s="65"/>
      <c r="W798" s="130" t="str">
        <f t="shared" si="1599"/>
        <v/>
      </c>
      <c r="X798" s="34"/>
      <c r="Y798" s="34"/>
      <c r="Z798" s="65"/>
      <c r="AA798" s="130" t="str">
        <f t="shared" si="1600"/>
        <v/>
      </c>
      <c r="AB798" s="34"/>
      <c r="AC798" s="34"/>
      <c r="AD798" s="65"/>
      <c r="AE798" s="131">
        <f t="shared" si="1601"/>
        <v>0</v>
      </c>
      <c r="AF798" s="132">
        <f t="shared" si="1582"/>
        <v>0</v>
      </c>
      <c r="AG798" s="133">
        <f t="shared" si="1602"/>
        <v>0</v>
      </c>
      <c r="AH798" s="76">
        <f t="shared" si="1603"/>
        <v>125.3504825</v>
      </c>
      <c r="AI798" s="132">
        <f> ( IF(ISNUMBER(G798), VLOOKUP(G798/$AH798,F!$A1:$B101,2,1)*G798*$H798*$I798,0)+IF(ISNUMBER(K798), VLOOKUP(K798/$AH798,F!$A1:$B101,2,1)*K798*$L798*$M798,0)+IF(ISNUMBER(O798), VLOOKUP(O798/$AH798,F!$A1:$B101,2,1)*O798*$P798*$Q798,0)+IF(ISNUMBER(S798), VLOOKUP(S798/$AH798,F!$A1:$B101,2,1)*S798*$T798*$U798,0)+IF(ISNUMBER(W798), VLOOKUP(W798/$AH798,F!$A1:$B101,2,1)*W798*$X798*$Y798,0)+IF(ISNUMBER(AA798), VLOOKUP(AA798/$AH798,F!$A1:$B101,2,1)*AA798*$AB798*$AC798,0))*IF(ISNUMBER(F798),F798,1)*IF(ISNUMBER(E798),E798,1)</f>
        <v>0</v>
      </c>
      <c r="AJ798" s="34">
        <f t="shared" si="1604"/>
        <v>0</v>
      </c>
      <c r="AK798" s="134">
        <f t="array" ref="AK798">IFERROR(I798*INDEX(F!$P$21:$AB$33, MATCH(G798/$AH798, F!$O$21:$O$33,1), MATCH(E798, F!$P$20:$AB$20,1)), 0 ) +IFERROR( M798*INDEX(F!$P$21:$AB$33, MATCH(K798/$AH798, F!$O$21:$O$33,1), MATCH(E798, F!$P$20:$AB$20,1)),0) +  IFERROR( Q798*INDEX(F!$P$21:$AB$33, MATCH(O798/$AH798, F!$O$21:$O$33,1), MATCH(E798, F!$P$20:$AB$20,1)), 0) + IFERROR( U798*INDEX(F!$P$21:$AB$33, MATCH(S798/$AH798, F!$O$21:$O$33,1), MATCH(E798, F!$P$20:$AB$20,1)),0)  + IFERROR(Y798*INDEX(F!$P$21:$AB$33, MATCH(W798/$AH798, F!$O$21:$O$33,1), MATCH(E798, F!$P$20:$AB$20,1)),0)  + IFERROR( AC798*INDEX(F!$P$21:$AB$33, MATCH(AA798/$AH798, F!$O$21:$O$33,1), MATCH(E798, F!$P$20:$AB$20,1)),)</f>
        <v>0</v>
      </c>
      <c r="AL798" s="59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 ht="15.75" hidden="1" customHeight="1">
      <c r="A799" s="59"/>
      <c r="B799" s="135" t="str">
        <f t="shared" ref="B799:F799" si="1605">IF(B743="","",B743)</f>
        <v>Легкая</v>
      </c>
      <c r="C799" s="136" t="str">
        <f t="shared" si="1605"/>
        <v>ОФП</v>
      </c>
      <c r="D799" s="137" t="str">
        <f t="shared" si="1605"/>
        <v>Наклоны со штангой</v>
      </c>
      <c r="E799" s="48">
        <f t="shared" si="1605"/>
        <v>0.8</v>
      </c>
      <c r="F799" s="138" t="str">
        <f t="shared" si="1605"/>
        <v/>
      </c>
      <c r="G799" s="139" t="str">
        <f t="shared" si="1595"/>
        <v/>
      </c>
      <c r="H799" s="140"/>
      <c r="I799" s="140"/>
      <c r="J799" s="141"/>
      <c r="K799" s="139" t="str">
        <f t="shared" si="1596"/>
        <v/>
      </c>
      <c r="L799" s="140"/>
      <c r="M799" s="140"/>
      <c r="N799" s="141"/>
      <c r="O799" s="139" t="str">
        <f t="shared" si="1597"/>
        <v/>
      </c>
      <c r="P799" s="140"/>
      <c r="Q799" s="140"/>
      <c r="R799" s="141"/>
      <c r="S799" s="139" t="str">
        <f t="shared" si="1598"/>
        <v/>
      </c>
      <c r="T799" s="140"/>
      <c r="U799" s="140"/>
      <c r="V799" s="141"/>
      <c r="W799" s="139" t="str">
        <f t="shared" si="1599"/>
        <v/>
      </c>
      <c r="X799" s="140"/>
      <c r="Y799" s="140"/>
      <c r="Z799" s="141"/>
      <c r="AA799" s="139" t="str">
        <f t="shared" si="1600"/>
        <v/>
      </c>
      <c r="AB799" s="140"/>
      <c r="AC799" s="140"/>
      <c r="AD799" s="141"/>
      <c r="AE799" s="142">
        <f t="shared" si="1601"/>
        <v>0</v>
      </c>
      <c r="AF799" s="143">
        <f t="shared" si="1582"/>
        <v>0</v>
      </c>
      <c r="AG799" s="144">
        <f t="shared" si="1602"/>
        <v>0</v>
      </c>
      <c r="AH799" s="76">
        <f t="shared" si="1603"/>
        <v>134.2569641</v>
      </c>
      <c r="AI799" s="143">
        <f> ( IF(ISNUMBER(G799), VLOOKUP(G799/$AH799,F!$A1:$B101,2,1)*G799*$H799*$I799,0)+IF(ISNUMBER(K799), VLOOKUP(K799/$AH799,F!$A1:$B101,2,1)*K799*$L799*$M799,0)+IF(ISNUMBER(O799), VLOOKUP(O799/$AH799,F!$A1:$B101,2,1)*O799*$P799*$Q799,0)+IF(ISNUMBER(S799), VLOOKUP(S799/$AH799,F!$A1:$B101,2,1)*S799*$T799*$U799,0)+IF(ISNUMBER(W799), VLOOKUP(W799/$AH799,F!$A1:$B101,2,1)*W799*$X799*$Y799,0)+IF(ISNUMBER(AA799), VLOOKUP(AA799/$AH799,F!$A1:$B101,2,1)*AA799*$AB799*$AC799,0))*IF(ISNUMBER(F799),F799,1)*IF(ISNUMBER(E799),E799,1)</f>
        <v>0</v>
      </c>
      <c r="AJ799" s="140">
        <f t="shared" si="1604"/>
        <v>0</v>
      </c>
      <c r="AK799" s="145">
        <f t="array" ref="AK799">IFERROR(I799*INDEX(F!$P$21:$AB$33, MATCH(G799/$AH799, F!$O$21:$O$33,1), MATCH(E799, F!$P$20:$AB$20,1)), 0 ) +IFERROR( M799*INDEX(F!$P$21:$AB$33, MATCH(K799/$AH799, F!$O$21:$O$33,1), MATCH(E799, F!$P$20:$AB$20,1)),0) +  IFERROR( Q799*INDEX(F!$P$21:$AB$33, MATCH(O799/$AH799, F!$O$21:$O$33,1), MATCH(E799, F!$P$20:$AB$20,1)), 0) + IFERROR( U799*INDEX(F!$P$21:$AB$33, MATCH(S799/$AH799, F!$O$21:$O$33,1), MATCH(E799, F!$P$20:$AB$20,1)),0)  + IFERROR(Y799*INDEX(F!$P$21:$AB$33, MATCH(W799/$AH799, F!$O$21:$O$33,1), MATCH(E799, F!$P$20:$AB$20,1)),0)  + IFERROR( AC799*INDEX(F!$P$21:$AB$33, MATCH(AA799/$AH799, F!$O$21:$O$33,1), MATCH(E799, F!$P$20:$AB$20,1)),)</f>
        <v>0</v>
      </c>
      <c r="AL799" s="59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 ht="15.75" hidden="1" customHeight="1">
      <c r="A800" s="59"/>
      <c r="B800" s="126" t="str">
        <f t="shared" ref="B800:F800" si="1606">IF(B744="","",B744)</f>
        <v>Средняя</v>
      </c>
      <c r="C800" s="127" t="str">
        <f t="shared" si="1606"/>
        <v>ОФП</v>
      </c>
      <c r="D800" s="128" t="str">
        <f t="shared" si="1606"/>
        <v>Жим стоя</v>
      </c>
      <c r="E800" s="48">
        <f t="shared" si="1606"/>
        <v>1</v>
      </c>
      <c r="F800" s="129" t="str">
        <f t="shared" si="1606"/>
        <v/>
      </c>
      <c r="G800" s="130" t="str">
        <f t="shared" si="1595"/>
        <v/>
      </c>
      <c r="H800" s="34"/>
      <c r="I800" s="34"/>
      <c r="J800" s="65"/>
      <c r="K800" s="130" t="str">
        <f t="shared" si="1596"/>
        <v/>
      </c>
      <c r="L800" s="34"/>
      <c r="M800" s="34"/>
      <c r="N800" s="65"/>
      <c r="O800" s="130" t="str">
        <f t="shared" si="1597"/>
        <v/>
      </c>
      <c r="P800" s="34"/>
      <c r="Q800" s="34"/>
      <c r="R800" s="65"/>
      <c r="S800" s="130" t="str">
        <f t="shared" si="1598"/>
        <v/>
      </c>
      <c r="T800" s="34"/>
      <c r="U800" s="34"/>
      <c r="V800" s="65"/>
      <c r="W800" s="130" t="str">
        <f t="shared" si="1599"/>
        <v/>
      </c>
      <c r="X800" s="34"/>
      <c r="Y800" s="34"/>
      <c r="Z800" s="65"/>
      <c r="AA800" s="130" t="str">
        <f t="shared" si="1600"/>
        <v/>
      </c>
      <c r="AB800" s="34"/>
      <c r="AC800" s="34"/>
      <c r="AD800" s="65"/>
      <c r="AE800" s="131">
        <f t="shared" si="1601"/>
        <v>0</v>
      </c>
      <c r="AF800" s="132">
        <f t="shared" si="1582"/>
        <v>0</v>
      </c>
      <c r="AG800" s="133">
        <f t="shared" si="1602"/>
        <v>0</v>
      </c>
      <c r="AH800" s="76">
        <f t="shared" si="1603"/>
        <v>75.21028949</v>
      </c>
      <c r="AI800" s="132">
        <f> ( IF(ISNUMBER(G800), VLOOKUP(G800/$AH800,F!$A1:$B101,2,1)*G800*$H800*$I800,0)+IF(ISNUMBER(K800), VLOOKUP(K800/$AH800,F!$A1:$B101,2,1)*K800*$L800*$M800,0)+IF(ISNUMBER(O800), VLOOKUP(O800/$AH800,F!$A1:$B101,2,1)*O800*$P800*$Q800,0)+IF(ISNUMBER(S800), VLOOKUP(S800/$AH800,F!$A1:$B101,2,1)*S800*$T800*$U800,0)+IF(ISNUMBER(W800), VLOOKUP(W800/$AH800,F!$A1:$B101,2,1)*W800*$X800*$Y800,0)+IF(ISNUMBER(AA800), VLOOKUP(AA800/$AH800,F!$A1:$B101,2,1)*AA800*$AB800*$AC800,0))*IF(ISNUMBER(F800),F800,1)*IF(ISNUMBER(E800),E800,1)</f>
        <v>0</v>
      </c>
      <c r="AJ800" s="34">
        <f t="shared" si="1604"/>
        <v>0</v>
      </c>
      <c r="AK800" s="134">
        <f t="array" ref="AK800">IFERROR(I800*INDEX(F!$P$21:$AB$33, MATCH(G800/$AH800, F!$O$21:$O$33,1), MATCH(E800, F!$P$20:$AB$20,1)), 0 ) +IFERROR( M800*INDEX(F!$P$21:$AB$33, MATCH(K800/$AH800, F!$O$21:$O$33,1), MATCH(E800, F!$P$20:$AB$20,1)),0) +  IFERROR( Q800*INDEX(F!$P$21:$AB$33, MATCH(O800/$AH800, F!$O$21:$O$33,1), MATCH(E800, F!$P$20:$AB$20,1)), 0) + IFERROR( U800*INDEX(F!$P$21:$AB$33, MATCH(S800/$AH800, F!$O$21:$O$33,1), MATCH(E800, F!$P$20:$AB$20,1)),0)  + IFERROR(Y800*INDEX(F!$P$21:$AB$33, MATCH(W800/$AH800, F!$O$21:$O$33,1), MATCH(E800, F!$P$20:$AB$20,1)),0)  + IFERROR( AC800*INDEX(F!$P$21:$AB$33, MATCH(AA800/$AH800, F!$O$21:$O$33,1), MATCH(E800, F!$P$20:$AB$20,1)),)</f>
        <v>0</v>
      </c>
      <c r="AL800" s="59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 ht="15.75" hidden="1" customHeight="1">
      <c r="A801" s="59"/>
      <c r="B801" s="135" t="str">
        <f t="shared" ref="B801:F801" si="1607">IF(B745="","",B745)</f>
        <v>Средняя</v>
      </c>
      <c r="C801" s="136" t="str">
        <f t="shared" si="1607"/>
        <v>ЖМ</v>
      </c>
      <c r="D801" s="137" t="str">
        <f t="shared" si="1607"/>
        <v>Жим средним хватом</v>
      </c>
      <c r="E801" s="48">
        <f t="shared" si="1607"/>
        <v>1</v>
      </c>
      <c r="F801" s="138" t="str">
        <f t="shared" si="1607"/>
        <v/>
      </c>
      <c r="G801" s="139" t="str">
        <f t="shared" si="1595"/>
        <v/>
      </c>
      <c r="H801" s="140"/>
      <c r="I801" s="140"/>
      <c r="J801" s="141"/>
      <c r="K801" s="139" t="str">
        <f t="shared" si="1596"/>
        <v/>
      </c>
      <c r="L801" s="140"/>
      <c r="M801" s="140"/>
      <c r="N801" s="141"/>
      <c r="O801" s="139" t="str">
        <f t="shared" si="1597"/>
        <v/>
      </c>
      <c r="P801" s="140"/>
      <c r="Q801" s="140"/>
      <c r="R801" s="141"/>
      <c r="S801" s="139" t="str">
        <f t="shared" si="1598"/>
        <v/>
      </c>
      <c r="T801" s="140"/>
      <c r="U801" s="140"/>
      <c r="V801" s="141"/>
      <c r="W801" s="139" t="str">
        <f t="shared" si="1599"/>
        <v/>
      </c>
      <c r="X801" s="140"/>
      <c r="Y801" s="140"/>
      <c r="Z801" s="141"/>
      <c r="AA801" s="139" t="str">
        <f t="shared" si="1600"/>
        <v/>
      </c>
      <c r="AB801" s="140"/>
      <c r="AC801" s="140"/>
      <c r="AD801" s="141"/>
      <c r="AE801" s="142">
        <f t="shared" si="1601"/>
        <v>0</v>
      </c>
      <c r="AF801" s="143">
        <f t="shared" si="1582"/>
        <v>0</v>
      </c>
      <c r="AG801" s="144">
        <f t="shared" si="1602"/>
        <v>0</v>
      </c>
      <c r="AH801" s="76">
        <f t="shared" si="1603"/>
        <v>106.5479101</v>
      </c>
      <c r="AI801" s="143">
        <f> ( IF(ISNUMBER(G801), VLOOKUP(G801/$AH801,F!$A1:$B101,2,1)*G801*$H801*$I801,0)+IF(ISNUMBER(K801), VLOOKUP(K801/$AH801,F!$A1:$B101,2,1)*K801*$L801*$M801,0)+IF(ISNUMBER(O801), VLOOKUP(O801/$AH801,F!$A1:$B101,2,1)*O801*$P801*$Q801,0)+IF(ISNUMBER(S801), VLOOKUP(S801/$AH801,F!$A1:$B101,2,1)*S801*$T801*$U801,0)+IF(ISNUMBER(W801), VLOOKUP(W801/$AH801,F!$A1:$B101,2,1)*W801*$X801*$Y801,0)+IF(ISNUMBER(AA801), VLOOKUP(AA801/$AH801,F!$A1:$B101,2,1)*AA801*$AB801*$AC801,0))*IF(ISNUMBER(F801),F801,1)*IF(ISNUMBER(E801),E801,1)</f>
        <v>0</v>
      </c>
      <c r="AJ801" s="140">
        <f t="shared" si="1604"/>
        <v>0</v>
      </c>
      <c r="AK801" s="145">
        <f t="array" ref="AK801">IFERROR(I801*INDEX(F!$P$21:$AB$33, MATCH(G801/$AH801, F!$O$21:$O$33,1), MATCH(E801, F!$P$20:$AB$20,1)), 0 ) +IFERROR( M801*INDEX(F!$P$21:$AB$33, MATCH(K801/$AH801, F!$O$21:$O$33,1), MATCH(E801, F!$P$20:$AB$20,1)),0) +  IFERROR( Q801*INDEX(F!$P$21:$AB$33, MATCH(O801/$AH801, F!$O$21:$O$33,1), MATCH(E801, F!$P$20:$AB$20,1)), 0) + IFERROR( U801*INDEX(F!$P$21:$AB$33, MATCH(S801/$AH801, F!$O$21:$O$33,1), MATCH(E801, F!$P$20:$AB$20,1)),0)  + IFERROR(Y801*INDEX(F!$P$21:$AB$33, MATCH(W801/$AH801, F!$O$21:$O$33,1), MATCH(E801, F!$P$20:$AB$20,1)),0)  + IFERROR( AC801*INDEX(F!$P$21:$AB$33, MATCH(AA801/$AH801, F!$O$21:$O$33,1), MATCH(E801, F!$P$20:$AB$20,1)),)</f>
        <v>0</v>
      </c>
      <c r="AL801" s="59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 ht="15.75" hidden="1" customHeight="1">
      <c r="A802" s="59"/>
      <c r="B802" s="126" t="str">
        <f t="shared" ref="B802:F802" si="1608">IF(B746="","",B746)</f>
        <v/>
      </c>
      <c r="C802" s="127" t="str">
        <f t="shared" si="1608"/>
        <v/>
      </c>
      <c r="D802" s="128" t="str">
        <f t="shared" si="1608"/>
        <v/>
      </c>
      <c r="E802" s="48" t="str">
        <f t="shared" si="1608"/>
        <v/>
      </c>
      <c r="F802" s="129" t="str">
        <f t="shared" si="1608"/>
        <v/>
      </c>
      <c r="G802" s="130" t="str">
        <f t="shared" si="1595"/>
        <v/>
      </c>
      <c r="H802" s="34"/>
      <c r="I802" s="34"/>
      <c r="J802" s="65"/>
      <c r="K802" s="130" t="str">
        <f t="shared" si="1596"/>
        <v/>
      </c>
      <c r="L802" s="34"/>
      <c r="M802" s="34"/>
      <c r="N802" s="65"/>
      <c r="O802" s="130" t="str">
        <f t="shared" si="1597"/>
        <v/>
      </c>
      <c r="P802" s="34"/>
      <c r="Q802" s="34"/>
      <c r="R802" s="65"/>
      <c r="S802" s="130" t="str">
        <f t="shared" si="1598"/>
        <v/>
      </c>
      <c r="T802" s="34"/>
      <c r="U802" s="34"/>
      <c r="V802" s="65"/>
      <c r="W802" s="130" t="str">
        <f t="shared" si="1599"/>
        <v/>
      </c>
      <c r="X802" s="34"/>
      <c r="Y802" s="34"/>
      <c r="Z802" s="65"/>
      <c r="AA802" s="130" t="str">
        <f t="shared" si="1600"/>
        <v/>
      </c>
      <c r="AB802" s="34"/>
      <c r="AC802" s="34"/>
      <c r="AD802" s="65"/>
      <c r="AE802" s="131">
        <f t="shared" si="1601"/>
        <v>0</v>
      </c>
      <c r="AF802" s="132">
        <f t="shared" si="1582"/>
        <v>0</v>
      </c>
      <c r="AG802" s="133">
        <f t="shared" si="1602"/>
        <v>0</v>
      </c>
      <c r="AH802" s="76" t="str">
        <f t="shared" si="1603"/>
        <v/>
      </c>
      <c r="AI802" s="132">
        <f> ( IF(ISNUMBER(G802), VLOOKUP(G802/$AH802,F!$A1:$B101,2,1)*G802*$H802*$I802,0)+IF(ISNUMBER(K802), VLOOKUP(K802/$AH802,F!$A1:$B101,2,1)*K802*$L802*$M802,0)+IF(ISNUMBER(O802), VLOOKUP(O802/$AH802,F!$A1:$B101,2,1)*O802*$P802*$Q802,0)+IF(ISNUMBER(S802), VLOOKUP(S802/$AH802,F!$A1:$B101,2,1)*S802*$T802*$U802,0)+IF(ISNUMBER(W802), VLOOKUP(W802/$AH802,F!$A1:$B101,2,1)*W802*$X802*$Y802,0)+IF(ISNUMBER(AA802), VLOOKUP(AA802/$AH802,F!$A1:$B101,2,1)*AA802*$AB802*$AC802,0))*IF(ISNUMBER(F802),F802,1)*IF(ISNUMBER(E802),E802,1)</f>
        <v>0</v>
      </c>
      <c r="AJ802" s="34">
        <f t="shared" si="1604"/>
        <v>0</v>
      </c>
      <c r="AK802" s="134">
        <f t="array" ref="AK802">IFERROR(I802*INDEX(F!$P$21:$AB$33, MATCH(G802/$AH802, F!$O$21:$O$33,1), MATCH(E802, F!$P$20:$AB$20,1)), 0 ) +IFERROR( M802*INDEX(F!$P$21:$AB$33, MATCH(K802/$AH802, F!$O$21:$O$33,1), MATCH(E802, F!$P$20:$AB$20,1)),0) +  IFERROR( Q802*INDEX(F!$P$21:$AB$33, MATCH(O802/$AH802, F!$O$21:$O$33,1), MATCH(E802, F!$P$20:$AB$20,1)), 0) + IFERROR( U802*INDEX(F!$P$21:$AB$33, MATCH(S802/$AH802, F!$O$21:$O$33,1), MATCH(E802, F!$P$20:$AB$20,1)),0)  + IFERROR(Y802*INDEX(F!$P$21:$AB$33, MATCH(W802/$AH802, F!$O$21:$O$33,1), MATCH(E802, F!$P$20:$AB$20,1)),0)  + IFERROR( AC802*INDEX(F!$P$21:$AB$33, MATCH(AA802/$AH802, F!$O$21:$O$33,1), MATCH(E802, F!$P$20:$AB$20,1)),)</f>
        <v>0</v>
      </c>
      <c r="AL802" s="59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 ht="15.75" hidden="1" customHeight="1">
      <c r="A803" s="59"/>
      <c r="B803" s="135" t="str">
        <f t="shared" ref="B803:F803" si="1609">IF(B747="","",B747)</f>
        <v/>
      </c>
      <c r="C803" s="136" t="str">
        <f t="shared" si="1609"/>
        <v/>
      </c>
      <c r="D803" s="137" t="str">
        <f t="shared" si="1609"/>
        <v/>
      </c>
      <c r="E803" s="48" t="str">
        <f t="shared" si="1609"/>
        <v/>
      </c>
      <c r="F803" s="138" t="str">
        <f t="shared" si="1609"/>
        <v/>
      </c>
      <c r="G803" s="139" t="str">
        <f t="shared" si="1595"/>
        <v/>
      </c>
      <c r="H803" s="140"/>
      <c r="I803" s="140"/>
      <c r="J803" s="141"/>
      <c r="K803" s="139" t="str">
        <f t="shared" si="1596"/>
        <v/>
      </c>
      <c r="L803" s="140"/>
      <c r="M803" s="140"/>
      <c r="N803" s="141"/>
      <c r="O803" s="139" t="str">
        <f t="shared" si="1597"/>
        <v/>
      </c>
      <c r="P803" s="140"/>
      <c r="Q803" s="140"/>
      <c r="R803" s="141"/>
      <c r="S803" s="139" t="str">
        <f t="shared" si="1598"/>
        <v/>
      </c>
      <c r="T803" s="140"/>
      <c r="U803" s="140"/>
      <c r="V803" s="141"/>
      <c r="W803" s="139" t="str">
        <f t="shared" si="1599"/>
        <v/>
      </c>
      <c r="X803" s="140"/>
      <c r="Y803" s="140"/>
      <c r="Z803" s="141"/>
      <c r="AA803" s="139" t="str">
        <f t="shared" si="1600"/>
        <v/>
      </c>
      <c r="AB803" s="140"/>
      <c r="AC803" s="140"/>
      <c r="AD803" s="141"/>
      <c r="AE803" s="142">
        <f t="shared" si="1601"/>
        <v>0</v>
      </c>
      <c r="AF803" s="143">
        <f t="shared" si="1582"/>
        <v>0</v>
      </c>
      <c r="AG803" s="144">
        <f t="shared" si="1602"/>
        <v>0</v>
      </c>
      <c r="AH803" s="76" t="str">
        <f t="shared" si="1603"/>
        <v/>
      </c>
      <c r="AI803" s="143">
        <f> ( IF(ISNUMBER(G803), VLOOKUP(G803/$AH803,F!$A1:$B101,2,1)*G803*$H803*$I803,0)+IF(ISNUMBER(K803), VLOOKUP(K803/$AH803,F!$A1:$B101,2,1)*K803*$L803*$M803,0)+IF(ISNUMBER(O803), VLOOKUP(O803/$AH803,F!$A1:$B101,2,1)*O803*$P803*$Q803,0)+IF(ISNUMBER(S803), VLOOKUP(S803/$AH803,F!$A1:$B101,2,1)*S803*$T803*$U803,0)+IF(ISNUMBER(W803), VLOOKUP(W803/$AH803,F!$A1:$B101,2,1)*W803*$X803*$Y803,0)+IF(ISNUMBER(AA803), VLOOKUP(AA803/$AH803,F!$A1:$B101,2,1)*AA803*$AB803*$AC803,0))*IF(ISNUMBER(F803),F803,1)*IF(ISNUMBER(E803),E803,1)</f>
        <v>0</v>
      </c>
      <c r="AJ803" s="140">
        <f t="shared" si="1604"/>
        <v>0</v>
      </c>
      <c r="AK803" s="145">
        <f t="array" ref="AK803">IFERROR(I803*INDEX(F!$P$21:$AB$33, MATCH(G803/$AH803, F!$O$21:$O$33,1), MATCH(E803, F!$P$20:$AB$20,1)), 0 ) +IFERROR( M803*INDEX(F!$P$21:$AB$33, MATCH(K803/$AH803, F!$O$21:$O$33,1), MATCH(E803, F!$P$20:$AB$20,1)),0) +  IFERROR( Q803*INDEX(F!$P$21:$AB$33, MATCH(O803/$AH803, F!$O$21:$O$33,1), MATCH(E803, F!$P$20:$AB$20,1)), 0) + IFERROR( U803*INDEX(F!$P$21:$AB$33, MATCH(S803/$AH803, F!$O$21:$O$33,1), MATCH(E803, F!$P$20:$AB$20,1)),0)  + IFERROR(Y803*INDEX(F!$P$21:$AB$33, MATCH(W803/$AH803, F!$O$21:$O$33,1), MATCH(E803, F!$P$20:$AB$20,1)),0)  + IFERROR( AC803*INDEX(F!$P$21:$AB$33, MATCH(AA803/$AH803, F!$O$21:$O$33,1), MATCH(E803, F!$P$20:$AB$20,1)),)</f>
        <v>0</v>
      </c>
      <c r="AL803" s="59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 ht="15.75" hidden="1" customHeight="1">
      <c r="A804" s="59"/>
      <c r="B804" s="126" t="str">
        <f t="shared" ref="B804:F804" si="1610">IF(B748="","",B748)</f>
        <v/>
      </c>
      <c r="C804" s="127" t="str">
        <f t="shared" si="1610"/>
        <v/>
      </c>
      <c r="D804" s="128" t="str">
        <f t="shared" si="1610"/>
        <v/>
      </c>
      <c r="E804" s="48" t="str">
        <f t="shared" si="1610"/>
        <v/>
      </c>
      <c r="F804" s="129" t="str">
        <f t="shared" si="1610"/>
        <v/>
      </c>
      <c r="G804" s="130" t="str">
        <f t="shared" si="1595"/>
        <v/>
      </c>
      <c r="H804" s="34"/>
      <c r="I804" s="34"/>
      <c r="J804" s="65"/>
      <c r="K804" s="130" t="str">
        <f t="shared" si="1596"/>
        <v/>
      </c>
      <c r="L804" s="34"/>
      <c r="M804" s="34"/>
      <c r="N804" s="65"/>
      <c r="O804" s="130" t="str">
        <f t="shared" si="1597"/>
        <v/>
      </c>
      <c r="P804" s="34"/>
      <c r="Q804" s="34"/>
      <c r="R804" s="65"/>
      <c r="S804" s="130" t="str">
        <f t="shared" si="1598"/>
        <v/>
      </c>
      <c r="T804" s="34"/>
      <c r="U804" s="34"/>
      <c r="V804" s="65"/>
      <c r="W804" s="130" t="str">
        <f t="shared" si="1599"/>
        <v/>
      </c>
      <c r="X804" s="34"/>
      <c r="Y804" s="34"/>
      <c r="Z804" s="65"/>
      <c r="AA804" s="130" t="str">
        <f t="shared" si="1600"/>
        <v/>
      </c>
      <c r="AB804" s="34"/>
      <c r="AC804" s="34"/>
      <c r="AD804" s="65"/>
      <c r="AE804" s="131">
        <f t="shared" si="1601"/>
        <v>0</v>
      </c>
      <c r="AF804" s="132">
        <f t="shared" si="1582"/>
        <v>0</v>
      </c>
      <c r="AG804" s="133">
        <f t="shared" si="1602"/>
        <v>0</v>
      </c>
      <c r="AH804" s="76" t="str">
        <f t="shared" si="1603"/>
        <v/>
      </c>
      <c r="AI804" s="132">
        <f> ( IF(ISNUMBER(G804), VLOOKUP(G804/$AH804,F!$A1:$B101,2,1)*G804*$H804*$I804,0)+IF(ISNUMBER(K804), VLOOKUP(K804/$AH804,F!$A1:$B101,2,1)*K804*$L804*$M804,0)+IF(ISNUMBER(O804), VLOOKUP(O804/$AH804,F!$A1:$B101,2,1)*O804*$P804*$Q804,0)+IF(ISNUMBER(S804), VLOOKUP(S804/$AH804,F!$A1:$B101,2,1)*S804*$T804*$U804,0)+IF(ISNUMBER(W804), VLOOKUP(W804/$AH804,F!$A1:$B101,2,1)*W804*$X804*$Y804,0)+IF(ISNUMBER(AA804), VLOOKUP(AA804/$AH804,F!$A1:$B101,2,1)*AA804*$AB804*$AC804,0))*IF(ISNUMBER(F804),F804,1)*IF(ISNUMBER(E804),E804,1)</f>
        <v>0</v>
      </c>
      <c r="AJ804" s="34">
        <f t="shared" si="1604"/>
        <v>0</v>
      </c>
      <c r="AK804" s="134">
        <f t="array" ref="AK804">IFERROR(I804*INDEX(F!$P$21:$AB$33, MATCH(G804/$AH804, F!$O$21:$O$33,1), MATCH(E804, F!$P$20:$AB$20,1)), 0 ) +IFERROR( M804*INDEX(F!$P$21:$AB$33, MATCH(K804/$AH804, F!$O$21:$O$33,1), MATCH(E804, F!$P$20:$AB$20,1)),0) +  IFERROR( Q804*INDEX(F!$P$21:$AB$33, MATCH(O804/$AH804, F!$O$21:$O$33,1), MATCH(E804, F!$P$20:$AB$20,1)), 0) + IFERROR( U804*INDEX(F!$P$21:$AB$33, MATCH(S804/$AH804, F!$O$21:$O$33,1), MATCH(E804, F!$P$20:$AB$20,1)),0)  + IFERROR(Y804*INDEX(F!$P$21:$AB$33, MATCH(W804/$AH804, F!$O$21:$O$33,1), MATCH(E804, F!$P$20:$AB$20,1)),0)  + IFERROR( AC804*INDEX(F!$P$21:$AB$33, MATCH(AA804/$AH804, F!$O$21:$O$33,1), MATCH(E804, F!$P$20:$AB$20,1)),)</f>
        <v>0</v>
      </c>
      <c r="AL804" s="59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 ht="15.75" hidden="1" customHeight="1">
      <c r="A805" s="98"/>
      <c r="B805" s="150"/>
      <c r="C805" s="151"/>
      <c r="D805" s="152"/>
      <c r="E805" s="102">
        <f>ROUND(IFERROR(SUMPRODUCT(AJ797:AJ804,E797:E804)/AJ805,0),3)</f>
        <v>0</v>
      </c>
      <c r="F805" s="153"/>
      <c r="G805" s="154"/>
      <c r="H805" s="155"/>
      <c r="I805" s="155"/>
      <c r="J805" s="156"/>
      <c r="K805" s="154"/>
      <c r="L805" s="155"/>
      <c r="M805" s="155"/>
      <c r="N805" s="156"/>
      <c r="O805" s="154"/>
      <c r="P805" s="155"/>
      <c r="Q805" s="155"/>
      <c r="R805" s="156"/>
      <c r="S805" s="154"/>
      <c r="T805" s="155"/>
      <c r="U805" s="155"/>
      <c r="V805" s="156"/>
      <c r="W805" s="154"/>
      <c r="X805" s="155"/>
      <c r="Y805" s="155"/>
      <c r="Z805" s="156"/>
      <c r="AA805" s="154"/>
      <c r="AB805" s="155"/>
      <c r="AC805" s="155"/>
      <c r="AD805" s="156"/>
      <c r="AE805" s="107">
        <f>SUM(AE797:AE804)</f>
        <v>0</v>
      </c>
      <c r="AF805" s="108">
        <f t="shared" si="1582"/>
        <v>0</v>
      </c>
      <c r="AG805" s="109">
        <f>IFERROR(  SUMPRODUCT(AG797:AG804,AJ797:AJ804)/AJ805,0)</f>
        <v>0</v>
      </c>
      <c r="AH805" s="157"/>
      <c r="AI805" s="111">
        <f t="shared" ref="AI805:AJ805" si="1611">SUM(AI797:AI804)</f>
        <v>0</v>
      </c>
      <c r="AJ805" s="111">
        <f t="shared" si="1611"/>
        <v>0</v>
      </c>
      <c r="AK805" s="112">
        <f>IF(SUM(AK797:AK804)=0,TIME(,0,),TIME(,SUM(AK797:AK804)+F!$V$37,))</f>
        <v>0</v>
      </c>
      <c r="AL805" s="98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 ht="15.75" hidden="1" customHeight="1">
      <c r="A806" s="158">
        <f>A807</f>
        <v>43882</v>
      </c>
      <c r="B806" s="159" t="str">
        <f t="shared" ref="B806:F806" si="1612">IF(B750="","",B750)</f>
        <v>Тяжелая</v>
      </c>
      <c r="C806" s="160" t="str">
        <f t="shared" si="1612"/>
        <v>ПР</v>
      </c>
      <c r="D806" s="161" t="str">
        <f t="shared" si="1612"/>
        <v>Присед</v>
      </c>
      <c r="E806" s="29">
        <f t="shared" si="1612"/>
        <v>1.2</v>
      </c>
      <c r="F806" s="162" t="str">
        <f t="shared" si="1612"/>
        <v/>
      </c>
      <c r="G806" s="163" t="str">
        <f t="shared" ref="G806:G813" si="1614">IF(J806&lt;&gt;0, IFERROR(IF( $F806=2,  MROUND($AH806*J806,1),    IF( OR($F806="",$F806=1),   MROUND($AH806*J806,2.5),  MROUND($AH806*J806, 0.1))), "" ), "")</f>
        <v/>
      </c>
      <c r="H806" s="164"/>
      <c r="I806" s="164"/>
      <c r="J806" s="165"/>
      <c r="K806" s="163" t="str">
        <f t="shared" ref="K806:K813" si="1615">IF(N806&lt;&gt;0, IFERROR(IF( $F806=2,  MROUND($AH806*N806,1),    IF( OR($F806="",$F806=1),   MROUND($AH806*N806,2.5),  MROUND($AH806*N806, 0.1))), "" ), "")</f>
        <v/>
      </c>
      <c r="L806" s="164"/>
      <c r="M806" s="164"/>
      <c r="N806" s="165"/>
      <c r="O806" s="163" t="str">
        <f t="shared" ref="O806:O813" si="1616">IF(R806&lt;&gt;0, IFERROR(IF( $F806=2,  MROUND($AH806*R806,1),    IF( OR($F806="",$F806=1),   MROUND($AH806*R806,2.5),  MROUND($AH806*R806, 0.1))), "" ), "")</f>
        <v/>
      </c>
      <c r="P806" s="164"/>
      <c r="Q806" s="164"/>
      <c r="R806" s="165"/>
      <c r="S806" s="163" t="str">
        <f t="shared" ref="S806:S813" si="1617">IF(V806&lt;&gt;0, IFERROR(IF( $F806=2,  MROUND($AH806*V806,1),    IF( OR($F806="",$F806=1),   MROUND($AH806*V806,2.5),  MROUND($AH806*V806, 0.1))), "" ), "")</f>
        <v/>
      </c>
      <c r="T806" s="164"/>
      <c r="U806" s="164"/>
      <c r="V806" s="165"/>
      <c r="W806" s="163" t="str">
        <f t="shared" ref="W806:W813" si="1618">IF(Z806&lt;&gt;0, IFERROR(IF( $F806=2,  MROUND($AH806*Z806,1),    IF( OR($F806="",$F806=1),   MROUND($AH806*Z806,2.5),  MROUND($AH806*Z806, 0.1))), "" ), "")</f>
        <v/>
      </c>
      <c r="X806" s="164"/>
      <c r="Y806" s="164"/>
      <c r="Z806" s="165"/>
      <c r="AA806" s="163" t="str">
        <f t="shared" ref="AA806:AA813" si="1619">IF(AD806&lt;&gt;0, IFERROR(IF( $F806=2,  MROUND($AH806*AD806,1),    IF( OR($F806="",$F806=1),   MROUND($AH806*AD806,2.5),  MROUND($AH806*AD806, 0.1))), "" ), "")</f>
        <v/>
      </c>
      <c r="AB806" s="164"/>
      <c r="AC806" s="164"/>
      <c r="AD806" s="165"/>
      <c r="AE806" s="166">
        <f t="shared" ref="AE806:AE813" si="1620">(IF(ISNUMBER(G806),G806,0)*H806*I806+IF(ISNUMBER(K806),K806,1)*L806*M806+IF(ISNUMBER(O806),O806,1)*P806*Q806+IF(ISNUMBER(S806),S806,1)*T806*U806+IF(ISNUMBER(W806),W806,1)*X806*Y806+IF(ISNUMBER(AA806),AA806,1)*AB806*AC806)*IF(ISNUMBER(F806),F806,1)</f>
        <v>0</v>
      </c>
      <c r="AF806" s="167">
        <f t="shared" si="1582"/>
        <v>0</v>
      </c>
      <c r="AG806" s="168">
        <f t="shared" ref="AG806:AG813" si="1621">IFERROR((AF806/(AH806*IF(ISNUMBER(F806),F806,1))),0)</f>
        <v>0</v>
      </c>
      <c r="AH806" s="169">
        <f t="shared" ref="AH806:AH813" si="1622">IF(ISNUMBER(AH750), AH750+(AH750*$AH$786),"")</f>
        <v>178.129633</v>
      </c>
      <c r="AI806" s="167">
        <f> ( IF(ISNUMBER(G806), VLOOKUP(G806/$AH806,F!$A1:$B101,2,1)*G806*$H806*$I806,0)+IF(ISNUMBER(K806), VLOOKUP(K806/$AH806,F!$A1:$B101,2,1)*K806*$L806*$M806,0)+IF(ISNUMBER(O806), VLOOKUP(O806/$AH806,F!$A1:$B101,2,1)*O806*$P806*$Q806,0)+IF(ISNUMBER(S806), VLOOKUP(S806/$AH806,F!$A1:$B101,2,1)*S806*$T806*$U806,0)+IF(ISNUMBER(W806), VLOOKUP(W806/$AH806,F!$A1:$B101,2,1)*W806*$X806*$Y806,0)+IF(ISNUMBER(AA806), VLOOKUP(AA806/$AH806,F!$A1:$B101,2,1)*AA806*$AB806*$AC806,0))*IF(ISNUMBER(F806),F806,1)*IF(ISNUMBER(E806),E806,1)</f>
        <v>0</v>
      </c>
      <c r="AJ806" s="164">
        <f t="shared" ref="AJ806:AJ813" si="1623">H806*I806+L806*M806+P806*Q806+T806*U806+X806*Y806+AB806*AC806</f>
        <v>0</v>
      </c>
      <c r="AK806" s="170">
        <f t="array" ref="AK806">IFERROR(I806*INDEX(F!$P$21:$AB$33, MATCH(G806/$AH806, F!$O$21:$O$33,1), MATCH(E806, F!$P$20:$AB$20,1)), 0 ) +IFERROR( M806*INDEX(F!$P$21:$AB$33, MATCH(K806/$AH806, F!$O$21:$O$33,1), MATCH(E806, F!$P$20:$AB$20,1)),0) +  IFERROR( Q806*INDEX(F!$P$21:$AB$33, MATCH(O806/$AH806, F!$O$21:$O$33,1), MATCH(E806, F!$P$20:$AB$20,1)), 0) + IFERROR( U806*INDEX(F!$P$21:$AB$33, MATCH(S806/$AH806, F!$O$21:$O$33,1), MATCH(E806, F!$P$20:$AB$20,1)),0)  + IFERROR(Y806*INDEX(F!$P$21:$AB$33, MATCH(W806/$AH806, F!$O$21:$O$33,1), MATCH(E806, F!$P$20:$AB$20,1)),0)  + IFERROR( AC806*INDEX(F!$P$21:$AB$33, MATCH(AA806/$AH806, F!$O$21:$O$33,1), MATCH(E806, F!$P$20:$AB$20,1)),)</f>
        <v>0</v>
      </c>
      <c r="AL806" s="42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 ht="15.75" hidden="1" customHeight="1">
      <c r="A807" s="44">
        <f>A751+A730</f>
        <v>43882</v>
      </c>
      <c r="B807" s="135" t="str">
        <f t="shared" ref="B807:F807" si="1613">IF(B751="","",B751)</f>
        <v>Тяжелая</v>
      </c>
      <c r="C807" s="136" t="str">
        <f t="shared" si="1613"/>
        <v>ЖМ</v>
      </c>
      <c r="D807" s="137" t="str">
        <f t="shared" si="1613"/>
        <v>Жим лежа</v>
      </c>
      <c r="E807" s="48">
        <f t="shared" si="1613"/>
        <v>1</v>
      </c>
      <c r="F807" s="138" t="str">
        <f t="shared" si="1613"/>
        <v/>
      </c>
      <c r="G807" s="139" t="str">
        <f t="shared" si="1614"/>
        <v/>
      </c>
      <c r="H807" s="140"/>
      <c r="I807" s="140"/>
      <c r="J807" s="141"/>
      <c r="K807" s="139" t="str">
        <f t="shared" si="1615"/>
        <v/>
      </c>
      <c r="L807" s="140"/>
      <c r="M807" s="140"/>
      <c r="N807" s="141"/>
      <c r="O807" s="139" t="str">
        <f t="shared" si="1616"/>
        <v/>
      </c>
      <c r="P807" s="140"/>
      <c r="Q807" s="140"/>
      <c r="R807" s="141"/>
      <c r="S807" s="139" t="str">
        <f t="shared" si="1617"/>
        <v/>
      </c>
      <c r="T807" s="140"/>
      <c r="U807" s="140"/>
      <c r="V807" s="141"/>
      <c r="W807" s="139" t="str">
        <f t="shared" si="1618"/>
        <v/>
      </c>
      <c r="X807" s="140"/>
      <c r="Y807" s="140"/>
      <c r="Z807" s="141"/>
      <c r="AA807" s="139" t="str">
        <f t="shared" si="1619"/>
        <v/>
      </c>
      <c r="AB807" s="140"/>
      <c r="AC807" s="140"/>
      <c r="AD807" s="141"/>
      <c r="AE807" s="142">
        <f t="shared" si="1620"/>
        <v>0</v>
      </c>
      <c r="AF807" s="143">
        <f t="shared" si="1582"/>
        <v>0</v>
      </c>
      <c r="AG807" s="144">
        <f t="shared" si="1621"/>
        <v>0</v>
      </c>
      <c r="AH807" s="76">
        <f t="shared" si="1622"/>
        <v>125.3504825</v>
      </c>
      <c r="AI807" s="143">
        <f> ( IF(ISNUMBER(G807), VLOOKUP(G807/$AH807,F!$A1:$B101,2,1)*G807*$H807*$I807,0)+IF(ISNUMBER(K807), VLOOKUP(K807/$AH807,F!$A1:$B101,2,1)*K807*$L807*$M807,0)+IF(ISNUMBER(O807), VLOOKUP(O807/$AH807,F!$A1:$B101,2,1)*O807*$P807*$Q807,0)+IF(ISNUMBER(S807), VLOOKUP(S807/$AH807,F!$A1:$B101,2,1)*S807*$T807*$U807,0)+IF(ISNUMBER(W807), VLOOKUP(W807/$AH807,F!$A1:$B101,2,1)*W807*$X807*$Y807,0)+IF(ISNUMBER(AA807), VLOOKUP(AA807/$AH807,F!$A1:$B101,2,1)*AA807*$AB807*$AC807,0))*IF(ISNUMBER(F807),F807,1)*IF(ISNUMBER(E807),E807,1)</f>
        <v>0</v>
      </c>
      <c r="AJ807" s="140">
        <f t="shared" si="1623"/>
        <v>0</v>
      </c>
      <c r="AK807" s="145">
        <f t="array" ref="AK807">IFERROR(I807*INDEX(F!$P$21:$AB$33, MATCH(G807/$AH807, F!$O$21:$O$33,1), MATCH(E807, F!$P$20:$AB$20,1)), 0 ) +IFERROR( M807*INDEX(F!$P$21:$AB$33, MATCH(K807/$AH807, F!$O$21:$O$33,1), MATCH(E807, F!$P$20:$AB$20,1)),0) +  IFERROR( Q807*INDEX(F!$P$21:$AB$33, MATCH(O807/$AH807, F!$O$21:$O$33,1), MATCH(E807, F!$P$20:$AB$20,1)), 0) + IFERROR( U807*INDEX(F!$P$21:$AB$33, MATCH(S807/$AH807, F!$O$21:$O$33,1), MATCH(E807, F!$P$20:$AB$20,1)),0)  + IFERROR(Y807*INDEX(F!$P$21:$AB$33, MATCH(W807/$AH807, F!$O$21:$O$33,1), MATCH(E807, F!$P$20:$AB$20,1)),0)  + IFERROR( AC807*INDEX(F!$P$21:$AB$33, MATCH(AA807/$AH807, F!$O$21:$O$33,1), MATCH(E807, F!$P$20:$AB$20,1)),)</f>
        <v>0</v>
      </c>
      <c r="AL807" s="59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 ht="15.75" hidden="1" customHeight="1">
      <c r="A808" s="59"/>
      <c r="B808" s="173" t="str">
        <f t="shared" ref="B808:F808" si="1624">IF(B752="","",B752)</f>
        <v>Средняя</v>
      </c>
      <c r="C808" s="174" t="str">
        <f t="shared" si="1624"/>
        <v>ПР</v>
      </c>
      <c r="D808" s="175" t="str">
        <f t="shared" si="1624"/>
        <v>Присед</v>
      </c>
      <c r="E808" s="48">
        <f t="shared" si="1624"/>
        <v>1.2</v>
      </c>
      <c r="F808" s="176" t="str">
        <f t="shared" si="1624"/>
        <v/>
      </c>
      <c r="G808" s="177" t="str">
        <f t="shared" si="1614"/>
        <v/>
      </c>
      <c r="H808" s="178"/>
      <c r="I808" s="178"/>
      <c r="J808" s="179"/>
      <c r="K808" s="177" t="str">
        <f t="shared" si="1615"/>
        <v/>
      </c>
      <c r="L808" s="178"/>
      <c r="M808" s="178"/>
      <c r="N808" s="179"/>
      <c r="O808" s="177" t="str">
        <f t="shared" si="1616"/>
        <v/>
      </c>
      <c r="P808" s="178"/>
      <c r="Q808" s="178"/>
      <c r="R808" s="179"/>
      <c r="S808" s="177" t="str">
        <f t="shared" si="1617"/>
        <v/>
      </c>
      <c r="T808" s="178"/>
      <c r="U808" s="178"/>
      <c r="V808" s="179"/>
      <c r="W808" s="177" t="str">
        <f t="shared" si="1618"/>
        <v/>
      </c>
      <c r="X808" s="178"/>
      <c r="Y808" s="178"/>
      <c r="Z808" s="179"/>
      <c r="AA808" s="177" t="str">
        <f t="shared" si="1619"/>
        <v/>
      </c>
      <c r="AB808" s="178"/>
      <c r="AC808" s="178"/>
      <c r="AD808" s="179"/>
      <c r="AE808" s="180">
        <f t="shared" si="1620"/>
        <v>0</v>
      </c>
      <c r="AF808" s="181">
        <f t="shared" si="1582"/>
        <v>0</v>
      </c>
      <c r="AG808" s="182">
        <f t="shared" si="1621"/>
        <v>0</v>
      </c>
      <c r="AH808" s="76">
        <f t="shared" si="1622"/>
        <v>178.129633</v>
      </c>
      <c r="AI808" s="181">
        <f> ( IF(ISNUMBER(G808), VLOOKUP(G808/$AH808,F!$A1:$B101,2,1)*G808*$H808*$I808,0)+IF(ISNUMBER(K808), VLOOKUP(K808/$AH808,F!$A1:$B101,2,1)*K808*$L808*$M808,0)+IF(ISNUMBER(O808), VLOOKUP(O808/$AH808,F!$A1:$B101,2,1)*O808*$P808*$Q808,0)+IF(ISNUMBER(S808), VLOOKUP(S808/$AH808,F!$A1:$B101,2,1)*S808*$T808*$U808,0)+IF(ISNUMBER(W808), VLOOKUP(W808/$AH808,F!$A1:$B101,2,1)*W808*$X808*$Y808,0)+IF(ISNUMBER(AA808), VLOOKUP(AA808/$AH808,F!$A1:$B101,2,1)*AA808*$AB808*$AC808,0))*IF(ISNUMBER(F808),F808,1)*IF(ISNUMBER(E808),E808,1)</f>
        <v>0</v>
      </c>
      <c r="AJ808" s="178">
        <f t="shared" si="1623"/>
        <v>0</v>
      </c>
      <c r="AK808" s="183">
        <f t="array" ref="AK808">IFERROR(I808*INDEX(F!$P$21:$AB$33, MATCH(G808/$AH808, F!$O$21:$O$33,1), MATCH(E808, F!$P$20:$AB$20,1)), 0 ) +IFERROR( M808*INDEX(F!$P$21:$AB$33, MATCH(K808/$AH808, F!$O$21:$O$33,1), MATCH(E808, F!$P$20:$AB$20,1)),0) +  IFERROR( Q808*INDEX(F!$P$21:$AB$33, MATCH(O808/$AH808, F!$O$21:$O$33,1), MATCH(E808, F!$P$20:$AB$20,1)), 0) + IFERROR( U808*INDEX(F!$P$21:$AB$33, MATCH(S808/$AH808, F!$O$21:$O$33,1), MATCH(E808, F!$P$20:$AB$20,1)),0)  + IFERROR(Y808*INDEX(F!$P$21:$AB$33, MATCH(W808/$AH808, F!$O$21:$O$33,1), MATCH(E808, F!$P$20:$AB$20,1)),0)  + IFERROR( AC808*INDEX(F!$P$21:$AB$33, MATCH(AA808/$AH808, F!$O$21:$O$33,1), MATCH(E808, F!$P$20:$AB$20,1)),)</f>
        <v>0</v>
      </c>
      <c r="AL808" s="59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 ht="15.75" hidden="1" customHeight="1">
      <c r="A809" s="59"/>
      <c r="B809" s="135" t="str">
        <f t="shared" ref="B809:F809" si="1625">IF(B753="","",B753)</f>
        <v>Средняя</v>
      </c>
      <c r="C809" s="136" t="str">
        <f t="shared" si="1625"/>
        <v>ЖМ</v>
      </c>
      <c r="D809" s="137" t="str">
        <f t="shared" si="1625"/>
        <v>Жим на наклонной скамье</v>
      </c>
      <c r="E809" s="48">
        <f t="shared" si="1625"/>
        <v>1</v>
      </c>
      <c r="F809" s="138" t="str">
        <f t="shared" si="1625"/>
        <v/>
      </c>
      <c r="G809" s="139" t="str">
        <f t="shared" si="1614"/>
        <v/>
      </c>
      <c r="H809" s="140"/>
      <c r="I809" s="140"/>
      <c r="J809" s="141"/>
      <c r="K809" s="139" t="str">
        <f t="shared" si="1615"/>
        <v/>
      </c>
      <c r="L809" s="140"/>
      <c r="M809" s="140"/>
      <c r="N809" s="141"/>
      <c r="O809" s="139" t="str">
        <f t="shared" si="1616"/>
        <v/>
      </c>
      <c r="P809" s="140"/>
      <c r="Q809" s="140"/>
      <c r="R809" s="141"/>
      <c r="S809" s="139" t="str">
        <f t="shared" si="1617"/>
        <v/>
      </c>
      <c r="T809" s="140"/>
      <c r="U809" s="140"/>
      <c r="V809" s="141"/>
      <c r="W809" s="139" t="str">
        <f t="shared" si="1618"/>
        <v/>
      </c>
      <c r="X809" s="140"/>
      <c r="Y809" s="140"/>
      <c r="Z809" s="141"/>
      <c r="AA809" s="139" t="str">
        <f t="shared" si="1619"/>
        <v/>
      </c>
      <c r="AB809" s="140"/>
      <c r="AC809" s="140"/>
      <c r="AD809" s="141"/>
      <c r="AE809" s="142">
        <f t="shared" si="1620"/>
        <v>0</v>
      </c>
      <c r="AF809" s="143">
        <f t="shared" si="1582"/>
        <v>0</v>
      </c>
      <c r="AG809" s="144">
        <f t="shared" si="1621"/>
        <v>0</v>
      </c>
      <c r="AH809" s="76">
        <f t="shared" si="1622"/>
        <v>100.280386</v>
      </c>
      <c r="AI809" s="143">
        <f> ( IF(ISNUMBER(G809), VLOOKUP(G809/$AH809,F!$A1:$B101,2,1)*G809*$H809*$I809,0)+IF(ISNUMBER(K809), VLOOKUP(K809/$AH809,F!$A1:$B101,2,1)*K809*$L809*$M809,0)+IF(ISNUMBER(O809), VLOOKUP(O809/$AH809,F!$A1:$B101,2,1)*O809*$P809*$Q809,0)+IF(ISNUMBER(S809), VLOOKUP(S809/$AH809,F!$A1:$B101,2,1)*S809*$T809*$U809,0)+IF(ISNUMBER(W809), VLOOKUP(W809/$AH809,F!$A1:$B101,2,1)*W809*$X809*$Y809,0)+IF(ISNUMBER(AA809), VLOOKUP(AA809/$AH809,F!$A1:$B101,2,1)*AA809*$AB809*$AC809,0))*IF(ISNUMBER(F809),F809,1)*IF(ISNUMBER(E809),E809,1)</f>
        <v>0</v>
      </c>
      <c r="AJ809" s="140">
        <f t="shared" si="1623"/>
        <v>0</v>
      </c>
      <c r="AK809" s="145">
        <f t="array" ref="AK809">IFERROR(I809*INDEX(F!$P$21:$AB$33, MATCH(G809/$AH809, F!$O$21:$O$33,1), MATCH(E809, F!$P$20:$AB$20,1)), 0 ) +IFERROR( M809*INDEX(F!$P$21:$AB$33, MATCH(K809/$AH809, F!$O$21:$O$33,1), MATCH(E809, F!$P$20:$AB$20,1)),0) +  IFERROR( Q809*INDEX(F!$P$21:$AB$33, MATCH(O809/$AH809, F!$O$21:$O$33,1), MATCH(E809, F!$P$20:$AB$20,1)), 0) + IFERROR( U809*INDEX(F!$P$21:$AB$33, MATCH(S809/$AH809, F!$O$21:$O$33,1), MATCH(E809, F!$P$20:$AB$20,1)),0)  + IFERROR(Y809*INDEX(F!$P$21:$AB$33, MATCH(W809/$AH809, F!$O$21:$O$33,1), MATCH(E809, F!$P$20:$AB$20,1)),0)  + IFERROR( AC809*INDEX(F!$P$21:$AB$33, MATCH(AA809/$AH809, F!$O$21:$O$33,1), MATCH(E809, F!$P$20:$AB$20,1)),)</f>
        <v>0</v>
      </c>
      <c r="AL809" s="59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 ht="15.75" hidden="1" customHeight="1">
      <c r="A810" s="59"/>
      <c r="B810" s="173" t="str">
        <f t="shared" ref="B810:F810" si="1626">IF(B754="","",B754)</f>
        <v>Средняя</v>
      </c>
      <c r="C810" s="174" t="str">
        <f t="shared" si="1626"/>
        <v>ОФП</v>
      </c>
      <c r="D810" s="175" t="str">
        <f t="shared" si="1626"/>
        <v>Бицепс стоя</v>
      </c>
      <c r="E810" s="48">
        <f t="shared" si="1626"/>
        <v>0.5</v>
      </c>
      <c r="F810" s="176" t="str">
        <f t="shared" si="1626"/>
        <v/>
      </c>
      <c r="G810" s="177" t="str">
        <f t="shared" si="1614"/>
        <v/>
      </c>
      <c r="H810" s="178"/>
      <c r="I810" s="178"/>
      <c r="J810" s="179"/>
      <c r="K810" s="177" t="str">
        <f t="shared" si="1615"/>
        <v/>
      </c>
      <c r="L810" s="178"/>
      <c r="M810" s="178"/>
      <c r="N810" s="179"/>
      <c r="O810" s="177" t="str">
        <f t="shared" si="1616"/>
        <v/>
      </c>
      <c r="P810" s="178"/>
      <c r="Q810" s="178"/>
      <c r="R810" s="179"/>
      <c r="S810" s="177" t="str">
        <f t="shared" si="1617"/>
        <v/>
      </c>
      <c r="T810" s="178"/>
      <c r="U810" s="178"/>
      <c r="V810" s="179"/>
      <c r="W810" s="177" t="str">
        <f t="shared" si="1618"/>
        <v/>
      </c>
      <c r="X810" s="178"/>
      <c r="Y810" s="178"/>
      <c r="Z810" s="179"/>
      <c r="AA810" s="177" t="str">
        <f t="shared" si="1619"/>
        <v/>
      </c>
      <c r="AB810" s="178"/>
      <c r="AC810" s="178"/>
      <c r="AD810" s="179"/>
      <c r="AE810" s="180">
        <f t="shared" si="1620"/>
        <v>0</v>
      </c>
      <c r="AF810" s="181">
        <f t="shared" si="1582"/>
        <v>0</v>
      </c>
      <c r="AG810" s="182">
        <f t="shared" si="1621"/>
        <v>0</v>
      </c>
      <c r="AH810" s="76" t="str">
        <f t="shared" si="1622"/>
        <v/>
      </c>
      <c r="AI810" s="181">
        <f> ( IF(ISNUMBER(G810), VLOOKUP(G810/$AH810,F!$A1:$B101,2,1)*G810*$H810*$I810,0)+IF(ISNUMBER(K810), VLOOKUP(K810/$AH810,F!$A1:$B101,2,1)*K810*$L810*$M810,0)+IF(ISNUMBER(O810), VLOOKUP(O810/$AH810,F!$A1:$B101,2,1)*O810*$P810*$Q810,0)+IF(ISNUMBER(S810), VLOOKUP(S810/$AH810,F!$A1:$B101,2,1)*S810*$T810*$U810,0)+IF(ISNUMBER(W810), VLOOKUP(W810/$AH810,F!$A1:$B101,2,1)*W810*$X810*$Y810,0)+IF(ISNUMBER(AA810), VLOOKUP(AA810/$AH810,F!$A1:$B101,2,1)*AA810*$AB810*$AC810,0))*IF(ISNUMBER(F810),F810,1)*IF(ISNUMBER(E810),E810,1)</f>
        <v>0</v>
      </c>
      <c r="AJ810" s="178">
        <f t="shared" si="1623"/>
        <v>0</v>
      </c>
      <c r="AK810" s="183">
        <f t="array" ref="AK810">IFERROR(I810*INDEX(F!$P$21:$AB$33, MATCH(G810/$AH810, F!$O$21:$O$33,1), MATCH(E810, F!$P$20:$AB$20,1)), 0 ) +IFERROR( M810*INDEX(F!$P$21:$AB$33, MATCH(K810/$AH810, F!$O$21:$O$33,1), MATCH(E810, F!$P$20:$AB$20,1)),0) +  IFERROR( Q810*INDEX(F!$P$21:$AB$33, MATCH(O810/$AH810, F!$O$21:$O$33,1), MATCH(E810, F!$P$20:$AB$20,1)), 0) + IFERROR( U810*INDEX(F!$P$21:$AB$33, MATCH(S810/$AH810, F!$O$21:$O$33,1), MATCH(E810, F!$P$20:$AB$20,1)),0)  + IFERROR(Y810*INDEX(F!$P$21:$AB$33, MATCH(W810/$AH810, F!$O$21:$O$33,1), MATCH(E810, F!$P$20:$AB$20,1)),0)  + IFERROR( AC810*INDEX(F!$P$21:$AB$33, MATCH(AA810/$AH810, F!$O$21:$O$33,1), MATCH(E810, F!$P$20:$AB$20,1)),)</f>
        <v>0</v>
      </c>
      <c r="AL810" s="59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 ht="15.75" hidden="1" customHeight="1">
      <c r="A811" s="59"/>
      <c r="B811" s="135" t="str">
        <f t="shared" ref="B811:F811" si="1627">IF(B755="","",B755)</f>
        <v/>
      </c>
      <c r="C811" s="136" t="str">
        <f t="shared" si="1627"/>
        <v/>
      </c>
      <c r="D811" s="137" t="str">
        <f t="shared" si="1627"/>
        <v/>
      </c>
      <c r="E811" s="48" t="str">
        <f t="shared" si="1627"/>
        <v/>
      </c>
      <c r="F811" s="138" t="str">
        <f t="shared" si="1627"/>
        <v/>
      </c>
      <c r="G811" s="139" t="str">
        <f t="shared" si="1614"/>
        <v/>
      </c>
      <c r="H811" s="140"/>
      <c r="I811" s="140"/>
      <c r="J811" s="141"/>
      <c r="K811" s="139" t="str">
        <f t="shared" si="1615"/>
        <v/>
      </c>
      <c r="L811" s="140"/>
      <c r="M811" s="140"/>
      <c r="N811" s="141"/>
      <c r="O811" s="139" t="str">
        <f t="shared" si="1616"/>
        <v/>
      </c>
      <c r="P811" s="140"/>
      <c r="Q811" s="140"/>
      <c r="R811" s="141"/>
      <c r="S811" s="139" t="str">
        <f t="shared" si="1617"/>
        <v/>
      </c>
      <c r="T811" s="140"/>
      <c r="U811" s="140"/>
      <c r="V811" s="141"/>
      <c r="W811" s="139" t="str">
        <f t="shared" si="1618"/>
        <v/>
      </c>
      <c r="X811" s="140"/>
      <c r="Y811" s="140"/>
      <c r="Z811" s="141"/>
      <c r="AA811" s="139" t="str">
        <f t="shared" si="1619"/>
        <v/>
      </c>
      <c r="AB811" s="140"/>
      <c r="AC811" s="140"/>
      <c r="AD811" s="141"/>
      <c r="AE811" s="142">
        <f t="shared" si="1620"/>
        <v>0</v>
      </c>
      <c r="AF811" s="143">
        <f t="shared" si="1582"/>
        <v>0</v>
      </c>
      <c r="AG811" s="144">
        <f t="shared" si="1621"/>
        <v>0</v>
      </c>
      <c r="AH811" s="76" t="str">
        <f t="shared" si="1622"/>
        <v/>
      </c>
      <c r="AI811" s="143">
        <f> ( IF(ISNUMBER(G811), VLOOKUP(G811/$AH811,F!$A1:$B101,2,1)*G811*$H811*$I811,0)+IF(ISNUMBER(K811), VLOOKUP(K811/$AH811,F!$A1:$B101,2,1)*K811*$L811*$M811,0)+IF(ISNUMBER(O811), VLOOKUP(O811/$AH811,F!$A1:$B101,2,1)*O811*$P811*$Q811,0)+IF(ISNUMBER(S811), VLOOKUP(S811/$AH811,F!$A1:$B101,2,1)*S811*$T811*$U811,0)+IF(ISNUMBER(W811), VLOOKUP(W811/$AH811,F!$A1:$B101,2,1)*W811*$X811*$Y811,0)+IF(ISNUMBER(AA811), VLOOKUP(AA811/$AH811,F!$A1:$B101,2,1)*AA811*$AB811*$AC811,0))*IF(ISNUMBER(F811),F811,1)*IF(ISNUMBER(E811),E811,1)</f>
        <v>0</v>
      </c>
      <c r="AJ811" s="140">
        <f t="shared" si="1623"/>
        <v>0</v>
      </c>
      <c r="AK811" s="145">
        <f t="array" ref="AK811">IFERROR(I811*INDEX(F!$P$21:$AB$33, MATCH(G811/$AH811, F!$O$21:$O$33,1), MATCH(E811, F!$P$20:$AB$20,1)), 0 ) +IFERROR( M811*INDEX(F!$P$21:$AB$33, MATCH(K811/$AH811, F!$O$21:$O$33,1), MATCH(E811, F!$P$20:$AB$20,1)),0) +  IFERROR( Q811*INDEX(F!$P$21:$AB$33, MATCH(O811/$AH811, F!$O$21:$O$33,1), MATCH(E811, F!$P$20:$AB$20,1)), 0) + IFERROR( U811*INDEX(F!$P$21:$AB$33, MATCH(S811/$AH811, F!$O$21:$O$33,1), MATCH(E811, F!$P$20:$AB$20,1)),0)  + IFERROR(Y811*INDEX(F!$P$21:$AB$33, MATCH(W811/$AH811, F!$O$21:$O$33,1), MATCH(E811, F!$P$20:$AB$20,1)),0)  + IFERROR( AC811*INDEX(F!$P$21:$AB$33, MATCH(AA811/$AH811, F!$O$21:$O$33,1), MATCH(E811, F!$P$20:$AB$20,1)),)</f>
        <v>0</v>
      </c>
      <c r="AL811" s="59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 ht="15.75" hidden="1" customHeight="1">
      <c r="A812" s="59"/>
      <c r="B812" s="173" t="str">
        <f t="shared" ref="B812:F812" si="1628">IF(B756="","",B756)</f>
        <v/>
      </c>
      <c r="C812" s="174" t="str">
        <f t="shared" si="1628"/>
        <v/>
      </c>
      <c r="D812" s="175" t="str">
        <f t="shared" si="1628"/>
        <v/>
      </c>
      <c r="E812" s="48" t="str">
        <f t="shared" si="1628"/>
        <v/>
      </c>
      <c r="F812" s="176" t="str">
        <f t="shared" si="1628"/>
        <v/>
      </c>
      <c r="G812" s="177" t="str">
        <f t="shared" si="1614"/>
        <v/>
      </c>
      <c r="H812" s="178"/>
      <c r="I812" s="178"/>
      <c r="J812" s="179"/>
      <c r="K812" s="177" t="str">
        <f t="shared" si="1615"/>
        <v/>
      </c>
      <c r="L812" s="178"/>
      <c r="M812" s="178"/>
      <c r="N812" s="179"/>
      <c r="O812" s="177" t="str">
        <f t="shared" si="1616"/>
        <v/>
      </c>
      <c r="P812" s="178"/>
      <c r="Q812" s="178"/>
      <c r="R812" s="179"/>
      <c r="S812" s="177" t="str">
        <f t="shared" si="1617"/>
        <v/>
      </c>
      <c r="T812" s="178"/>
      <c r="U812" s="178"/>
      <c r="V812" s="179"/>
      <c r="W812" s="177" t="str">
        <f t="shared" si="1618"/>
        <v/>
      </c>
      <c r="X812" s="178"/>
      <c r="Y812" s="178"/>
      <c r="Z812" s="179"/>
      <c r="AA812" s="177" t="str">
        <f t="shared" si="1619"/>
        <v/>
      </c>
      <c r="AB812" s="178"/>
      <c r="AC812" s="178"/>
      <c r="AD812" s="179"/>
      <c r="AE812" s="180">
        <f t="shared" si="1620"/>
        <v>0</v>
      </c>
      <c r="AF812" s="181">
        <f t="shared" si="1582"/>
        <v>0</v>
      </c>
      <c r="AG812" s="182">
        <f t="shared" si="1621"/>
        <v>0</v>
      </c>
      <c r="AH812" s="76" t="str">
        <f t="shared" si="1622"/>
        <v/>
      </c>
      <c r="AI812" s="181">
        <f> ( IF(ISNUMBER(G812), VLOOKUP(G812/$AH812,F!$A1:$B101,2,1)*G812*$H812*$I812,0)+IF(ISNUMBER(K812), VLOOKUP(K812/$AH812,F!$A1:$B101,2,1)*K812*$L812*$M812,0)+IF(ISNUMBER(O812), VLOOKUP(O812/$AH812,F!$A1:$B101,2,1)*O812*$P812*$Q812,0)+IF(ISNUMBER(S812), VLOOKUP(S812/$AH812,F!$A1:$B101,2,1)*S812*$T812*$U812,0)+IF(ISNUMBER(W812), VLOOKUP(W812/$AH812,F!$A1:$B101,2,1)*W812*$X812*$Y812,0)+IF(ISNUMBER(AA812), VLOOKUP(AA812/$AH812,F!$A1:$B101,2,1)*AA812*$AB812*$AC812,0))*IF(ISNUMBER(F812),F812,1)*IF(ISNUMBER(E812),E812,1)</f>
        <v>0</v>
      </c>
      <c r="AJ812" s="178">
        <f t="shared" si="1623"/>
        <v>0</v>
      </c>
      <c r="AK812" s="183">
        <f t="array" ref="AK812">IFERROR(I812*INDEX(F!$P$21:$AB$33, MATCH(G812/$AH812, F!$O$21:$O$33,1), MATCH(E812, F!$P$20:$AB$20,1)), 0 ) +IFERROR( M812*INDEX(F!$P$21:$AB$33, MATCH(K812/$AH812, F!$O$21:$O$33,1), MATCH(E812, F!$P$20:$AB$20,1)),0) +  IFERROR( Q812*INDEX(F!$P$21:$AB$33, MATCH(O812/$AH812, F!$O$21:$O$33,1), MATCH(E812, F!$P$20:$AB$20,1)), 0) + IFERROR( U812*INDEX(F!$P$21:$AB$33, MATCH(S812/$AH812, F!$O$21:$O$33,1), MATCH(E812, F!$P$20:$AB$20,1)),0)  + IFERROR(Y812*INDEX(F!$P$21:$AB$33, MATCH(W812/$AH812, F!$O$21:$O$33,1), MATCH(E812, F!$P$20:$AB$20,1)),0)  + IFERROR( AC812*INDEX(F!$P$21:$AB$33, MATCH(AA812/$AH812, F!$O$21:$O$33,1), MATCH(E812, F!$P$20:$AB$20,1)),)</f>
        <v>0</v>
      </c>
      <c r="AL812" s="59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 ht="15.75" hidden="1" customHeight="1">
      <c r="A813" s="59"/>
      <c r="B813" s="135" t="str">
        <f t="shared" ref="B813:F813" si="1629">IF(B757="","",B757)</f>
        <v/>
      </c>
      <c r="C813" s="136" t="str">
        <f t="shared" si="1629"/>
        <v/>
      </c>
      <c r="D813" s="137" t="str">
        <f t="shared" si="1629"/>
        <v/>
      </c>
      <c r="E813" s="48" t="str">
        <f t="shared" si="1629"/>
        <v/>
      </c>
      <c r="F813" s="138" t="str">
        <f t="shared" si="1629"/>
        <v/>
      </c>
      <c r="G813" s="139" t="str">
        <f t="shared" si="1614"/>
        <v/>
      </c>
      <c r="H813" s="140"/>
      <c r="I813" s="140"/>
      <c r="J813" s="141"/>
      <c r="K813" s="139" t="str">
        <f t="shared" si="1615"/>
        <v/>
      </c>
      <c r="L813" s="140"/>
      <c r="M813" s="140"/>
      <c r="N813" s="141"/>
      <c r="O813" s="139" t="str">
        <f t="shared" si="1616"/>
        <v/>
      </c>
      <c r="P813" s="140"/>
      <c r="Q813" s="140"/>
      <c r="R813" s="141"/>
      <c r="S813" s="139" t="str">
        <f t="shared" si="1617"/>
        <v/>
      </c>
      <c r="T813" s="140"/>
      <c r="U813" s="140"/>
      <c r="V813" s="141"/>
      <c r="W813" s="139" t="str">
        <f t="shared" si="1618"/>
        <v/>
      </c>
      <c r="X813" s="140"/>
      <c r="Y813" s="140"/>
      <c r="Z813" s="141"/>
      <c r="AA813" s="139" t="str">
        <f t="shared" si="1619"/>
        <v/>
      </c>
      <c r="AB813" s="140"/>
      <c r="AC813" s="140"/>
      <c r="AD813" s="141"/>
      <c r="AE813" s="142">
        <f t="shared" si="1620"/>
        <v>0</v>
      </c>
      <c r="AF813" s="143">
        <f t="shared" si="1582"/>
        <v>0</v>
      </c>
      <c r="AG813" s="144">
        <f t="shared" si="1621"/>
        <v>0</v>
      </c>
      <c r="AH813" s="76" t="str">
        <f t="shared" si="1622"/>
        <v/>
      </c>
      <c r="AI813" s="143">
        <f> ( IF(ISNUMBER(G813), VLOOKUP(G813/$AH813,F!$A1:$B101,2,1)*G813*$H813*$I813,0)+IF(ISNUMBER(K813), VLOOKUP(K813/$AH813,F!$A1:$B101,2,1)*K813*$L813*$M813,0)+IF(ISNUMBER(O813), VLOOKUP(O813/$AH813,F!$A1:$B101,2,1)*O813*$P813*$Q813,0)+IF(ISNUMBER(S813), VLOOKUP(S813/$AH813,F!$A1:$B101,2,1)*S813*$T813*$U813,0)+IF(ISNUMBER(W813), VLOOKUP(W813/$AH813,F!$A1:$B101,2,1)*W813*$X813*$Y813,0)+IF(ISNUMBER(AA813), VLOOKUP(AA813/$AH813,F!$A1:$B101,2,1)*AA813*$AB813*$AC813,0))*IF(ISNUMBER(F813),F813,1)*IF(ISNUMBER(E813),E813,1)</f>
        <v>0</v>
      </c>
      <c r="AJ813" s="140">
        <f t="shared" si="1623"/>
        <v>0</v>
      </c>
      <c r="AK813" s="145">
        <f t="array" ref="AK813">IFERROR(I813*INDEX(F!$P$21:$AB$33, MATCH(G813/$AH813, F!$O$21:$O$33,1), MATCH(E813, F!$P$20:$AB$20,1)), 0 ) +IFERROR( M813*INDEX(F!$P$21:$AB$33, MATCH(K813/$AH813, F!$O$21:$O$33,1), MATCH(E813, F!$P$20:$AB$20,1)),0) +  IFERROR( Q813*INDEX(F!$P$21:$AB$33, MATCH(O813/$AH813, F!$O$21:$O$33,1), MATCH(E813, F!$P$20:$AB$20,1)), 0) + IFERROR( U813*INDEX(F!$P$21:$AB$33, MATCH(S813/$AH813, F!$O$21:$O$33,1), MATCH(E813, F!$P$20:$AB$20,1)),0)  + IFERROR(Y813*INDEX(F!$P$21:$AB$33, MATCH(W813/$AH813, F!$O$21:$O$33,1), MATCH(E813, F!$P$20:$AB$20,1)),0)  + IFERROR( AC813*INDEX(F!$P$21:$AB$33, MATCH(AA813/$AH813, F!$O$21:$O$33,1), MATCH(E813, F!$P$20:$AB$20,1)),)</f>
        <v>0</v>
      </c>
      <c r="AL813" s="59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 ht="15.75" hidden="1" customHeight="1">
      <c r="A814" s="98"/>
      <c r="B814" s="188"/>
      <c r="C814" s="189"/>
      <c r="D814" s="190"/>
      <c r="E814" s="102">
        <f>ROUND(IFERROR(SUMPRODUCT(AJ806:AJ813,E806:E813)/AJ814,0),3)</f>
        <v>0</v>
      </c>
      <c r="F814" s="191"/>
      <c r="G814" s="192"/>
      <c r="H814" s="193"/>
      <c r="I814" s="193"/>
      <c r="J814" s="194"/>
      <c r="K814" s="192"/>
      <c r="L814" s="193"/>
      <c r="M814" s="193"/>
      <c r="N814" s="194"/>
      <c r="O814" s="192"/>
      <c r="P814" s="193"/>
      <c r="Q814" s="193"/>
      <c r="R814" s="194"/>
      <c r="S814" s="192"/>
      <c r="T814" s="193"/>
      <c r="U814" s="193"/>
      <c r="V814" s="194"/>
      <c r="W814" s="192"/>
      <c r="X814" s="193"/>
      <c r="Y814" s="193"/>
      <c r="Z814" s="194"/>
      <c r="AA814" s="192"/>
      <c r="AB814" s="193"/>
      <c r="AC814" s="193"/>
      <c r="AD814" s="194"/>
      <c r="AE814" s="107">
        <f>SUM(AE806:AE813)</f>
        <v>0</v>
      </c>
      <c r="AF814" s="108">
        <f t="shared" si="1582"/>
        <v>0</v>
      </c>
      <c r="AG814" s="109">
        <f>IFERROR(  SUMPRODUCT(AG806:AG813,AJ806:AJ813)/AJ814,0)</f>
        <v>0</v>
      </c>
      <c r="AH814" s="157"/>
      <c r="AI814" s="111">
        <f t="shared" ref="AI814:AJ814" si="1630">SUM(AI806:AI813)</f>
        <v>0</v>
      </c>
      <c r="AJ814" s="111">
        <f t="shared" si="1630"/>
        <v>0</v>
      </c>
      <c r="AK814" s="112">
        <f>IF(SUM(AK806:AK813)=0,TIME(,0,),TIME(,SUM(AK806:AK813)+F!$V$37,))</f>
        <v>0</v>
      </c>
      <c r="AL814" s="98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 ht="15.75" hidden="1" customHeight="1">
      <c r="A815" s="25">
        <f>A816</f>
        <v>43883</v>
      </c>
      <c r="B815" s="26" t="str">
        <f t="shared" ref="B815:F815" si="1631">IF(B759="","",B759)</f>
        <v/>
      </c>
      <c r="C815" s="27" t="str">
        <f t="shared" si="1631"/>
        <v/>
      </c>
      <c r="D815" s="28" t="str">
        <f t="shared" si="1631"/>
        <v/>
      </c>
      <c r="E815" s="29" t="str">
        <f t="shared" si="1631"/>
        <v/>
      </c>
      <c r="F815" s="30" t="str">
        <f t="shared" si="1631"/>
        <v/>
      </c>
      <c r="G815" s="31" t="str">
        <f t="shared" ref="G815:G822" si="1633">IF(J815&lt;&gt;0, IFERROR(IF( $F815=2,  MROUND($AH815*J815,1),    IF( OR($F815="",$F815=1),   MROUND($AH815*J815,2.5),  MROUND($AH815*J815, 0.1))), "" ), "")</f>
        <v/>
      </c>
      <c r="H815" s="32"/>
      <c r="I815" s="32"/>
      <c r="J815" s="33"/>
      <c r="K815" s="31" t="str">
        <f t="shared" ref="K815:K822" si="1634">IF(N815&lt;&gt;0, IFERROR(IF( $F815=2,  MROUND($AH815*N815,1),    IF( OR($F815="",$F815=1),   MROUND($AH815*N815,2.5),  MROUND($AH815*N815, 0.1))), "" ), "")</f>
        <v/>
      </c>
      <c r="L815" s="32"/>
      <c r="M815" s="32"/>
      <c r="N815" s="33"/>
      <c r="O815" s="31" t="str">
        <f t="shared" ref="O815:O822" si="1635">IF(R815&lt;&gt;0, IFERROR(IF( $F815=2,  MROUND($AH815*R815,1),    IF( OR($F815="",$F815=1),   MROUND($AH815*R815,2.5),  MROUND($AH815*R815, 0.1))), "" ), "")</f>
        <v/>
      </c>
      <c r="P815" s="32"/>
      <c r="Q815" s="32"/>
      <c r="R815" s="33"/>
      <c r="S815" s="31" t="str">
        <f t="shared" ref="S815:S822" si="1636">IF(V815&lt;&gt;0, IFERROR(IF( $F815=2,  MROUND($AH815*V815,1),    IF( OR($F815="",$F815=1),   MROUND($AH815*V815,2.5),  MROUND($AH815*V815, 0.1))), "" ), "")</f>
        <v/>
      </c>
      <c r="T815" s="32"/>
      <c r="U815" s="32"/>
      <c r="V815" s="33"/>
      <c r="W815" s="31" t="str">
        <f t="shared" ref="W815:W822" si="1637">IF(Z815&lt;&gt;0, IFERROR(IF( $F815=2,  MROUND($AH815*Z815,1),    IF( OR($F815="",$F815=1),   MROUND($AH815*Z815,2.5),  MROUND($AH815*Z815, 0.1))), "" ), "")</f>
        <v/>
      </c>
      <c r="X815" s="32"/>
      <c r="Y815" s="32"/>
      <c r="Z815" s="33"/>
      <c r="AA815" s="31" t="str">
        <f t="shared" ref="AA815:AA822" si="1638">IF(AD815&lt;&gt;0, IFERROR(IF( $F815=2,  MROUND($AH815*AD815,1),    IF( OR($F815="",$F815=1),   MROUND($AH815*AD815,2.5),  MROUND($AH815*AD815, 0.1))), "" ), "")</f>
        <v/>
      </c>
      <c r="AB815" s="32"/>
      <c r="AC815" s="32"/>
      <c r="AD815" s="33"/>
      <c r="AE815" s="35">
        <f t="shared" ref="AE815:AE822" si="1639">(IF(ISNUMBER(G815),G815,0)*H815*I815+IF(ISNUMBER(K815),K815,1)*L815*M815+IF(ISNUMBER(O815),O815,1)*P815*Q815+IF(ISNUMBER(S815),S815,1)*T815*U815+IF(ISNUMBER(W815),W815,1)*X815*Y815+IF(ISNUMBER(AA815),AA815,1)*AB815*AC815)*IF(ISNUMBER(F815),F815,1)</f>
        <v>0</v>
      </c>
      <c r="AF815" s="36">
        <f t="shared" si="1582"/>
        <v>0</v>
      </c>
      <c r="AG815" s="195">
        <f t="shared" ref="AG815:AG822" si="1640">IFERROR((AF815/(AH815*IF(ISNUMBER(F815),F815,1))),0)</f>
        <v>0</v>
      </c>
      <c r="AH815" s="169" t="str">
        <f t="shared" ref="AH815:AH822" si="1641">IF(ISNUMBER(AH759), AH759+(AH759*$AH$786),"")</f>
        <v/>
      </c>
      <c r="AI815" s="196">
        <f> ( IF(ISNUMBER(G815), VLOOKUP(G815/$AH815,F!$A1:$B101,2,1)*G815*$H815*$I815,0)+IF(ISNUMBER(K815), VLOOKUP(K815/$AH815,F!$A1:$B101,2,1)*K815*$L815*$M815,0)+IF(ISNUMBER(O815), VLOOKUP(O815/$AH815,F!$A1:$B101,2,1)*O815*$P815*$Q815,0)+IF(ISNUMBER(S815), VLOOKUP(S815/$AH815,F!$A1:$B101,2,1)*S815*$T815*$U815,0)+IF(ISNUMBER(W815), VLOOKUP(W815/$AH815,F!$A1:$B101,2,1)*W815*$X815*$Y815,0)+IF(ISNUMBER(AA815), VLOOKUP(AA815/$AH815,F!$A1:$B101,2,1)*AA815*$AB815*$AC815,0))*IF(ISNUMBER(F815),F815,1)*IF(ISNUMBER(E815),E815,1)</f>
        <v>0</v>
      </c>
      <c r="AJ815" s="40">
        <f t="shared" ref="AJ815:AJ822" si="1642">H815*I815+L815*M815+P815*Q815+T815*U815+X815*Y815+AB815*AC815</f>
        <v>0</v>
      </c>
      <c r="AK815" s="41">
        <f t="array" ref="AK815">IFERROR(I815*INDEX(F!$P$21:$AB$33, MATCH(G815/$AH815, F!$O$21:$O$33,1), MATCH(E815, F!$P$20:$AB$20,1)), 0 ) +IFERROR( M815*INDEX(F!$P$21:$AB$33, MATCH(K815/$AH815, F!$O$21:$O$33,1), MATCH(E815, F!$P$20:$AB$20,1)),0) +  IFERROR( Q815*INDEX(F!$P$21:$AB$33, MATCH(O815/$AH815, F!$O$21:$O$33,1), MATCH(E815, F!$P$20:$AB$20,1)), 0) + IFERROR( U815*INDEX(F!$P$21:$AB$33, MATCH(S815/$AH815, F!$O$21:$O$33,1), MATCH(E815, F!$P$20:$AB$20,1)),0)  + IFERROR(Y815*INDEX(F!$P$21:$AB$33, MATCH(W815/$AH815, F!$O$21:$O$33,1), MATCH(E815, F!$P$20:$AB$20,1)),0)  + IFERROR( AC815*INDEX(F!$P$21:$AB$33, MATCH(AA815/$AH815, F!$O$21:$O$33,1), MATCH(E815, F!$P$20:$AB$20,1)),)</f>
        <v>0</v>
      </c>
      <c r="AL815" s="42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 ht="15.75" hidden="1" customHeight="1">
      <c r="A816" s="44">
        <f>A760+A730</f>
        <v>43883</v>
      </c>
      <c r="B816" s="45" t="str">
        <f t="shared" ref="B816:F816" si="1632">IF(B760="","",B760)</f>
        <v/>
      </c>
      <c r="C816" s="46" t="str">
        <f t="shared" si="1632"/>
        <v/>
      </c>
      <c r="D816" s="47" t="str">
        <f t="shared" si="1632"/>
        <v/>
      </c>
      <c r="E816" s="48" t="str">
        <f t="shared" si="1632"/>
        <v/>
      </c>
      <c r="F816" s="49" t="str">
        <f t="shared" si="1632"/>
        <v/>
      </c>
      <c r="G816" s="50" t="str">
        <f t="shared" si="1633"/>
        <v/>
      </c>
      <c r="H816" s="51"/>
      <c r="I816" s="51"/>
      <c r="J816" s="52"/>
      <c r="K816" s="50" t="str">
        <f t="shared" si="1634"/>
        <v/>
      </c>
      <c r="L816" s="51"/>
      <c r="M816" s="51"/>
      <c r="N816" s="52"/>
      <c r="O816" s="50" t="str">
        <f t="shared" si="1635"/>
        <v/>
      </c>
      <c r="P816" s="51"/>
      <c r="Q816" s="51"/>
      <c r="R816" s="52"/>
      <c r="S816" s="50" t="str">
        <f t="shared" si="1636"/>
        <v/>
      </c>
      <c r="T816" s="51"/>
      <c r="U816" s="51"/>
      <c r="V816" s="52"/>
      <c r="W816" s="50" t="str">
        <f t="shared" si="1637"/>
        <v/>
      </c>
      <c r="X816" s="51"/>
      <c r="Y816" s="51"/>
      <c r="Z816" s="52"/>
      <c r="AA816" s="50" t="str">
        <f t="shared" si="1638"/>
        <v/>
      </c>
      <c r="AB816" s="51"/>
      <c r="AC816" s="51"/>
      <c r="AD816" s="52"/>
      <c r="AE816" s="53">
        <f t="shared" si="1639"/>
        <v>0</v>
      </c>
      <c r="AF816" s="54">
        <f t="shared" si="1582"/>
        <v>0</v>
      </c>
      <c r="AG816" s="75">
        <f t="shared" si="1640"/>
        <v>0</v>
      </c>
      <c r="AH816" s="76" t="str">
        <f t="shared" si="1641"/>
        <v/>
      </c>
      <c r="AI816" s="77">
        <f> ( IF(ISNUMBER(G816), VLOOKUP(G816/$AH816,F!$A1:$B101,2,1)*G816*$H816*$I816,0)+IF(ISNUMBER(K816), VLOOKUP(K816/$AH816,F!$A1:$B101,2,1)*K816*$L816*$M816,0)+IF(ISNUMBER(O816), VLOOKUP(O816/$AH816,F!$A1:$B101,2,1)*O816*$P816*$Q816,0)+IF(ISNUMBER(S816), VLOOKUP(S816/$AH816,F!$A1:$B101,2,1)*S816*$T816*$U816,0)+IF(ISNUMBER(W816), VLOOKUP(W816/$AH816,F!$A1:$B101,2,1)*W816*$X816*$Y816,0)+IF(ISNUMBER(AA816), VLOOKUP(AA816/$AH816,F!$A1:$B101,2,1)*AA816*$AB816*$AC816,0))*IF(ISNUMBER(F816),F816,1)*IF(ISNUMBER(E816),E816,1)</f>
        <v>0</v>
      </c>
      <c r="AJ816" s="57">
        <f t="shared" si="1642"/>
        <v>0</v>
      </c>
      <c r="AK816" s="58">
        <f t="array" ref="AK816">IFERROR(I816*INDEX(F!$P$21:$AB$33, MATCH(G816/$AH816, F!$O$21:$O$33,1), MATCH(E816, F!$P$20:$AB$20,1)), 0 ) +IFERROR( M816*INDEX(F!$P$21:$AB$33, MATCH(K816/$AH816, F!$O$21:$O$33,1), MATCH(E816, F!$P$20:$AB$20,1)),0) +  IFERROR( Q816*INDEX(F!$P$21:$AB$33, MATCH(O816/$AH816, F!$O$21:$O$33,1), MATCH(E816, F!$P$20:$AB$20,1)), 0) + IFERROR( U816*INDEX(F!$P$21:$AB$33, MATCH(S816/$AH816, F!$O$21:$O$33,1), MATCH(E816, F!$P$20:$AB$20,1)),0)  + IFERROR(Y816*INDEX(F!$P$21:$AB$33, MATCH(W816/$AH816, F!$O$21:$O$33,1), MATCH(E816, F!$P$20:$AB$20,1)),0)  + IFERROR( AC816*INDEX(F!$P$21:$AB$33, MATCH(AA816/$AH816, F!$O$21:$O$33,1), MATCH(E816, F!$P$20:$AB$20,1)),)</f>
        <v>0</v>
      </c>
      <c r="AL816" s="59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 ht="15.75" hidden="1" customHeight="1">
      <c r="A817" s="59"/>
      <c r="B817" s="60" t="str">
        <f t="shared" ref="B817:F817" si="1643">IF(B761="","",B761)</f>
        <v/>
      </c>
      <c r="C817" s="61" t="str">
        <f t="shared" si="1643"/>
        <v/>
      </c>
      <c r="D817" s="62" t="str">
        <f t="shared" si="1643"/>
        <v/>
      </c>
      <c r="E817" s="48" t="str">
        <f t="shared" si="1643"/>
        <v/>
      </c>
      <c r="F817" s="63" t="str">
        <f t="shared" si="1643"/>
        <v/>
      </c>
      <c r="G817" s="64" t="str">
        <f t="shared" si="1633"/>
        <v/>
      </c>
      <c r="H817" s="34"/>
      <c r="I817" s="34"/>
      <c r="J817" s="65"/>
      <c r="K817" s="64" t="str">
        <f t="shared" si="1634"/>
        <v/>
      </c>
      <c r="L817" s="34"/>
      <c r="M817" s="34"/>
      <c r="N817" s="65"/>
      <c r="O817" s="64" t="str">
        <f t="shared" si="1635"/>
        <v/>
      </c>
      <c r="P817" s="34"/>
      <c r="Q817" s="34"/>
      <c r="R817" s="65"/>
      <c r="S817" s="64" t="str">
        <f t="shared" si="1636"/>
        <v/>
      </c>
      <c r="T817" s="34"/>
      <c r="U817" s="34"/>
      <c r="V817" s="65"/>
      <c r="W817" s="64" t="str">
        <f t="shared" si="1637"/>
        <v/>
      </c>
      <c r="X817" s="34"/>
      <c r="Y817" s="34"/>
      <c r="Z817" s="65"/>
      <c r="AA817" s="64" t="str">
        <f t="shared" si="1638"/>
        <v/>
      </c>
      <c r="AB817" s="34"/>
      <c r="AC817" s="34"/>
      <c r="AD817" s="65"/>
      <c r="AE817" s="66">
        <f t="shared" si="1639"/>
        <v>0</v>
      </c>
      <c r="AF817" s="67">
        <f t="shared" si="1582"/>
        <v>0</v>
      </c>
      <c r="AG817" s="68">
        <f t="shared" si="1640"/>
        <v>0</v>
      </c>
      <c r="AH817" s="76" t="str">
        <f t="shared" si="1641"/>
        <v/>
      </c>
      <c r="AI817" s="70">
        <f> ( IF(ISNUMBER(G817), VLOOKUP(G817/$AH817,F!$A1:$B101,2,1)*G817*$H817*$I817,0)+IF(ISNUMBER(K817), VLOOKUP(K817/$AH817,F!$A1:$B101,2,1)*K817*$L817*$M817,0)+IF(ISNUMBER(O817), VLOOKUP(O817/$AH817,F!$A1:$B101,2,1)*O817*$P817*$Q817,0)+IF(ISNUMBER(S817), VLOOKUP(S817/$AH817,F!$A1:$B101,2,1)*S817*$T817*$U817,0)+IF(ISNUMBER(W817), VLOOKUP(W817/$AH817,F!$A1:$B101,2,1)*W817*$X817*$Y817,0)+IF(ISNUMBER(AA817), VLOOKUP(AA817/$AH817,F!$A1:$B101,2,1)*AA817*$AB817*$AC817,0))*IF(ISNUMBER(F817),F817,1)*IF(ISNUMBER(E817),E817,1)</f>
        <v>0</v>
      </c>
      <c r="AJ817" s="71">
        <f t="shared" si="1642"/>
        <v>0</v>
      </c>
      <c r="AK817" s="72">
        <f t="array" ref="AK817">IFERROR(I817*INDEX(F!$P$21:$AB$33, MATCH(G817/$AH817, F!$O$21:$O$33,1), MATCH(E817, F!$P$20:$AB$20,1)), 0 ) +IFERROR( M817*INDEX(F!$P$21:$AB$33, MATCH(K817/$AH817, F!$O$21:$O$33,1), MATCH(E817, F!$P$20:$AB$20,1)),0) +  IFERROR( Q817*INDEX(F!$P$21:$AB$33, MATCH(O817/$AH817, F!$O$21:$O$33,1), MATCH(E817, F!$P$20:$AB$20,1)), 0) + IFERROR( U817*INDEX(F!$P$21:$AB$33, MATCH(S817/$AH817, F!$O$21:$O$33,1), MATCH(E817, F!$P$20:$AB$20,1)),0)  + IFERROR(Y817*INDEX(F!$P$21:$AB$33, MATCH(W817/$AH817, F!$O$21:$O$33,1), MATCH(E817, F!$P$20:$AB$20,1)),0)  + IFERROR( AC817*INDEX(F!$P$21:$AB$33, MATCH(AA817/$AH817, F!$O$21:$O$33,1), MATCH(E817, F!$P$20:$AB$20,1)),)</f>
        <v>0</v>
      </c>
      <c r="AL817" s="59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 ht="15.75" hidden="1" customHeight="1">
      <c r="A818" s="59"/>
      <c r="B818" s="215" t="str">
        <f t="shared" ref="B818:F818" si="1644">IF(B762="","",B762)</f>
        <v/>
      </c>
      <c r="C818" s="73" t="str">
        <f t="shared" si="1644"/>
        <v/>
      </c>
      <c r="D818" s="47" t="str">
        <f t="shared" si="1644"/>
        <v/>
      </c>
      <c r="E818" s="48" t="str">
        <f t="shared" si="1644"/>
        <v/>
      </c>
      <c r="F818" s="74" t="str">
        <f t="shared" si="1644"/>
        <v/>
      </c>
      <c r="G818" s="50" t="str">
        <f t="shared" si="1633"/>
        <v/>
      </c>
      <c r="H818" s="51"/>
      <c r="I818" s="51"/>
      <c r="J818" s="52"/>
      <c r="K818" s="50" t="str">
        <f t="shared" si="1634"/>
        <v/>
      </c>
      <c r="L818" s="51"/>
      <c r="M818" s="51"/>
      <c r="N818" s="52"/>
      <c r="O818" s="50" t="str">
        <f t="shared" si="1635"/>
        <v/>
      </c>
      <c r="P818" s="51"/>
      <c r="Q818" s="51"/>
      <c r="R818" s="52"/>
      <c r="S818" s="50" t="str">
        <f t="shared" si="1636"/>
        <v/>
      </c>
      <c r="T818" s="51"/>
      <c r="U818" s="51"/>
      <c r="V818" s="52"/>
      <c r="W818" s="50" t="str">
        <f t="shared" si="1637"/>
        <v/>
      </c>
      <c r="X818" s="51"/>
      <c r="Y818" s="51"/>
      <c r="Z818" s="52"/>
      <c r="AA818" s="50" t="str">
        <f t="shared" si="1638"/>
        <v/>
      </c>
      <c r="AB818" s="51"/>
      <c r="AC818" s="51"/>
      <c r="AD818" s="52"/>
      <c r="AE818" s="53">
        <f t="shared" si="1639"/>
        <v>0</v>
      </c>
      <c r="AF818" s="54">
        <f t="shared" si="1582"/>
        <v>0</v>
      </c>
      <c r="AG818" s="75">
        <f t="shared" si="1640"/>
        <v>0</v>
      </c>
      <c r="AH818" s="76" t="str">
        <f t="shared" si="1641"/>
        <v/>
      </c>
      <c r="AI818" s="77">
        <f> ( IF(ISNUMBER(G818), VLOOKUP(G818/$AH818,F!$A1:$B101,2,1)*G818*$H818*$I818,0)+IF(ISNUMBER(K818), VLOOKUP(K818/$AH818,F!$A1:$B101,2,1)*K818*$L818*$M818,0)+IF(ISNUMBER(O818), VLOOKUP(O818/$AH818,F!$A1:$B101,2,1)*O818*$P818*$Q818,0)+IF(ISNUMBER(S818), VLOOKUP(S818/$AH818,F!$A1:$B101,2,1)*S818*$T818*$U818,0)+IF(ISNUMBER(W818), VLOOKUP(W818/$AH818,F!$A1:$B101,2,1)*W818*$X818*$Y818,0)+IF(ISNUMBER(AA818), VLOOKUP(AA818/$AH818,F!$A1:$B101,2,1)*AA818*$AB818*$AC818,0))*IF(ISNUMBER(F818),F818,1)*IF(ISNUMBER(E818),E818,1)</f>
        <v>0</v>
      </c>
      <c r="AJ818" s="57">
        <f t="shared" si="1642"/>
        <v>0</v>
      </c>
      <c r="AK818" s="58">
        <f t="array" ref="AK818">IFERROR(I818*INDEX(F!$P$21:$AB$33, MATCH(G818/$AH818, F!$O$21:$O$33,1), MATCH(E818, F!$P$20:$AB$20,1)), 0 ) +IFERROR( M818*INDEX(F!$P$21:$AB$33, MATCH(K818/$AH818, F!$O$21:$O$33,1), MATCH(E818, F!$P$20:$AB$20,1)),0) +  IFERROR( Q818*INDEX(F!$P$21:$AB$33, MATCH(O818/$AH818, F!$O$21:$O$33,1), MATCH(E818, F!$P$20:$AB$20,1)), 0) + IFERROR( U818*INDEX(F!$P$21:$AB$33, MATCH(S818/$AH818, F!$O$21:$O$33,1), MATCH(E818, F!$P$20:$AB$20,1)),0)  + IFERROR(Y818*INDEX(F!$P$21:$AB$33, MATCH(W818/$AH818, F!$O$21:$O$33,1), MATCH(E818, F!$P$20:$AB$20,1)),0)  + IFERROR( AC818*INDEX(F!$P$21:$AB$33, MATCH(AA818/$AH818, F!$O$21:$O$33,1), MATCH(E818, F!$P$20:$AB$20,1)),)</f>
        <v>0</v>
      </c>
      <c r="AL818" s="59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 ht="15.75" hidden="1" customHeight="1">
      <c r="A819" s="59"/>
      <c r="B819" s="216" t="str">
        <f t="shared" ref="B819:F819" si="1645">IF(B763="","",B763)</f>
        <v/>
      </c>
      <c r="C819" s="78" t="str">
        <f t="shared" si="1645"/>
        <v/>
      </c>
      <c r="D819" s="62" t="str">
        <f t="shared" si="1645"/>
        <v/>
      </c>
      <c r="E819" s="48" t="str">
        <f t="shared" si="1645"/>
        <v/>
      </c>
      <c r="F819" s="79" t="str">
        <f t="shared" si="1645"/>
        <v/>
      </c>
      <c r="G819" s="64" t="str">
        <f t="shared" si="1633"/>
        <v/>
      </c>
      <c r="H819" s="34"/>
      <c r="I819" s="34"/>
      <c r="J819" s="65"/>
      <c r="K819" s="64" t="str">
        <f t="shared" si="1634"/>
        <v/>
      </c>
      <c r="L819" s="34"/>
      <c r="M819" s="34"/>
      <c r="N819" s="65"/>
      <c r="O819" s="64" t="str">
        <f t="shared" si="1635"/>
        <v/>
      </c>
      <c r="P819" s="34"/>
      <c r="Q819" s="34"/>
      <c r="R819" s="65"/>
      <c r="S819" s="64" t="str">
        <f t="shared" si="1636"/>
        <v/>
      </c>
      <c r="T819" s="34"/>
      <c r="U819" s="34"/>
      <c r="V819" s="65"/>
      <c r="W819" s="64" t="str">
        <f t="shared" si="1637"/>
        <v/>
      </c>
      <c r="X819" s="34"/>
      <c r="Y819" s="34"/>
      <c r="Z819" s="65"/>
      <c r="AA819" s="64" t="str">
        <f t="shared" si="1638"/>
        <v/>
      </c>
      <c r="AB819" s="34"/>
      <c r="AC819" s="34"/>
      <c r="AD819" s="65"/>
      <c r="AE819" s="66">
        <f t="shared" si="1639"/>
        <v>0</v>
      </c>
      <c r="AF819" s="67">
        <f t="shared" si="1582"/>
        <v>0</v>
      </c>
      <c r="AG819" s="68">
        <f t="shared" si="1640"/>
        <v>0</v>
      </c>
      <c r="AH819" s="76" t="str">
        <f t="shared" si="1641"/>
        <v/>
      </c>
      <c r="AI819" s="70">
        <f> ( IF(ISNUMBER(G819), VLOOKUP(G819/$AH819,F!$A1:$B101,2,1)*G819*$H819*$I819,0)+IF(ISNUMBER(K819), VLOOKUP(K819/$AH819,F!$A1:$B101,2,1)*K819*$L819*$M819,0)+IF(ISNUMBER(O819), VLOOKUP(O819/$AH819,F!$A1:$B101,2,1)*O819*$P819*$Q819,0)+IF(ISNUMBER(S819), VLOOKUP(S819/$AH819,F!$A1:$B101,2,1)*S819*$T819*$U819,0)+IF(ISNUMBER(W819), VLOOKUP(W819/$AH819,F!$A1:$B101,2,1)*W819*$X819*$Y819,0)+IF(ISNUMBER(AA819), VLOOKUP(AA819/$AH819,F!$A1:$B101,2,1)*AA819*$AB819*$AC819,0))*IF(ISNUMBER(F819),F819,1)*IF(ISNUMBER(E819),E819,1)</f>
        <v>0</v>
      </c>
      <c r="AJ819" s="71">
        <f t="shared" si="1642"/>
        <v>0</v>
      </c>
      <c r="AK819" s="72">
        <f t="array" ref="AK819">IFERROR(I819*INDEX(F!$P$21:$AB$33, MATCH(G819/$AH819, F!$O$21:$O$33,1), MATCH(E819, F!$P$20:$AB$20,1)), 0 ) +IFERROR( M819*INDEX(F!$P$21:$AB$33, MATCH(K819/$AH819, F!$O$21:$O$33,1), MATCH(E819, F!$P$20:$AB$20,1)),0) +  IFERROR( Q819*INDEX(F!$P$21:$AB$33, MATCH(O819/$AH819, F!$O$21:$O$33,1), MATCH(E819, F!$P$20:$AB$20,1)), 0) + IFERROR( U819*INDEX(F!$P$21:$AB$33, MATCH(S819/$AH819, F!$O$21:$O$33,1), MATCH(E819, F!$P$20:$AB$20,1)),0)  + IFERROR(Y819*INDEX(F!$P$21:$AB$33, MATCH(W819/$AH819, F!$O$21:$O$33,1), MATCH(E819, F!$P$20:$AB$20,1)),0)  + IFERROR( AC819*INDEX(F!$P$21:$AB$33, MATCH(AA819/$AH819, F!$O$21:$O$33,1), MATCH(E819, F!$P$20:$AB$20,1)),)</f>
        <v>0</v>
      </c>
      <c r="AL819" s="59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 ht="15.75" hidden="1" customHeight="1">
      <c r="A820" s="59"/>
      <c r="B820" s="45" t="str">
        <f t="shared" ref="B820:F820" si="1646">IF(B764="","",B764)</f>
        <v/>
      </c>
      <c r="C820" s="46" t="str">
        <f t="shared" si="1646"/>
        <v/>
      </c>
      <c r="D820" s="197" t="str">
        <f t="shared" si="1646"/>
        <v/>
      </c>
      <c r="E820" s="48" t="str">
        <f t="shared" si="1646"/>
        <v/>
      </c>
      <c r="F820" s="83" t="str">
        <f t="shared" si="1646"/>
        <v/>
      </c>
      <c r="G820" s="50" t="str">
        <f t="shared" si="1633"/>
        <v/>
      </c>
      <c r="H820" s="51"/>
      <c r="I820" s="51"/>
      <c r="J820" s="52"/>
      <c r="K820" s="50" t="str">
        <f t="shared" si="1634"/>
        <v/>
      </c>
      <c r="L820" s="51"/>
      <c r="M820" s="51"/>
      <c r="N820" s="52"/>
      <c r="O820" s="50" t="str">
        <f t="shared" si="1635"/>
        <v/>
      </c>
      <c r="P820" s="51"/>
      <c r="Q820" s="51"/>
      <c r="R820" s="52"/>
      <c r="S820" s="50" t="str">
        <f t="shared" si="1636"/>
        <v/>
      </c>
      <c r="T820" s="51"/>
      <c r="U820" s="51"/>
      <c r="V820" s="52"/>
      <c r="W820" s="50" t="str">
        <f t="shared" si="1637"/>
        <v/>
      </c>
      <c r="X820" s="51"/>
      <c r="Y820" s="51"/>
      <c r="Z820" s="52"/>
      <c r="AA820" s="50" t="str">
        <f t="shared" si="1638"/>
        <v/>
      </c>
      <c r="AB820" s="51"/>
      <c r="AC820" s="51"/>
      <c r="AD820" s="52"/>
      <c r="AE820" s="53">
        <f t="shared" si="1639"/>
        <v>0</v>
      </c>
      <c r="AF820" s="54">
        <f t="shared" si="1582"/>
        <v>0</v>
      </c>
      <c r="AG820" s="75">
        <f t="shared" si="1640"/>
        <v>0</v>
      </c>
      <c r="AH820" s="76" t="str">
        <f t="shared" si="1641"/>
        <v/>
      </c>
      <c r="AI820" s="77">
        <f> ( IF(ISNUMBER(G820), VLOOKUP(G820/$AH820,F!$A1:$B101,2,1)*G820*$H820*$I820,0)+IF(ISNUMBER(K820), VLOOKUP(K820/$AH820,F!$A1:$B101,2,1)*K820*$L820*$M820,0)+IF(ISNUMBER(O820), VLOOKUP(O820/$AH820,F!$A1:$B101,2,1)*O820*$P820*$Q820,0)+IF(ISNUMBER(S820), VLOOKUP(S820/$AH820,F!$A1:$B101,2,1)*S820*$T820*$U820,0)+IF(ISNUMBER(W820), VLOOKUP(W820/$AH820,F!$A1:$B101,2,1)*W820*$X820*$Y820,0)+IF(ISNUMBER(AA820), VLOOKUP(AA820/$AH820,F!$A1:$B101,2,1)*AA820*$AB820*$AC820,0))*IF(ISNUMBER(F820),F820,1)*IF(ISNUMBER(E820),E820,1)</f>
        <v>0</v>
      </c>
      <c r="AJ820" s="86">
        <f t="shared" si="1642"/>
        <v>0</v>
      </c>
      <c r="AK820" s="58">
        <f t="array" ref="AK820">IFERROR(I820*INDEX(F!$P$21:$AB$33, MATCH(G820/$AH820, F!$O$21:$O$33,1), MATCH(E820, F!$P$20:$AB$20,1)), 0 ) +IFERROR( M820*INDEX(F!$P$21:$AB$33, MATCH(K820/$AH820, F!$O$21:$O$33,1), MATCH(E820, F!$P$20:$AB$20,1)),0) +  IFERROR( Q820*INDEX(F!$P$21:$AB$33, MATCH(O820/$AH820, F!$O$21:$O$33,1), MATCH(E820, F!$P$20:$AB$20,1)), 0) + IFERROR( U820*INDEX(F!$P$21:$AB$33, MATCH(S820/$AH820, F!$O$21:$O$33,1), MATCH(E820, F!$P$20:$AB$20,1)),0)  + IFERROR(Y820*INDEX(F!$P$21:$AB$33, MATCH(W820/$AH820, F!$O$21:$O$33,1), MATCH(E820, F!$P$20:$AB$20,1)),0)  + IFERROR( AC820*INDEX(F!$P$21:$AB$33, MATCH(AA820/$AH820, F!$O$21:$O$33,1), MATCH(E820, F!$P$20:$AB$20,1)),)</f>
        <v>0</v>
      </c>
      <c r="AL820" s="59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 ht="15.75" hidden="1" customHeight="1">
      <c r="A821" s="59"/>
      <c r="B821" s="60" t="str">
        <f t="shared" ref="B821:F821" si="1647">IF(B765="","",B765)</f>
        <v/>
      </c>
      <c r="C821" s="61" t="str">
        <f t="shared" si="1647"/>
        <v/>
      </c>
      <c r="D821" s="198" t="str">
        <f t="shared" si="1647"/>
        <v/>
      </c>
      <c r="E821" s="48" t="str">
        <f t="shared" si="1647"/>
        <v/>
      </c>
      <c r="F821" s="79" t="str">
        <f t="shared" si="1647"/>
        <v/>
      </c>
      <c r="G821" s="64" t="str">
        <f t="shared" si="1633"/>
        <v/>
      </c>
      <c r="H821" s="34"/>
      <c r="I821" s="34"/>
      <c r="J821" s="65"/>
      <c r="K821" s="64" t="str">
        <f t="shared" si="1634"/>
        <v/>
      </c>
      <c r="L821" s="34"/>
      <c r="M821" s="34"/>
      <c r="N821" s="65"/>
      <c r="O821" s="64" t="str">
        <f t="shared" si="1635"/>
        <v/>
      </c>
      <c r="P821" s="34"/>
      <c r="Q821" s="34"/>
      <c r="R821" s="65"/>
      <c r="S821" s="64" t="str">
        <f t="shared" si="1636"/>
        <v/>
      </c>
      <c r="T821" s="34"/>
      <c r="U821" s="34"/>
      <c r="V821" s="65"/>
      <c r="W821" s="64" t="str">
        <f t="shared" si="1637"/>
        <v/>
      </c>
      <c r="X821" s="34"/>
      <c r="Y821" s="34"/>
      <c r="Z821" s="65"/>
      <c r="AA821" s="64" t="str">
        <f t="shared" si="1638"/>
        <v/>
      </c>
      <c r="AB821" s="34"/>
      <c r="AC821" s="34"/>
      <c r="AD821" s="65"/>
      <c r="AE821" s="66">
        <f t="shared" si="1639"/>
        <v>0</v>
      </c>
      <c r="AF821" s="67">
        <f t="shared" si="1582"/>
        <v>0</v>
      </c>
      <c r="AG821" s="68">
        <f t="shared" si="1640"/>
        <v>0</v>
      </c>
      <c r="AH821" s="76" t="str">
        <f t="shared" si="1641"/>
        <v/>
      </c>
      <c r="AI821" s="90">
        <f> ( IF(ISNUMBER(G821), VLOOKUP(G821/$AH821,F!$A1:$B101,2,1)*G821*$H821*$I821,0)+IF(ISNUMBER(K821), VLOOKUP(K821/$AH821,F!$A1:$B101,2,1)*K821*$L821*$M821,0)+IF(ISNUMBER(O821), VLOOKUP(O821/$AH821,F!$A1:$B101,2,1)*O821*$P821*$Q821,0)+IF(ISNUMBER(S821), VLOOKUP(S821/$AH821,F!$A1:$B101,2,1)*S821*$T821*$U821,0)+IF(ISNUMBER(W821), VLOOKUP(W821/$AH821,F!$A1:$B101,2,1)*W821*$X821*$Y821,0)+IF(ISNUMBER(AA821), VLOOKUP(AA821/$AH821,F!$A1:$B101,2,1)*AA821*$AB821*$AC821,0))*IF(ISNUMBER(F821),F821,1)*IF(ISNUMBER(E821),E821,1)</f>
        <v>0</v>
      </c>
      <c r="AJ821" s="34">
        <f t="shared" si="1642"/>
        <v>0</v>
      </c>
      <c r="AK821" s="91">
        <f t="array" ref="AK821">IFERROR(I821*INDEX(F!$P$21:$AB$33, MATCH(G821/$AH821, F!$O$21:$O$33,1), MATCH(E821, F!$P$20:$AB$20,1)), 0 ) +IFERROR( M821*INDEX(F!$P$21:$AB$33, MATCH(K821/$AH821, F!$O$21:$O$33,1), MATCH(E821, F!$P$20:$AB$20,1)),0) +  IFERROR( Q821*INDEX(F!$P$21:$AB$33, MATCH(O821/$AH821, F!$O$21:$O$33,1), MATCH(E821, F!$P$20:$AB$20,1)), 0) + IFERROR( U821*INDEX(F!$P$21:$AB$33, MATCH(S821/$AH821, F!$O$21:$O$33,1), MATCH(E821, F!$P$20:$AB$20,1)),0)  + IFERROR(Y821*INDEX(F!$P$21:$AB$33, MATCH(W821/$AH821, F!$O$21:$O$33,1), MATCH(E821, F!$P$20:$AB$20,1)),0)  + IFERROR( AC821*INDEX(F!$P$21:$AB$33, MATCH(AA821/$AH821, F!$O$21:$O$33,1), MATCH(E821, F!$P$20:$AB$20,1)),)</f>
        <v>0</v>
      </c>
      <c r="AL821" s="59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 ht="15.75" hidden="1" customHeight="1">
      <c r="A822" s="59"/>
      <c r="B822" s="45" t="str">
        <f t="shared" ref="B822:F822" si="1648">IF(B766="","",B766)</f>
        <v/>
      </c>
      <c r="C822" s="46" t="str">
        <f t="shared" si="1648"/>
        <v/>
      </c>
      <c r="D822" s="92" t="str">
        <f t="shared" si="1648"/>
        <v/>
      </c>
      <c r="E822" s="48" t="str">
        <f t="shared" si="1648"/>
        <v/>
      </c>
      <c r="F822" s="74" t="str">
        <f t="shared" si="1648"/>
        <v/>
      </c>
      <c r="G822" s="50" t="str">
        <f t="shared" si="1633"/>
        <v/>
      </c>
      <c r="H822" s="51"/>
      <c r="I822" s="51"/>
      <c r="J822" s="52"/>
      <c r="K822" s="50" t="str">
        <f t="shared" si="1634"/>
        <v/>
      </c>
      <c r="L822" s="51"/>
      <c r="M822" s="51"/>
      <c r="N822" s="52"/>
      <c r="O822" s="50" t="str">
        <f t="shared" si="1635"/>
        <v/>
      </c>
      <c r="P822" s="51"/>
      <c r="Q822" s="51"/>
      <c r="R822" s="52"/>
      <c r="S822" s="50" t="str">
        <f t="shared" si="1636"/>
        <v/>
      </c>
      <c r="T822" s="51"/>
      <c r="U822" s="51"/>
      <c r="V822" s="52"/>
      <c r="W822" s="50" t="str">
        <f t="shared" si="1637"/>
        <v/>
      </c>
      <c r="X822" s="51"/>
      <c r="Y822" s="51"/>
      <c r="Z822" s="52"/>
      <c r="AA822" s="50" t="str">
        <f t="shared" si="1638"/>
        <v/>
      </c>
      <c r="AB822" s="51"/>
      <c r="AC822" s="51"/>
      <c r="AD822" s="52"/>
      <c r="AE822" s="53">
        <f t="shared" si="1639"/>
        <v>0</v>
      </c>
      <c r="AF822" s="93">
        <f t="shared" si="1582"/>
        <v>0</v>
      </c>
      <c r="AG822" s="94">
        <f t="shared" si="1640"/>
        <v>0</v>
      </c>
      <c r="AH822" s="76" t="str">
        <f t="shared" si="1641"/>
        <v/>
      </c>
      <c r="AI822" s="95">
        <f> ( IF(ISNUMBER(G822), VLOOKUP(G822/$AH822,F!$A1:$B101,2,1)*G822*$H822*$I822,0)+IF(ISNUMBER(K822), VLOOKUP(K822/$AH822,F!$A1:$B101,2,1)*K822*$L822*$M822,0)+IF(ISNUMBER(O822), VLOOKUP(O822/$AH822,F!$A1:$B101,2,1)*O822*$P822*$Q822,0)+IF(ISNUMBER(S822), VLOOKUP(S822/$AH822,F!$A1:$B101,2,1)*S822*$T822*$U822,0)+IF(ISNUMBER(W822), VLOOKUP(W822/$AH822,F!$A1:$B101,2,1)*W822*$X822*$Y822,0)+IF(ISNUMBER(AA822), VLOOKUP(AA822/$AH822,F!$A1:$B101,2,1)*AA822*$AB822*$AC822,0))*IF(ISNUMBER(F822),F822,1)*IF(ISNUMBER(E822),E822,1)</f>
        <v>0</v>
      </c>
      <c r="AJ822" s="96">
        <f t="shared" si="1642"/>
        <v>0</v>
      </c>
      <c r="AK822" s="97">
        <f t="array" ref="AK822">IFERROR(I822*INDEX(F!$P$21:$AB$33, MATCH(G822/$AH822, F!$O$21:$O$33,1), MATCH(E822, F!$P$20:$AB$20,1)), 0 ) +IFERROR( M822*INDEX(F!$P$21:$AB$33, MATCH(K822/$AH822, F!$O$21:$O$33,1), MATCH(E822, F!$P$20:$AB$20,1)),0) +  IFERROR( Q822*INDEX(F!$P$21:$AB$33, MATCH(O822/$AH822, F!$O$21:$O$33,1), MATCH(E822, F!$P$20:$AB$20,1)), 0) + IFERROR( U822*INDEX(F!$P$21:$AB$33, MATCH(S822/$AH822, F!$O$21:$O$33,1), MATCH(E822, F!$P$20:$AB$20,1)),0)  + IFERROR(Y822*INDEX(F!$P$21:$AB$33, MATCH(W822/$AH822, F!$O$21:$O$33,1), MATCH(E822, F!$P$20:$AB$20,1)),0)  + IFERROR( AC822*INDEX(F!$P$21:$AB$33, MATCH(AA822/$AH822, F!$O$21:$O$33,1), MATCH(E822, F!$P$20:$AB$20,1)),)</f>
        <v>0</v>
      </c>
      <c r="AL822" s="59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 ht="15.75" hidden="1" customHeight="1">
      <c r="A823" s="98"/>
      <c r="B823" s="99"/>
      <c r="C823" s="100"/>
      <c r="D823" s="101"/>
      <c r="E823" s="102">
        <f>ROUND(IFERROR(SUMPRODUCT(AJ815:AJ822,E815:E822)/AJ823,0),3)</f>
        <v>0</v>
      </c>
      <c r="F823" s="199"/>
      <c r="G823" s="104"/>
      <c r="H823" s="105"/>
      <c r="I823" s="105"/>
      <c r="J823" s="106"/>
      <c r="K823" s="104"/>
      <c r="L823" s="105"/>
      <c r="M823" s="105"/>
      <c r="N823" s="106"/>
      <c r="O823" s="104"/>
      <c r="P823" s="105"/>
      <c r="Q823" s="105"/>
      <c r="R823" s="106"/>
      <c r="S823" s="104"/>
      <c r="T823" s="105"/>
      <c r="U823" s="105"/>
      <c r="V823" s="106"/>
      <c r="W823" s="104"/>
      <c r="X823" s="105"/>
      <c r="Y823" s="105"/>
      <c r="Z823" s="106"/>
      <c r="AA823" s="104"/>
      <c r="AB823" s="105"/>
      <c r="AC823" s="105"/>
      <c r="AD823" s="106"/>
      <c r="AE823" s="107">
        <f>SUM(AE815:AE822)</f>
        <v>0</v>
      </c>
      <c r="AF823" s="108">
        <f t="shared" si="1582"/>
        <v>0</v>
      </c>
      <c r="AG823" s="109">
        <f>IFERROR(  SUMPRODUCT(AG815:AG822,AJ815:AJ822)/AJ823,0)</f>
        <v>0</v>
      </c>
      <c r="AH823" s="157"/>
      <c r="AI823" s="111">
        <f t="shared" ref="AI823:AJ823" si="1649">SUM(AI815:AI822)</f>
        <v>0</v>
      </c>
      <c r="AJ823" s="111">
        <f t="shared" si="1649"/>
        <v>0</v>
      </c>
      <c r="AK823" s="112">
        <f>IF(SUM(AK815:AK822)=0,TIME(,0,),TIME(,SUM(AK815:AK822)+F!$V$37,))</f>
        <v>0</v>
      </c>
      <c r="AL823" s="98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 ht="15.75" hidden="1" customHeight="1">
      <c r="A824" s="113">
        <f>A825</f>
        <v>43884</v>
      </c>
      <c r="B824" s="114" t="str">
        <f t="shared" ref="B824:F824" si="1650">IF(B768="","",B768)</f>
        <v/>
      </c>
      <c r="C824" s="115" t="str">
        <f t="shared" si="1650"/>
        <v/>
      </c>
      <c r="D824" s="116" t="str">
        <f t="shared" si="1650"/>
        <v/>
      </c>
      <c r="E824" s="29" t="str">
        <f t="shared" si="1650"/>
        <v/>
      </c>
      <c r="F824" s="117" t="str">
        <f t="shared" si="1650"/>
        <v/>
      </c>
      <c r="G824" s="118" t="str">
        <f t="shared" ref="G824:G831" si="1652">IF(J824&lt;&gt;0, IFERROR(IF( $F824=2,  MROUND($AH824*J824,1),    IF( OR($F824="",$F824=1),   MROUND($AH824*J824,2.5),  MROUND($AH824*J824, 0.1))), "" ), "")</f>
        <v/>
      </c>
      <c r="H824" s="119"/>
      <c r="I824" s="119"/>
      <c r="J824" s="120"/>
      <c r="K824" s="118" t="str">
        <f t="shared" ref="K824:K831" si="1653">IF(N824&lt;&gt;0, IFERROR(IF( $F824=2,  MROUND($AH824*N824,1),    IF( OR($F824="",$F824=1),   MROUND($AH824*N824,2.5),  MROUND($AH824*N824, 0.1))), "" ), "")</f>
        <v/>
      </c>
      <c r="L824" s="119"/>
      <c r="M824" s="119"/>
      <c r="N824" s="120"/>
      <c r="O824" s="118" t="str">
        <f t="shared" ref="O824:O831" si="1654">IF(R824&lt;&gt;0, IFERROR(IF( $F824=2,  MROUND($AH824*R824,1),    IF( OR($F824="",$F824=1),   MROUND($AH824*R824,2.5),  MROUND($AH824*R824, 0.1))), "" ), "")</f>
        <v/>
      </c>
      <c r="P824" s="119"/>
      <c r="Q824" s="119"/>
      <c r="R824" s="120"/>
      <c r="S824" s="118" t="str">
        <f t="shared" ref="S824:S831" si="1655">IF(V824&lt;&gt;0, IFERROR(IF( $F824=2,  MROUND($AH824*V824,1),    IF( OR($F824="",$F824=1),   MROUND($AH824*V824,2.5),  MROUND($AH824*V824, 0.1))), "" ), "")</f>
        <v/>
      </c>
      <c r="T824" s="119"/>
      <c r="U824" s="119"/>
      <c r="V824" s="120"/>
      <c r="W824" s="118" t="str">
        <f t="shared" ref="W824:W831" si="1656">IF(Z824&lt;&gt;0, IFERROR(IF( $F824=2,  MROUND($AH824*Z824,1),    IF( OR($F824="",$F824=1),   MROUND($AH824*Z824,2.5),  MROUND($AH824*Z824, 0.1))), "" ), "")</f>
        <v/>
      </c>
      <c r="X824" s="119"/>
      <c r="Y824" s="119"/>
      <c r="Z824" s="120"/>
      <c r="AA824" s="118" t="str">
        <f t="shared" ref="AA824:AA831" si="1657">IF(AD824&lt;&gt;0, IFERROR(IF( $F824=2,  MROUND($AH824*AD824,1),    IF( OR($F824="",$F824=1),   MROUND($AH824*AD824,2.5),  MROUND($AH824*AD824, 0.1))), "" ), "")</f>
        <v/>
      </c>
      <c r="AB824" s="119"/>
      <c r="AC824" s="119"/>
      <c r="AD824" s="120"/>
      <c r="AE824" s="121">
        <f t="shared" ref="AE824:AE831" si="1658">(IF(ISNUMBER(G824),G824,0)*H824*I824+IF(ISNUMBER(K824),K824,1)*L824*M824+IF(ISNUMBER(O824),O824,1)*P824*Q824+IF(ISNUMBER(S824),S824,1)*T824*U824+IF(ISNUMBER(W824),W824,1)*X824*Y824+IF(ISNUMBER(AA824),AA824,1)*AB824*AC824)*IF(ISNUMBER(F824),F824,1)</f>
        <v>0</v>
      </c>
      <c r="AF824" s="122">
        <f t="shared" si="1582"/>
        <v>0</v>
      </c>
      <c r="AG824" s="200">
        <f t="shared" ref="AG824:AG831" si="1659">IFERROR((AF824/(AH824*IF(ISNUMBER(F824),F824,1))),0)</f>
        <v>0</v>
      </c>
      <c r="AH824" s="169" t="str">
        <f t="shared" ref="AH824:AH831" si="1660">IF(ISNUMBER(AH768), AH768+(AH768*$AH$786),"")</f>
        <v/>
      </c>
      <c r="AI824" s="122">
        <f> ( IF(ISNUMBER(G824), VLOOKUP(G824/$AH824,F!$A1:$B101,2,1)*G824*$H824*$I824,0)+IF(ISNUMBER(K824), VLOOKUP(K824/$AH824,F!$A1:$B101,2,1)*K824*$L824*$M824,0)+IF(ISNUMBER(O824), VLOOKUP(O824/$AH824,F!$A1:$B101,2,1)*O824*$P824*$Q824,0)+IF(ISNUMBER(S824), VLOOKUP(S824/$AH824,F!$A1:$B101,2,1)*S824*$T824*$U824,0)+IF(ISNUMBER(W824), VLOOKUP(W824/$AH824,F!$A1:$B101,2,1)*W824*$X824*$Y824,0)+IF(ISNUMBER(AA824), VLOOKUP(AA824/$AH824,F!$A1:$B101,2,1)*AA824*$AB824*$AC824,0))*IF(ISNUMBER(F824),F824,1)*IF(ISNUMBER(E824),E824,1)</f>
        <v>0</v>
      </c>
      <c r="AJ824" s="119">
        <f t="shared" ref="AJ824:AJ831" si="1661">H824*I824+L824*M824+P824*Q824+T824*U824+X824*Y824+AB824*AC824</f>
        <v>0</v>
      </c>
      <c r="AK824" s="125">
        <f t="array" ref="AK824">IFERROR(I824*INDEX(F!$P$21:$AB$33, MATCH(G824/$AH824, F!$O$21:$O$33,1), MATCH(E824, F!$P$20:$AB$20,1)), 0 ) +IFERROR( M824*INDEX(F!$P$21:$AB$33, MATCH(K824/$AH824, F!$O$21:$O$33,1), MATCH(E824, F!$P$20:$AB$20,1)),0) +  IFERROR( Q824*INDEX(F!$P$21:$AB$33, MATCH(O824/$AH824, F!$O$21:$O$33,1), MATCH(E824, F!$P$20:$AB$20,1)), 0) + IFERROR( U824*INDEX(F!$P$21:$AB$33, MATCH(S824/$AH824, F!$O$21:$O$33,1), MATCH(E824, F!$P$20:$AB$20,1)),0)  + IFERROR(Y824*INDEX(F!$P$21:$AB$33, MATCH(W824/$AH824, F!$O$21:$O$33,1), MATCH(E824, F!$P$20:$AB$20,1)),0)  + IFERROR( AC824*INDEX(F!$P$21:$AB$33, MATCH(AA824/$AH824, F!$O$21:$O$33,1), MATCH(E824, F!$P$20:$AB$20,1)),)</f>
        <v>0</v>
      </c>
      <c r="AL824" s="42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 ht="15.75" hidden="1" customHeight="1">
      <c r="A825" s="44">
        <f>A769+A730</f>
        <v>43884</v>
      </c>
      <c r="B825" s="126" t="str">
        <f t="shared" ref="B825:F825" si="1651">IF(B769="","",B769)</f>
        <v/>
      </c>
      <c r="C825" s="127" t="str">
        <f t="shared" si="1651"/>
        <v/>
      </c>
      <c r="D825" s="128" t="str">
        <f t="shared" si="1651"/>
        <v/>
      </c>
      <c r="E825" s="48" t="str">
        <f t="shared" si="1651"/>
        <v/>
      </c>
      <c r="F825" s="129" t="str">
        <f t="shared" si="1651"/>
        <v/>
      </c>
      <c r="G825" s="130" t="str">
        <f t="shared" si="1652"/>
        <v/>
      </c>
      <c r="H825" s="34"/>
      <c r="I825" s="34"/>
      <c r="J825" s="65"/>
      <c r="K825" s="130" t="str">
        <f t="shared" si="1653"/>
        <v/>
      </c>
      <c r="L825" s="34"/>
      <c r="M825" s="34"/>
      <c r="N825" s="65"/>
      <c r="O825" s="130" t="str">
        <f t="shared" si="1654"/>
        <v/>
      </c>
      <c r="P825" s="34"/>
      <c r="Q825" s="34"/>
      <c r="R825" s="65"/>
      <c r="S825" s="130" t="str">
        <f t="shared" si="1655"/>
        <v/>
      </c>
      <c r="T825" s="34"/>
      <c r="U825" s="34"/>
      <c r="V825" s="65"/>
      <c r="W825" s="130" t="str">
        <f t="shared" si="1656"/>
        <v/>
      </c>
      <c r="X825" s="34"/>
      <c r="Y825" s="34"/>
      <c r="Z825" s="65"/>
      <c r="AA825" s="130" t="str">
        <f t="shared" si="1657"/>
        <v/>
      </c>
      <c r="AB825" s="34"/>
      <c r="AC825" s="34"/>
      <c r="AD825" s="65"/>
      <c r="AE825" s="131">
        <f t="shared" si="1658"/>
        <v>0</v>
      </c>
      <c r="AF825" s="132">
        <f t="shared" si="1582"/>
        <v>0</v>
      </c>
      <c r="AG825" s="133">
        <f t="shared" si="1659"/>
        <v>0</v>
      </c>
      <c r="AH825" s="76" t="str">
        <f t="shared" si="1660"/>
        <v/>
      </c>
      <c r="AI825" s="132">
        <f> ( IF(ISNUMBER(G825), VLOOKUP(G825/$AH825,F!$A1:$B101,2,1)*G825*$H825*$I825,0)+IF(ISNUMBER(K825), VLOOKUP(K825/$AH825,F!$A1:$B101,2,1)*K825*$L825*$M825,0)+IF(ISNUMBER(O825), VLOOKUP(O825/$AH825,F!$A1:$B101,2,1)*O825*$P825*$Q825,0)+IF(ISNUMBER(S825), VLOOKUP(S825/$AH825,F!$A1:$B101,2,1)*S825*$T825*$U825,0)+IF(ISNUMBER(W825), VLOOKUP(W825/$AH825,F!$A1:$B101,2,1)*W825*$X825*$Y825,0)+IF(ISNUMBER(AA825), VLOOKUP(AA825/$AH825,F!$A1:$B101,2,1)*AA825*$AB825*$AC825,0))*IF(ISNUMBER(F825),F825,1)*IF(ISNUMBER(E825),E825,1)</f>
        <v>0</v>
      </c>
      <c r="AJ825" s="34">
        <f t="shared" si="1661"/>
        <v>0</v>
      </c>
      <c r="AK825" s="134">
        <f t="array" ref="AK825">IFERROR(I825*INDEX(F!$P$21:$AB$33, MATCH(G825/$AH825, F!$O$21:$O$33,1), MATCH(E825, F!$P$20:$AB$20,1)), 0 ) +IFERROR( M825*INDEX(F!$P$21:$AB$33, MATCH(K825/$AH825, F!$O$21:$O$33,1), MATCH(E825, F!$P$20:$AB$20,1)),0) +  IFERROR( Q825*INDEX(F!$P$21:$AB$33, MATCH(O825/$AH825, F!$O$21:$O$33,1), MATCH(E825, F!$P$20:$AB$20,1)), 0) + IFERROR( U825*INDEX(F!$P$21:$AB$33, MATCH(S825/$AH825, F!$O$21:$O$33,1), MATCH(E825, F!$P$20:$AB$20,1)),0)  + IFERROR(Y825*INDEX(F!$P$21:$AB$33, MATCH(W825/$AH825, F!$O$21:$O$33,1), MATCH(E825, F!$P$20:$AB$20,1)),0)  + IFERROR( AC825*INDEX(F!$P$21:$AB$33, MATCH(AA825/$AH825, F!$O$21:$O$33,1), MATCH(E825, F!$P$20:$AB$20,1)),)</f>
        <v>0</v>
      </c>
      <c r="AL825" s="59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 ht="15.75" hidden="1" customHeight="1">
      <c r="A826" s="59"/>
      <c r="B826" s="135" t="str">
        <f t="shared" ref="B826:F826" si="1662">IF(B770="","",B770)</f>
        <v/>
      </c>
      <c r="C826" s="136" t="str">
        <f t="shared" si="1662"/>
        <v/>
      </c>
      <c r="D826" s="137" t="str">
        <f t="shared" si="1662"/>
        <v/>
      </c>
      <c r="E826" s="48" t="str">
        <f t="shared" si="1662"/>
        <v/>
      </c>
      <c r="F826" s="138" t="str">
        <f t="shared" si="1662"/>
        <v/>
      </c>
      <c r="G826" s="139" t="str">
        <f t="shared" si="1652"/>
        <v/>
      </c>
      <c r="H826" s="140"/>
      <c r="I826" s="140"/>
      <c r="J826" s="141"/>
      <c r="K826" s="139" t="str">
        <f t="shared" si="1653"/>
        <v/>
      </c>
      <c r="L826" s="140"/>
      <c r="M826" s="140"/>
      <c r="N826" s="141"/>
      <c r="O826" s="139" t="str">
        <f t="shared" si="1654"/>
        <v/>
      </c>
      <c r="P826" s="140"/>
      <c r="Q826" s="140"/>
      <c r="R826" s="141"/>
      <c r="S826" s="139" t="str">
        <f t="shared" si="1655"/>
        <v/>
      </c>
      <c r="T826" s="140"/>
      <c r="U826" s="140"/>
      <c r="V826" s="141"/>
      <c r="W826" s="139" t="str">
        <f t="shared" si="1656"/>
        <v/>
      </c>
      <c r="X826" s="140"/>
      <c r="Y826" s="140"/>
      <c r="Z826" s="141"/>
      <c r="AA826" s="139" t="str">
        <f t="shared" si="1657"/>
        <v/>
      </c>
      <c r="AB826" s="140"/>
      <c r="AC826" s="140"/>
      <c r="AD826" s="141"/>
      <c r="AE826" s="142">
        <f t="shared" si="1658"/>
        <v>0</v>
      </c>
      <c r="AF826" s="143">
        <f t="shared" si="1582"/>
        <v>0</v>
      </c>
      <c r="AG826" s="144">
        <f t="shared" si="1659"/>
        <v>0</v>
      </c>
      <c r="AH826" s="76" t="str">
        <f t="shared" si="1660"/>
        <v/>
      </c>
      <c r="AI826" s="143">
        <f> ( IF(ISNUMBER(G826), VLOOKUP(G826/$AH826,F!$A1:$B101,2,1)*G826*$H826*$I826,0)+IF(ISNUMBER(K826), VLOOKUP(K826/$AH826,F!$A1:$B101,2,1)*K826*$L826*$M826,0)+IF(ISNUMBER(O826), VLOOKUP(O826/$AH826,F!$A1:$B101,2,1)*O826*$P826*$Q826,0)+IF(ISNUMBER(S826), VLOOKUP(S826/$AH826,F!$A1:$B101,2,1)*S826*$T826*$U826,0)+IF(ISNUMBER(W826), VLOOKUP(W826/$AH826,F!$A1:$B101,2,1)*W826*$X826*$Y826,0)+IF(ISNUMBER(AA826), VLOOKUP(AA826/$AH826,F!$A1:$B101,2,1)*AA826*$AB826*$AC826,0))*IF(ISNUMBER(F826),F826,1)*IF(ISNUMBER(E826),E826,1)</f>
        <v>0</v>
      </c>
      <c r="AJ826" s="140">
        <f t="shared" si="1661"/>
        <v>0</v>
      </c>
      <c r="AK826" s="145">
        <f t="array" ref="AK826">IFERROR(I826*INDEX(F!$P$21:$AB$33, MATCH(G826/$AH826, F!$O$21:$O$33,1), MATCH(E826, F!$P$20:$AB$20,1)), 0 ) +IFERROR( M826*INDEX(F!$P$21:$AB$33, MATCH(K826/$AH826, F!$O$21:$O$33,1), MATCH(E826, F!$P$20:$AB$20,1)),0) +  IFERROR( Q826*INDEX(F!$P$21:$AB$33, MATCH(O826/$AH826, F!$O$21:$O$33,1), MATCH(E826, F!$P$20:$AB$20,1)), 0) + IFERROR( U826*INDEX(F!$P$21:$AB$33, MATCH(S826/$AH826, F!$O$21:$O$33,1), MATCH(E826, F!$P$20:$AB$20,1)),0)  + IFERROR(Y826*INDEX(F!$P$21:$AB$33, MATCH(W826/$AH826, F!$O$21:$O$33,1), MATCH(E826, F!$P$20:$AB$20,1)),0)  + IFERROR( AC826*INDEX(F!$P$21:$AB$33, MATCH(AA826/$AH826, F!$O$21:$O$33,1), MATCH(E826, F!$P$20:$AB$20,1)),)</f>
        <v>0</v>
      </c>
      <c r="AL826" s="59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 ht="15.75" hidden="1" customHeight="1">
      <c r="A827" s="59"/>
      <c r="B827" s="126" t="str">
        <f t="shared" ref="B827:F827" si="1663">IF(B771="","",B771)</f>
        <v/>
      </c>
      <c r="C827" s="127" t="str">
        <f t="shared" si="1663"/>
        <v/>
      </c>
      <c r="D827" s="128" t="str">
        <f t="shared" si="1663"/>
        <v/>
      </c>
      <c r="E827" s="48" t="str">
        <f t="shared" si="1663"/>
        <v/>
      </c>
      <c r="F827" s="129" t="str">
        <f t="shared" si="1663"/>
        <v/>
      </c>
      <c r="G827" s="130" t="str">
        <f t="shared" si="1652"/>
        <v/>
      </c>
      <c r="H827" s="34"/>
      <c r="I827" s="34"/>
      <c r="J827" s="65"/>
      <c r="K827" s="130" t="str">
        <f t="shared" si="1653"/>
        <v/>
      </c>
      <c r="L827" s="34"/>
      <c r="M827" s="34"/>
      <c r="N827" s="65"/>
      <c r="O827" s="130" t="str">
        <f t="shared" si="1654"/>
        <v/>
      </c>
      <c r="P827" s="34"/>
      <c r="Q827" s="34"/>
      <c r="R827" s="65"/>
      <c r="S827" s="130" t="str">
        <f t="shared" si="1655"/>
        <v/>
      </c>
      <c r="T827" s="34"/>
      <c r="U827" s="34"/>
      <c r="V827" s="65"/>
      <c r="W827" s="130" t="str">
        <f t="shared" si="1656"/>
        <v/>
      </c>
      <c r="X827" s="34"/>
      <c r="Y827" s="34"/>
      <c r="Z827" s="65"/>
      <c r="AA827" s="130" t="str">
        <f t="shared" si="1657"/>
        <v/>
      </c>
      <c r="AB827" s="34"/>
      <c r="AC827" s="34"/>
      <c r="AD827" s="65"/>
      <c r="AE827" s="131">
        <f t="shared" si="1658"/>
        <v>0</v>
      </c>
      <c r="AF827" s="132">
        <f t="shared" si="1582"/>
        <v>0</v>
      </c>
      <c r="AG827" s="133">
        <f t="shared" si="1659"/>
        <v>0</v>
      </c>
      <c r="AH827" s="76" t="str">
        <f t="shared" si="1660"/>
        <v/>
      </c>
      <c r="AI827" s="132">
        <f> ( IF(ISNUMBER(G827), VLOOKUP(G827/$AH827,F!$A1:$B101,2,1)*G827*$H827*$I827,0)+IF(ISNUMBER(K827), VLOOKUP(K827/$AH827,F!$A1:$B101,2,1)*K827*$L827*$M827,0)+IF(ISNUMBER(O827), VLOOKUP(O827/$AH827,F!$A1:$B101,2,1)*O827*$P827*$Q827,0)+IF(ISNUMBER(S827), VLOOKUP(S827/$AH827,F!$A1:$B101,2,1)*S827*$T827*$U827,0)+IF(ISNUMBER(W827), VLOOKUP(W827/$AH827,F!$A1:$B101,2,1)*W827*$X827*$Y827,0)+IF(ISNUMBER(AA827), VLOOKUP(AA827/$AH827,F!$A1:$B101,2,1)*AA827*$AB827*$AC827,0))*IF(ISNUMBER(F827),F827,1)*IF(ISNUMBER(E827),E827,1)</f>
        <v>0</v>
      </c>
      <c r="AJ827" s="34">
        <f t="shared" si="1661"/>
        <v>0</v>
      </c>
      <c r="AK827" s="134">
        <f t="array" ref="AK827">IFERROR(I827*INDEX(F!$P$21:$AB$33, MATCH(G827/$AH827, F!$O$21:$O$33,1), MATCH(E827, F!$P$20:$AB$20,1)), 0 ) +IFERROR( M827*INDEX(F!$P$21:$AB$33, MATCH(K827/$AH827, F!$O$21:$O$33,1), MATCH(E827, F!$P$20:$AB$20,1)),0) +  IFERROR( Q827*INDEX(F!$P$21:$AB$33, MATCH(O827/$AH827, F!$O$21:$O$33,1), MATCH(E827, F!$P$20:$AB$20,1)), 0) + IFERROR( U827*INDEX(F!$P$21:$AB$33, MATCH(S827/$AH827, F!$O$21:$O$33,1), MATCH(E827, F!$P$20:$AB$20,1)),0)  + IFERROR(Y827*INDEX(F!$P$21:$AB$33, MATCH(W827/$AH827, F!$O$21:$O$33,1), MATCH(E827, F!$P$20:$AB$20,1)),0)  + IFERROR( AC827*INDEX(F!$P$21:$AB$33, MATCH(AA827/$AH827, F!$O$21:$O$33,1), MATCH(E827, F!$P$20:$AB$20,1)),)</f>
        <v>0</v>
      </c>
      <c r="AL827" s="59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 ht="15.75" hidden="1" customHeight="1">
      <c r="A828" s="59"/>
      <c r="B828" s="135" t="str">
        <f t="shared" ref="B828:F828" si="1664">IF(B772="","",B772)</f>
        <v/>
      </c>
      <c r="C828" s="136" t="str">
        <f t="shared" si="1664"/>
        <v/>
      </c>
      <c r="D828" s="137" t="str">
        <f t="shared" si="1664"/>
        <v/>
      </c>
      <c r="E828" s="48" t="str">
        <f t="shared" si="1664"/>
        <v/>
      </c>
      <c r="F828" s="138" t="str">
        <f t="shared" si="1664"/>
        <v/>
      </c>
      <c r="G828" s="139" t="str">
        <f t="shared" si="1652"/>
        <v/>
      </c>
      <c r="H828" s="140"/>
      <c r="I828" s="140"/>
      <c r="J828" s="141"/>
      <c r="K828" s="139" t="str">
        <f t="shared" si="1653"/>
        <v/>
      </c>
      <c r="L828" s="140"/>
      <c r="M828" s="140"/>
      <c r="N828" s="141"/>
      <c r="O828" s="139" t="str">
        <f t="shared" si="1654"/>
        <v/>
      </c>
      <c r="P828" s="140"/>
      <c r="Q828" s="140"/>
      <c r="R828" s="141"/>
      <c r="S828" s="139" t="str">
        <f t="shared" si="1655"/>
        <v/>
      </c>
      <c r="T828" s="140"/>
      <c r="U828" s="140"/>
      <c r="V828" s="141"/>
      <c r="W828" s="139" t="str">
        <f t="shared" si="1656"/>
        <v/>
      </c>
      <c r="X828" s="140"/>
      <c r="Y828" s="140"/>
      <c r="Z828" s="141"/>
      <c r="AA828" s="139" t="str">
        <f t="shared" si="1657"/>
        <v/>
      </c>
      <c r="AB828" s="140"/>
      <c r="AC828" s="140"/>
      <c r="AD828" s="141"/>
      <c r="AE828" s="142">
        <f t="shared" si="1658"/>
        <v>0</v>
      </c>
      <c r="AF828" s="143">
        <f t="shared" si="1582"/>
        <v>0</v>
      </c>
      <c r="AG828" s="144">
        <f t="shared" si="1659"/>
        <v>0</v>
      </c>
      <c r="AH828" s="76" t="str">
        <f t="shared" si="1660"/>
        <v/>
      </c>
      <c r="AI828" s="143">
        <f> ( IF(ISNUMBER(G828), VLOOKUP(G828/$AH828,F!$A1:$B101,2,1)*G828*$H828*$I828,0)+IF(ISNUMBER(K828), VLOOKUP(K828/$AH828,F!$A1:$B101,2,1)*K828*$L828*$M828,0)+IF(ISNUMBER(O828), VLOOKUP(O828/$AH828,F!$A1:$B101,2,1)*O828*$P828*$Q828,0)+IF(ISNUMBER(S828), VLOOKUP(S828/$AH828,F!$A1:$B101,2,1)*S828*$T828*$U828,0)+IF(ISNUMBER(W828), VLOOKUP(W828/$AH828,F!$A1:$B101,2,1)*W828*$X828*$Y828,0)+IF(ISNUMBER(AA828), VLOOKUP(AA828/$AH828,F!$A1:$B101,2,1)*AA828*$AB828*$AC828,0))*IF(ISNUMBER(F828),F828,1)*IF(ISNUMBER(E828),E828,1)</f>
        <v>0</v>
      </c>
      <c r="AJ828" s="140">
        <f t="shared" si="1661"/>
        <v>0</v>
      </c>
      <c r="AK828" s="145">
        <f t="array" ref="AK828">IFERROR(I828*INDEX(F!$P$21:$AB$33, MATCH(G828/$AH828, F!$O$21:$O$33,1), MATCH(E828, F!$P$20:$AB$20,1)), 0 ) +IFERROR( M828*INDEX(F!$P$21:$AB$33, MATCH(K828/$AH828, F!$O$21:$O$33,1), MATCH(E828, F!$P$20:$AB$20,1)),0) +  IFERROR( Q828*INDEX(F!$P$21:$AB$33, MATCH(O828/$AH828, F!$O$21:$O$33,1), MATCH(E828, F!$P$20:$AB$20,1)), 0) + IFERROR( U828*INDEX(F!$P$21:$AB$33, MATCH(S828/$AH828, F!$O$21:$O$33,1), MATCH(E828, F!$P$20:$AB$20,1)),0)  + IFERROR(Y828*INDEX(F!$P$21:$AB$33, MATCH(W828/$AH828, F!$O$21:$O$33,1), MATCH(E828, F!$P$20:$AB$20,1)),0)  + IFERROR( AC828*INDEX(F!$P$21:$AB$33, MATCH(AA828/$AH828, F!$O$21:$O$33,1), MATCH(E828, F!$P$20:$AB$20,1)),)</f>
        <v>0</v>
      </c>
      <c r="AL828" s="59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 ht="15.75" hidden="1" customHeight="1">
      <c r="A829" s="59"/>
      <c r="B829" s="126" t="str">
        <f t="shared" ref="B829:F829" si="1665">IF(B773="","",B773)</f>
        <v/>
      </c>
      <c r="C829" s="127" t="str">
        <f t="shared" si="1665"/>
        <v/>
      </c>
      <c r="D829" s="128" t="str">
        <f t="shared" si="1665"/>
        <v/>
      </c>
      <c r="E829" s="48" t="str">
        <f t="shared" si="1665"/>
        <v/>
      </c>
      <c r="F829" s="129" t="str">
        <f t="shared" si="1665"/>
        <v/>
      </c>
      <c r="G829" s="130" t="str">
        <f t="shared" si="1652"/>
        <v/>
      </c>
      <c r="H829" s="34"/>
      <c r="I829" s="34"/>
      <c r="J829" s="65"/>
      <c r="K829" s="130" t="str">
        <f t="shared" si="1653"/>
        <v/>
      </c>
      <c r="L829" s="34"/>
      <c r="M829" s="34"/>
      <c r="N829" s="65"/>
      <c r="O829" s="130" t="str">
        <f t="shared" si="1654"/>
        <v/>
      </c>
      <c r="P829" s="34"/>
      <c r="Q829" s="34"/>
      <c r="R829" s="65"/>
      <c r="S829" s="130" t="str">
        <f t="shared" si="1655"/>
        <v/>
      </c>
      <c r="T829" s="34"/>
      <c r="U829" s="34"/>
      <c r="V829" s="65"/>
      <c r="W829" s="130" t="str">
        <f t="shared" si="1656"/>
        <v/>
      </c>
      <c r="X829" s="34"/>
      <c r="Y829" s="34"/>
      <c r="Z829" s="65"/>
      <c r="AA829" s="130" t="str">
        <f t="shared" si="1657"/>
        <v/>
      </c>
      <c r="AB829" s="34"/>
      <c r="AC829" s="34"/>
      <c r="AD829" s="65"/>
      <c r="AE829" s="131">
        <f t="shared" si="1658"/>
        <v>0</v>
      </c>
      <c r="AF829" s="132">
        <f t="shared" si="1582"/>
        <v>0</v>
      </c>
      <c r="AG829" s="133">
        <f t="shared" si="1659"/>
        <v>0</v>
      </c>
      <c r="AH829" s="76" t="str">
        <f t="shared" si="1660"/>
        <v/>
      </c>
      <c r="AI829" s="132">
        <f> ( IF(ISNUMBER(G829), VLOOKUP(G829/$AH829,F!$A1:$B101,2,1)*G829*$H829*$I829,0)+IF(ISNUMBER(K829), VLOOKUP(K829/$AH829,F!$A1:$B101,2,1)*K829*$L829*$M829,0)+IF(ISNUMBER(O829), VLOOKUP(O829/$AH829,F!$A1:$B101,2,1)*O829*$P829*$Q829,0)+IF(ISNUMBER(S829), VLOOKUP(S829/$AH829,F!$A1:$B101,2,1)*S829*$T829*$U829,0)+IF(ISNUMBER(W829), VLOOKUP(W829/$AH829,F!$A1:$B101,2,1)*W829*$X829*$Y829,0)+IF(ISNUMBER(AA829), VLOOKUP(AA829/$AH829,F!$A1:$B101,2,1)*AA829*$AB829*$AC829,0))*IF(ISNUMBER(F829),F829,1)*IF(ISNUMBER(E829),E829,1)</f>
        <v>0</v>
      </c>
      <c r="AJ829" s="34">
        <f t="shared" si="1661"/>
        <v>0</v>
      </c>
      <c r="AK829" s="134">
        <f t="array" ref="AK829">IFERROR(I829*INDEX(F!$P$21:$AB$33, MATCH(G829/$AH829, F!$O$21:$O$33,1), MATCH(E829, F!$P$20:$AB$20,1)), 0 ) +IFERROR( M829*INDEX(F!$P$21:$AB$33, MATCH(K829/$AH829, F!$O$21:$O$33,1), MATCH(E829, F!$P$20:$AB$20,1)),0) +  IFERROR( Q829*INDEX(F!$P$21:$AB$33, MATCH(O829/$AH829, F!$O$21:$O$33,1), MATCH(E829, F!$P$20:$AB$20,1)), 0) + IFERROR( U829*INDEX(F!$P$21:$AB$33, MATCH(S829/$AH829, F!$O$21:$O$33,1), MATCH(E829, F!$P$20:$AB$20,1)),0)  + IFERROR(Y829*INDEX(F!$P$21:$AB$33, MATCH(W829/$AH829, F!$O$21:$O$33,1), MATCH(E829, F!$P$20:$AB$20,1)),0)  + IFERROR( AC829*INDEX(F!$P$21:$AB$33, MATCH(AA829/$AH829, F!$O$21:$O$33,1), MATCH(E829, F!$P$20:$AB$20,1)),)</f>
        <v>0</v>
      </c>
      <c r="AL829" s="59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 ht="15.75" hidden="1" customHeight="1">
      <c r="A830" s="59"/>
      <c r="B830" s="135" t="str">
        <f t="shared" ref="B830:F830" si="1666">IF(B774="","",B774)</f>
        <v/>
      </c>
      <c r="C830" s="136" t="str">
        <f t="shared" si="1666"/>
        <v/>
      </c>
      <c r="D830" s="137" t="str">
        <f t="shared" si="1666"/>
        <v/>
      </c>
      <c r="E830" s="48" t="str">
        <f t="shared" si="1666"/>
        <v/>
      </c>
      <c r="F830" s="138" t="str">
        <f t="shared" si="1666"/>
        <v/>
      </c>
      <c r="G830" s="139" t="str">
        <f t="shared" si="1652"/>
        <v/>
      </c>
      <c r="H830" s="140"/>
      <c r="I830" s="140"/>
      <c r="J830" s="141"/>
      <c r="K830" s="139" t="str">
        <f t="shared" si="1653"/>
        <v/>
      </c>
      <c r="L830" s="140"/>
      <c r="M830" s="140"/>
      <c r="N830" s="141"/>
      <c r="O830" s="139" t="str">
        <f t="shared" si="1654"/>
        <v/>
      </c>
      <c r="P830" s="140"/>
      <c r="Q830" s="140"/>
      <c r="R830" s="141"/>
      <c r="S830" s="139" t="str">
        <f t="shared" si="1655"/>
        <v/>
      </c>
      <c r="T830" s="140"/>
      <c r="U830" s="140"/>
      <c r="V830" s="141"/>
      <c r="W830" s="139" t="str">
        <f t="shared" si="1656"/>
        <v/>
      </c>
      <c r="X830" s="140"/>
      <c r="Y830" s="140"/>
      <c r="Z830" s="141"/>
      <c r="AA830" s="139" t="str">
        <f t="shared" si="1657"/>
        <v/>
      </c>
      <c r="AB830" s="140"/>
      <c r="AC830" s="140"/>
      <c r="AD830" s="141"/>
      <c r="AE830" s="142">
        <f t="shared" si="1658"/>
        <v>0</v>
      </c>
      <c r="AF830" s="143">
        <f t="shared" si="1582"/>
        <v>0</v>
      </c>
      <c r="AG830" s="144">
        <f t="shared" si="1659"/>
        <v>0</v>
      </c>
      <c r="AH830" s="76" t="str">
        <f t="shared" si="1660"/>
        <v/>
      </c>
      <c r="AI830" s="143">
        <f> ( IF(ISNUMBER(G830), VLOOKUP(G830/$AH830,F!$A1:$B101,2,1)*G830*$H830*$I830,0)+IF(ISNUMBER(K830), VLOOKUP(K830/$AH830,F!$A1:$B101,2,1)*K830*$L830*$M830,0)+IF(ISNUMBER(O830), VLOOKUP(O830/$AH830,F!$A1:$B101,2,1)*O830*$P830*$Q830,0)+IF(ISNUMBER(S830), VLOOKUP(S830/$AH830,F!$A1:$B101,2,1)*S830*$T830*$U830,0)+IF(ISNUMBER(W830), VLOOKUP(W830/$AH830,F!$A1:$B101,2,1)*W830*$X830*$Y830,0)+IF(ISNUMBER(AA830), VLOOKUP(AA830/$AH830,F!$A1:$B101,2,1)*AA830*$AB830*$AC830,0))*IF(ISNUMBER(F830),F830,1)*IF(ISNUMBER(E830),E830,1)</f>
        <v>0</v>
      </c>
      <c r="AJ830" s="140">
        <f t="shared" si="1661"/>
        <v>0</v>
      </c>
      <c r="AK830" s="145">
        <f t="array" ref="AK830">IFERROR(I830*INDEX(F!$P$21:$AB$33, MATCH(G830/$AH830, F!$O$21:$O$33,1), MATCH(E830, F!$P$20:$AB$20,1)), 0 ) +IFERROR( M830*INDEX(F!$P$21:$AB$33, MATCH(K830/$AH830, F!$O$21:$O$33,1), MATCH(E830, F!$P$20:$AB$20,1)),0) +  IFERROR( Q830*INDEX(F!$P$21:$AB$33, MATCH(O830/$AH830, F!$O$21:$O$33,1), MATCH(E830, F!$P$20:$AB$20,1)), 0) + IFERROR( U830*INDEX(F!$P$21:$AB$33, MATCH(S830/$AH830, F!$O$21:$O$33,1), MATCH(E830, F!$P$20:$AB$20,1)),0)  + IFERROR(Y830*INDEX(F!$P$21:$AB$33, MATCH(W830/$AH830, F!$O$21:$O$33,1), MATCH(E830, F!$P$20:$AB$20,1)),0)  + IFERROR( AC830*INDEX(F!$P$21:$AB$33, MATCH(AA830/$AH830, F!$O$21:$O$33,1), MATCH(E830, F!$P$20:$AB$20,1)),)</f>
        <v>0</v>
      </c>
      <c r="AL830" s="59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 ht="15.75" hidden="1" customHeight="1">
      <c r="A831" s="59"/>
      <c r="B831" s="126" t="str">
        <f t="shared" ref="B831:F831" si="1667">IF(B775="","",B775)</f>
        <v/>
      </c>
      <c r="C831" s="127" t="str">
        <f t="shared" si="1667"/>
        <v/>
      </c>
      <c r="D831" s="128" t="str">
        <f t="shared" si="1667"/>
        <v/>
      </c>
      <c r="E831" s="48" t="str">
        <f t="shared" si="1667"/>
        <v/>
      </c>
      <c r="F831" s="129" t="str">
        <f t="shared" si="1667"/>
        <v/>
      </c>
      <c r="G831" s="130" t="str">
        <f t="shared" si="1652"/>
        <v/>
      </c>
      <c r="H831" s="34"/>
      <c r="I831" s="34"/>
      <c r="J831" s="65"/>
      <c r="K831" s="130" t="str">
        <f t="shared" si="1653"/>
        <v/>
      </c>
      <c r="L831" s="34"/>
      <c r="M831" s="34"/>
      <c r="N831" s="65"/>
      <c r="O831" s="130" t="str">
        <f t="shared" si="1654"/>
        <v/>
      </c>
      <c r="P831" s="34"/>
      <c r="Q831" s="34"/>
      <c r="R831" s="65"/>
      <c r="S831" s="130" t="str">
        <f t="shared" si="1655"/>
        <v/>
      </c>
      <c r="T831" s="34"/>
      <c r="U831" s="34"/>
      <c r="V831" s="65"/>
      <c r="W831" s="130" t="str">
        <f t="shared" si="1656"/>
        <v/>
      </c>
      <c r="X831" s="34"/>
      <c r="Y831" s="34"/>
      <c r="Z831" s="65"/>
      <c r="AA831" s="130" t="str">
        <f t="shared" si="1657"/>
        <v/>
      </c>
      <c r="AB831" s="34"/>
      <c r="AC831" s="34"/>
      <c r="AD831" s="65"/>
      <c r="AE831" s="131">
        <f t="shared" si="1658"/>
        <v>0</v>
      </c>
      <c r="AF831" s="132">
        <f t="shared" si="1582"/>
        <v>0</v>
      </c>
      <c r="AG831" s="133">
        <f t="shared" si="1659"/>
        <v>0</v>
      </c>
      <c r="AH831" s="76" t="str">
        <f t="shared" si="1660"/>
        <v/>
      </c>
      <c r="AI831" s="132">
        <f> ( IF(ISNUMBER(G831), VLOOKUP(G831/$AH831,F!$A1:$B101,2,1)*G831*$H831*$I831,0)+IF(ISNUMBER(K831), VLOOKUP(K831/$AH831,F!$A1:$B101,2,1)*K831*$L831*$M831,0)+IF(ISNUMBER(O831), VLOOKUP(O831/$AH831,F!$A1:$B101,2,1)*O831*$P831*$Q831,0)+IF(ISNUMBER(S831), VLOOKUP(S831/$AH831,F!$A1:$B101,2,1)*S831*$T831*$U831,0)+IF(ISNUMBER(W831), VLOOKUP(W831/$AH831,F!$A1:$B101,2,1)*W831*$X831*$Y831,0)+IF(ISNUMBER(AA831), VLOOKUP(AA831/$AH831,F!$A1:$B101,2,1)*AA831*$AB831*$AC831,0))*IF(ISNUMBER(F831),F831,1)*IF(ISNUMBER(E831),E831,1)</f>
        <v>0</v>
      </c>
      <c r="AJ831" s="34">
        <f t="shared" si="1661"/>
        <v>0</v>
      </c>
      <c r="AK831" s="134">
        <f t="array" ref="AK831">IFERROR(I831*INDEX(F!$P$21:$AB$33, MATCH(G831/$AH831, F!$O$21:$O$33,1), MATCH(E831, F!$P$20:$AB$20,1)), 0 ) +IFERROR( M831*INDEX(F!$P$21:$AB$33, MATCH(K831/$AH831, F!$O$21:$O$33,1), MATCH(E831, F!$P$20:$AB$20,1)),0) +  IFERROR( Q831*INDEX(F!$P$21:$AB$33, MATCH(O831/$AH831, F!$O$21:$O$33,1), MATCH(E831, F!$P$20:$AB$20,1)), 0) + IFERROR( U831*INDEX(F!$P$21:$AB$33, MATCH(S831/$AH831, F!$O$21:$O$33,1), MATCH(E831, F!$P$20:$AB$20,1)),0)  + IFERROR(Y831*INDEX(F!$P$21:$AB$33, MATCH(W831/$AH831, F!$O$21:$O$33,1), MATCH(E831, F!$P$20:$AB$20,1)),0)  + IFERROR( AC831*INDEX(F!$P$21:$AB$33, MATCH(AA831/$AH831, F!$O$21:$O$33,1), MATCH(E831, F!$P$20:$AB$20,1)),)</f>
        <v>0</v>
      </c>
      <c r="AL831" s="59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 ht="15.75" hidden="1" customHeight="1">
      <c r="A832" s="98"/>
      <c r="B832" s="150"/>
      <c r="C832" s="151"/>
      <c r="D832" s="152"/>
      <c r="E832" s="102">
        <f>ROUND(IFERROR(SUMPRODUCT(AJ824:AJ831,E824:E831)/AJ832,0),3)</f>
        <v>0</v>
      </c>
      <c r="F832" s="153"/>
      <c r="G832" s="154"/>
      <c r="H832" s="155"/>
      <c r="I832" s="155"/>
      <c r="J832" s="156"/>
      <c r="K832" s="154"/>
      <c r="L832" s="155"/>
      <c r="M832" s="155"/>
      <c r="N832" s="156"/>
      <c r="O832" s="154"/>
      <c r="P832" s="155"/>
      <c r="Q832" s="155"/>
      <c r="R832" s="156"/>
      <c r="S832" s="154"/>
      <c r="T832" s="155"/>
      <c r="U832" s="155"/>
      <c r="V832" s="156"/>
      <c r="W832" s="154"/>
      <c r="X832" s="155"/>
      <c r="Y832" s="155"/>
      <c r="Z832" s="156"/>
      <c r="AA832" s="154"/>
      <c r="AB832" s="155"/>
      <c r="AC832" s="155"/>
      <c r="AD832" s="156"/>
      <c r="AE832" s="107">
        <f>SUM(AE824:AE831)</f>
        <v>0</v>
      </c>
      <c r="AF832" s="108">
        <f t="shared" si="1582"/>
        <v>0</v>
      </c>
      <c r="AG832" s="109">
        <f>IFERROR(  SUMPRODUCT(AG824:AG831,AJ824:AJ831)/AJ832,0)</f>
        <v>0</v>
      </c>
      <c r="AH832" s="157"/>
      <c r="AI832" s="111">
        <f t="shared" ref="AI832:AJ832" si="1668">SUM(AI824:AI831)</f>
        <v>0</v>
      </c>
      <c r="AJ832" s="111">
        <f t="shared" si="1668"/>
        <v>0</v>
      </c>
      <c r="AK832" s="112">
        <f>IF(SUM(AK824:AK831)=0,TIME(,0,),TIME(,SUM(AK824:AK831)+F!$V$37,))</f>
        <v>0</v>
      </c>
      <c r="AL832" s="98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 ht="15.75" hidden="1" customHeight="1">
      <c r="A833" s="158">
        <f>A834</f>
        <v>43885</v>
      </c>
      <c r="B833" s="159" t="str">
        <f t="shared" ref="B833:F833" si="1669">IF(B777="","",B777)</f>
        <v/>
      </c>
      <c r="C833" s="160" t="str">
        <f t="shared" si="1669"/>
        <v/>
      </c>
      <c r="D833" s="161" t="str">
        <f t="shared" si="1669"/>
        <v/>
      </c>
      <c r="E833" s="29" t="str">
        <f t="shared" si="1669"/>
        <v/>
      </c>
      <c r="F833" s="162" t="str">
        <f t="shared" si="1669"/>
        <v/>
      </c>
      <c r="G833" s="163" t="str">
        <f t="shared" ref="G833:G840" si="1671">IF(J833&lt;&gt;0, IFERROR(IF( $F833=2,  MROUND($AH833*J833,1),    IF( OR($F833="",$F833=1),   MROUND($AH833*J833,2.5),  MROUND($AH833*J833, 0.1))), "" ), "")</f>
        <v/>
      </c>
      <c r="H833" s="164"/>
      <c r="I833" s="164"/>
      <c r="J833" s="165"/>
      <c r="K833" s="163" t="str">
        <f t="shared" ref="K833:K840" si="1672">IF(N833&lt;&gt;0, IFERROR(IF( $F833=2,  MROUND($AH833*N833,1),    IF( OR($F833="",$F833=1),   MROUND($AH833*N833,2.5),  MROUND($AH833*N833, 0.1))), "" ), "")</f>
        <v/>
      </c>
      <c r="L833" s="164"/>
      <c r="M833" s="164"/>
      <c r="N833" s="165"/>
      <c r="O833" s="163" t="str">
        <f t="shared" ref="O833:O840" si="1673">IF(R833&lt;&gt;0, IFERROR(IF( $F833=2,  MROUND($AH833*R833,1),    IF( OR($F833="",$F833=1),   MROUND($AH833*R833,2.5),  MROUND($AH833*R833, 0.1))), "" ), "")</f>
        <v/>
      </c>
      <c r="P833" s="164"/>
      <c r="Q833" s="164"/>
      <c r="R833" s="165"/>
      <c r="S833" s="163" t="str">
        <f t="shared" ref="S833:S840" si="1674">IF(V833&lt;&gt;0, IFERROR(IF( $F833=2,  MROUND($AH833*V833,1),    IF( OR($F833="",$F833=1),   MROUND($AH833*V833,2.5),  MROUND($AH833*V833, 0.1))), "" ), "")</f>
        <v/>
      </c>
      <c r="T833" s="164"/>
      <c r="U833" s="164"/>
      <c r="V833" s="165"/>
      <c r="W833" s="163" t="str">
        <f t="shared" ref="W833:W840" si="1675">IF(Z833&lt;&gt;0, IFERROR(IF( $F833=2,  MROUND($AH833*Z833,1),    IF( OR($F833="",$F833=1),   MROUND($AH833*Z833,2.5),  MROUND($AH833*Z833, 0.1))), "" ), "")</f>
        <v/>
      </c>
      <c r="X833" s="164"/>
      <c r="Y833" s="164"/>
      <c r="Z833" s="165"/>
      <c r="AA833" s="163" t="str">
        <f t="shared" ref="AA833:AA840" si="1676">IF(AD833&lt;&gt;0, IFERROR(IF( $F833=2,  MROUND($AH833*AD833,1),    IF( OR($F833="",$F833=1),   MROUND($AH833*AD833,2.5),  MROUND($AH833*AD833, 0.1))), "" ), "")</f>
        <v/>
      </c>
      <c r="AB833" s="164"/>
      <c r="AC833" s="164"/>
      <c r="AD833" s="165"/>
      <c r="AE833" s="166">
        <f t="shared" ref="AE833:AE840" si="1677">(IF(ISNUMBER(G833),G833,0)*H833*I833+IF(ISNUMBER(K833),K833,1)*L833*M833+IF(ISNUMBER(O833),O833,1)*P833*Q833+IF(ISNUMBER(S833),S833,1)*T833*U833+IF(ISNUMBER(W833),W833,1)*X833*Y833+IF(ISNUMBER(AA833),AA833,1)*AB833*AC833)*IF(ISNUMBER(F833),F833,1)</f>
        <v>0</v>
      </c>
      <c r="AF833" s="167">
        <f t="shared" si="1582"/>
        <v>0</v>
      </c>
      <c r="AG833" s="168">
        <f t="shared" ref="AG833:AG840" si="1678">IFERROR((AF833/(AH833*IF(ISNUMBER(F833),F833,1))),0)</f>
        <v>0</v>
      </c>
      <c r="AH833" s="169" t="str">
        <f t="shared" ref="AH833:AH840" si="1679">IF(ISNUMBER(AH777), AH777+(AH777*$AH$786),"")</f>
        <v/>
      </c>
      <c r="AI833" s="167">
        <f> ( IF(ISNUMBER(G833), VLOOKUP(G833/$AH833,F!$A1:$B101,2,1)*G833*$H833*$I833,0)+IF(ISNUMBER(K833), VLOOKUP(K833/$AH833,F!$A1:$B101,2,1)*K833*$L833*$M833,0)+IF(ISNUMBER(O833), VLOOKUP(O833/$AH833,F!$A1:$B101,2,1)*O833*$P833*$Q833,0)+IF(ISNUMBER(S833), VLOOKUP(S833/$AH833,F!$A1:$B101,2,1)*S833*$T833*$U833,0)+IF(ISNUMBER(W833), VLOOKUP(W833/$AH833,F!$A1:$B101,2,1)*W833*$X833*$Y833,0)+IF(ISNUMBER(AA833), VLOOKUP(AA833/$AH833,F!$A1:$B101,2,1)*AA833*$AB833*$AC833,0))*IF(ISNUMBER(F833),F833,1)*IF(ISNUMBER(E833),E833,1)</f>
        <v>0</v>
      </c>
      <c r="AJ833" s="164">
        <f t="shared" ref="AJ833:AJ840" si="1680">H833*I833+L833*M833+P833*Q833+T833*U833+X833*Y833+AB833*AC833</f>
        <v>0</v>
      </c>
      <c r="AK833" s="170">
        <f t="array" ref="AK833">IFERROR(I833*INDEX(F!$P$21:$AB$33, MATCH(G833/$AH833, F!$O$21:$O$33,1), MATCH(E833, F!$P$20:$AB$20,1)), 0 ) +IFERROR( M833*INDEX(F!$P$21:$AB$33, MATCH(K833/$AH833, F!$O$21:$O$33,1), MATCH(E833, F!$P$20:$AB$20,1)),0) +  IFERROR( Q833*INDEX(F!$P$21:$AB$33, MATCH(O833/$AH833, F!$O$21:$O$33,1), MATCH(E833, F!$P$20:$AB$20,1)), 0) + IFERROR( U833*INDEX(F!$P$21:$AB$33, MATCH(S833/$AH833, F!$O$21:$O$33,1), MATCH(E833, F!$P$20:$AB$20,1)),0)  + IFERROR(Y833*INDEX(F!$P$21:$AB$33, MATCH(W833/$AH833, F!$O$21:$O$33,1), MATCH(E833, F!$P$20:$AB$20,1)),0)  + IFERROR( AC833*INDEX(F!$P$21:$AB$33, MATCH(AA833/$AH833, F!$O$21:$O$33,1), MATCH(E833, F!$P$20:$AB$20,1)),)</f>
        <v>0</v>
      </c>
      <c r="AL833" s="42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 ht="15.75" hidden="1" customHeight="1">
      <c r="A834" s="44">
        <f>A778+A730</f>
        <v>43885</v>
      </c>
      <c r="B834" s="135" t="str">
        <f t="shared" ref="B834:F834" si="1670">IF(B778="","",B778)</f>
        <v/>
      </c>
      <c r="C834" s="136" t="str">
        <f t="shared" si="1670"/>
        <v/>
      </c>
      <c r="D834" s="137" t="str">
        <f t="shared" si="1670"/>
        <v/>
      </c>
      <c r="E834" s="48" t="str">
        <f t="shared" si="1670"/>
        <v/>
      </c>
      <c r="F834" s="138" t="str">
        <f t="shared" si="1670"/>
        <v/>
      </c>
      <c r="G834" s="139" t="str">
        <f t="shared" si="1671"/>
        <v/>
      </c>
      <c r="H834" s="140"/>
      <c r="I834" s="140"/>
      <c r="J834" s="141"/>
      <c r="K834" s="139" t="str">
        <f t="shared" si="1672"/>
        <v/>
      </c>
      <c r="L834" s="140"/>
      <c r="M834" s="140"/>
      <c r="N834" s="141"/>
      <c r="O834" s="139" t="str">
        <f t="shared" si="1673"/>
        <v/>
      </c>
      <c r="P834" s="140"/>
      <c r="Q834" s="140"/>
      <c r="R834" s="141"/>
      <c r="S834" s="139" t="str">
        <f t="shared" si="1674"/>
        <v/>
      </c>
      <c r="T834" s="140"/>
      <c r="U834" s="140"/>
      <c r="V834" s="141"/>
      <c r="W834" s="139" t="str">
        <f t="shared" si="1675"/>
        <v/>
      </c>
      <c r="X834" s="140"/>
      <c r="Y834" s="140"/>
      <c r="Z834" s="141"/>
      <c r="AA834" s="139" t="str">
        <f t="shared" si="1676"/>
        <v/>
      </c>
      <c r="AB834" s="140"/>
      <c r="AC834" s="140"/>
      <c r="AD834" s="141"/>
      <c r="AE834" s="142">
        <f t="shared" si="1677"/>
        <v>0</v>
      </c>
      <c r="AF834" s="143">
        <f t="shared" si="1582"/>
        <v>0</v>
      </c>
      <c r="AG834" s="144">
        <f t="shared" si="1678"/>
        <v>0</v>
      </c>
      <c r="AH834" s="76" t="str">
        <f t="shared" si="1679"/>
        <v/>
      </c>
      <c r="AI834" s="143">
        <f> ( IF(ISNUMBER(G834), VLOOKUP(G834/$AH834,F!$A1:$B101,2,1)*G834*$H834*$I834,0)+IF(ISNUMBER(K834), VLOOKUP(K834/$AH834,F!$A1:$B101,2,1)*K834*$L834*$M834,0)+IF(ISNUMBER(O834), VLOOKUP(O834/$AH834,F!$A1:$B101,2,1)*O834*$P834*$Q834,0)+IF(ISNUMBER(S834), VLOOKUP(S834/$AH834,F!$A1:$B101,2,1)*S834*$T834*$U834,0)+IF(ISNUMBER(W834), VLOOKUP(W834/$AH834,F!$A1:$B101,2,1)*W834*$X834*$Y834,0)+IF(ISNUMBER(AA834), VLOOKUP(AA834/$AH834,F!$A1:$B101,2,1)*AA834*$AB834*$AC834,0))*IF(ISNUMBER(F834),F834,1)*IF(ISNUMBER(E834),E834,1)</f>
        <v>0</v>
      </c>
      <c r="AJ834" s="140">
        <f t="shared" si="1680"/>
        <v>0</v>
      </c>
      <c r="AK834" s="145">
        <f t="array" ref="AK834">IFERROR(I834*INDEX(F!$P$21:$AB$33, MATCH(G834/$AH834, F!$O$21:$O$33,1), MATCH(E834, F!$P$20:$AB$20,1)), 0 ) +IFERROR( M834*INDEX(F!$P$21:$AB$33, MATCH(K834/$AH834, F!$O$21:$O$33,1), MATCH(E834, F!$P$20:$AB$20,1)),0) +  IFERROR( Q834*INDEX(F!$P$21:$AB$33, MATCH(O834/$AH834, F!$O$21:$O$33,1), MATCH(E834, F!$P$20:$AB$20,1)), 0) + IFERROR( U834*INDEX(F!$P$21:$AB$33, MATCH(S834/$AH834, F!$O$21:$O$33,1), MATCH(E834, F!$P$20:$AB$20,1)),0)  + IFERROR(Y834*INDEX(F!$P$21:$AB$33, MATCH(W834/$AH834, F!$O$21:$O$33,1), MATCH(E834, F!$P$20:$AB$20,1)),0)  + IFERROR( AC834*INDEX(F!$P$21:$AB$33, MATCH(AA834/$AH834, F!$O$21:$O$33,1), MATCH(E834, F!$P$20:$AB$20,1)),)</f>
        <v>0</v>
      </c>
      <c r="AL834" s="59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 ht="15.75" hidden="1" customHeight="1">
      <c r="A835" s="59"/>
      <c r="B835" s="173" t="str">
        <f t="shared" ref="B835:F835" si="1681">IF(B779="","",B779)</f>
        <v/>
      </c>
      <c r="C835" s="174" t="str">
        <f t="shared" si="1681"/>
        <v/>
      </c>
      <c r="D835" s="175" t="str">
        <f t="shared" si="1681"/>
        <v/>
      </c>
      <c r="E835" s="48" t="str">
        <f t="shared" si="1681"/>
        <v/>
      </c>
      <c r="F835" s="176" t="str">
        <f t="shared" si="1681"/>
        <v/>
      </c>
      <c r="G835" s="177" t="str">
        <f t="shared" si="1671"/>
        <v/>
      </c>
      <c r="H835" s="178"/>
      <c r="I835" s="178"/>
      <c r="J835" s="179"/>
      <c r="K835" s="177" t="str">
        <f t="shared" si="1672"/>
        <v/>
      </c>
      <c r="L835" s="178"/>
      <c r="M835" s="178"/>
      <c r="N835" s="179"/>
      <c r="O835" s="177" t="str">
        <f t="shared" si="1673"/>
        <v/>
      </c>
      <c r="P835" s="178"/>
      <c r="Q835" s="178"/>
      <c r="R835" s="179"/>
      <c r="S835" s="177" t="str">
        <f t="shared" si="1674"/>
        <v/>
      </c>
      <c r="T835" s="178"/>
      <c r="U835" s="178"/>
      <c r="V835" s="179"/>
      <c r="W835" s="177" t="str">
        <f t="shared" si="1675"/>
        <v/>
      </c>
      <c r="X835" s="178"/>
      <c r="Y835" s="178"/>
      <c r="Z835" s="179"/>
      <c r="AA835" s="177" t="str">
        <f t="shared" si="1676"/>
        <v/>
      </c>
      <c r="AB835" s="178"/>
      <c r="AC835" s="178"/>
      <c r="AD835" s="179"/>
      <c r="AE835" s="180">
        <f t="shared" si="1677"/>
        <v>0</v>
      </c>
      <c r="AF835" s="181">
        <f t="shared" si="1582"/>
        <v>0</v>
      </c>
      <c r="AG835" s="182">
        <f t="shared" si="1678"/>
        <v>0</v>
      </c>
      <c r="AH835" s="76" t="str">
        <f t="shared" si="1679"/>
        <v/>
      </c>
      <c r="AI835" s="181">
        <f> ( IF(ISNUMBER(G835), VLOOKUP(G835/$AH835,F!$A1:$B101,2,1)*G835*$H835*$I835,0)+IF(ISNUMBER(K835), VLOOKUP(K835/$AH835,F!$A1:$B101,2,1)*K835*$L835*$M835,0)+IF(ISNUMBER(O835), VLOOKUP(O835/$AH835,F!$A1:$B101,2,1)*O835*$P835*$Q835,0)+IF(ISNUMBER(S835), VLOOKUP(S835/$AH835,F!$A1:$B101,2,1)*S835*$T835*$U835,0)+IF(ISNUMBER(W835), VLOOKUP(W835/$AH835,F!$A1:$B101,2,1)*W835*$X835*$Y835,0)+IF(ISNUMBER(AA835), VLOOKUP(AA835/$AH835,F!$A1:$B101,2,1)*AA835*$AB835*$AC835,0))*IF(ISNUMBER(F835),F835,1)*IF(ISNUMBER(E835),E835,1)</f>
        <v>0</v>
      </c>
      <c r="AJ835" s="178">
        <f t="shared" si="1680"/>
        <v>0</v>
      </c>
      <c r="AK835" s="183">
        <f t="array" ref="AK835">IFERROR(I835*INDEX(F!$P$21:$AB$33, MATCH(G835/$AH835, F!$O$21:$O$33,1), MATCH(E835, F!$P$20:$AB$20,1)), 0 ) +IFERROR( M835*INDEX(F!$P$21:$AB$33, MATCH(K835/$AH835, F!$O$21:$O$33,1), MATCH(E835, F!$P$20:$AB$20,1)),0) +  IFERROR( Q835*INDEX(F!$P$21:$AB$33, MATCH(O835/$AH835, F!$O$21:$O$33,1), MATCH(E835, F!$P$20:$AB$20,1)), 0) + IFERROR( U835*INDEX(F!$P$21:$AB$33, MATCH(S835/$AH835, F!$O$21:$O$33,1), MATCH(E835, F!$P$20:$AB$20,1)),0)  + IFERROR(Y835*INDEX(F!$P$21:$AB$33, MATCH(W835/$AH835, F!$O$21:$O$33,1), MATCH(E835, F!$P$20:$AB$20,1)),0)  + IFERROR( AC835*INDEX(F!$P$21:$AB$33, MATCH(AA835/$AH835, F!$O$21:$O$33,1), MATCH(E835, F!$P$20:$AB$20,1)),)</f>
        <v>0</v>
      </c>
      <c r="AL835" s="59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 ht="15.75" hidden="1" customHeight="1">
      <c r="A836" s="59"/>
      <c r="B836" s="135" t="str">
        <f t="shared" ref="B836:F836" si="1682">IF(B780="","",B780)</f>
        <v/>
      </c>
      <c r="C836" s="136" t="str">
        <f t="shared" si="1682"/>
        <v/>
      </c>
      <c r="D836" s="137" t="str">
        <f t="shared" si="1682"/>
        <v/>
      </c>
      <c r="E836" s="48" t="str">
        <f t="shared" si="1682"/>
        <v/>
      </c>
      <c r="F836" s="138" t="str">
        <f t="shared" si="1682"/>
        <v/>
      </c>
      <c r="G836" s="139" t="str">
        <f t="shared" si="1671"/>
        <v/>
      </c>
      <c r="H836" s="140"/>
      <c r="I836" s="140"/>
      <c r="J836" s="141"/>
      <c r="K836" s="139" t="str">
        <f t="shared" si="1672"/>
        <v/>
      </c>
      <c r="L836" s="140"/>
      <c r="M836" s="140"/>
      <c r="N836" s="141"/>
      <c r="O836" s="139" t="str">
        <f t="shared" si="1673"/>
        <v/>
      </c>
      <c r="P836" s="140"/>
      <c r="Q836" s="140"/>
      <c r="R836" s="141"/>
      <c r="S836" s="139" t="str">
        <f t="shared" si="1674"/>
        <v/>
      </c>
      <c r="T836" s="140"/>
      <c r="U836" s="140"/>
      <c r="V836" s="141"/>
      <c r="W836" s="139" t="str">
        <f t="shared" si="1675"/>
        <v/>
      </c>
      <c r="X836" s="140"/>
      <c r="Y836" s="140"/>
      <c r="Z836" s="141"/>
      <c r="AA836" s="139" t="str">
        <f t="shared" si="1676"/>
        <v/>
      </c>
      <c r="AB836" s="140"/>
      <c r="AC836" s="140"/>
      <c r="AD836" s="141"/>
      <c r="AE836" s="142">
        <f t="shared" si="1677"/>
        <v>0</v>
      </c>
      <c r="AF836" s="143">
        <f t="shared" si="1582"/>
        <v>0</v>
      </c>
      <c r="AG836" s="144">
        <f t="shared" si="1678"/>
        <v>0</v>
      </c>
      <c r="AH836" s="76" t="str">
        <f t="shared" si="1679"/>
        <v/>
      </c>
      <c r="AI836" s="143">
        <f> ( IF(ISNUMBER(G836), VLOOKUP(G836/$AH836,F!$A1:$B101,2,1)*G836*$H836*$I836,0)+IF(ISNUMBER(K836), VLOOKUP(K836/$AH836,F!$A1:$B101,2,1)*K836*$L836*$M836,0)+IF(ISNUMBER(O836), VLOOKUP(O836/$AH836,F!$A1:$B101,2,1)*O836*$P836*$Q836,0)+IF(ISNUMBER(S836), VLOOKUP(S836/$AH836,F!$A1:$B101,2,1)*S836*$T836*$U836,0)+IF(ISNUMBER(W836), VLOOKUP(W836/$AH836,F!$A1:$B101,2,1)*W836*$X836*$Y836,0)+IF(ISNUMBER(AA836), VLOOKUP(AA836/$AH836,F!$A1:$B101,2,1)*AA836*$AB836*$AC836,0))*IF(ISNUMBER(F836),F836,1)*IF(ISNUMBER(E836),E836,1)</f>
        <v>0</v>
      </c>
      <c r="AJ836" s="140">
        <f t="shared" si="1680"/>
        <v>0</v>
      </c>
      <c r="AK836" s="145">
        <f t="array" ref="AK836">IFERROR(I836*INDEX(F!$P$21:$AB$33, MATCH(G836/$AH836, F!$O$21:$O$33,1), MATCH(E836, F!$P$20:$AB$20,1)), 0 ) +IFERROR( M836*INDEX(F!$P$21:$AB$33, MATCH(K836/$AH836, F!$O$21:$O$33,1), MATCH(E836, F!$P$20:$AB$20,1)),0) +  IFERROR( Q836*INDEX(F!$P$21:$AB$33, MATCH(O836/$AH836, F!$O$21:$O$33,1), MATCH(E836, F!$P$20:$AB$20,1)), 0) + IFERROR( U836*INDEX(F!$P$21:$AB$33, MATCH(S836/$AH836, F!$O$21:$O$33,1), MATCH(E836, F!$P$20:$AB$20,1)),0)  + IFERROR(Y836*INDEX(F!$P$21:$AB$33, MATCH(W836/$AH836, F!$O$21:$O$33,1), MATCH(E836, F!$P$20:$AB$20,1)),0)  + IFERROR( AC836*INDEX(F!$P$21:$AB$33, MATCH(AA836/$AH836, F!$O$21:$O$33,1), MATCH(E836, F!$P$20:$AB$20,1)),)</f>
        <v>0</v>
      </c>
      <c r="AL836" s="59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 ht="15.75" hidden="1" customHeight="1">
      <c r="A837" s="59"/>
      <c r="B837" s="173" t="str">
        <f t="shared" ref="B837:F837" si="1683">IF(B781="","",B781)</f>
        <v/>
      </c>
      <c r="C837" s="174" t="str">
        <f t="shared" si="1683"/>
        <v/>
      </c>
      <c r="D837" s="175" t="str">
        <f t="shared" si="1683"/>
        <v/>
      </c>
      <c r="E837" s="48" t="str">
        <f t="shared" si="1683"/>
        <v/>
      </c>
      <c r="F837" s="176" t="str">
        <f t="shared" si="1683"/>
        <v/>
      </c>
      <c r="G837" s="177" t="str">
        <f t="shared" si="1671"/>
        <v/>
      </c>
      <c r="H837" s="178"/>
      <c r="I837" s="178"/>
      <c r="J837" s="179"/>
      <c r="K837" s="177" t="str">
        <f t="shared" si="1672"/>
        <v/>
      </c>
      <c r="L837" s="178"/>
      <c r="M837" s="178"/>
      <c r="N837" s="179"/>
      <c r="O837" s="177" t="str">
        <f t="shared" si="1673"/>
        <v/>
      </c>
      <c r="P837" s="178"/>
      <c r="Q837" s="178"/>
      <c r="R837" s="179"/>
      <c r="S837" s="177" t="str">
        <f t="shared" si="1674"/>
        <v/>
      </c>
      <c r="T837" s="178"/>
      <c r="U837" s="178"/>
      <c r="V837" s="179"/>
      <c r="W837" s="177" t="str">
        <f t="shared" si="1675"/>
        <v/>
      </c>
      <c r="X837" s="178"/>
      <c r="Y837" s="178"/>
      <c r="Z837" s="179"/>
      <c r="AA837" s="177" t="str">
        <f t="shared" si="1676"/>
        <v/>
      </c>
      <c r="AB837" s="178"/>
      <c r="AC837" s="178"/>
      <c r="AD837" s="179"/>
      <c r="AE837" s="180">
        <f t="shared" si="1677"/>
        <v>0</v>
      </c>
      <c r="AF837" s="181">
        <f t="shared" si="1582"/>
        <v>0</v>
      </c>
      <c r="AG837" s="182">
        <f t="shared" si="1678"/>
        <v>0</v>
      </c>
      <c r="AH837" s="76" t="str">
        <f t="shared" si="1679"/>
        <v/>
      </c>
      <c r="AI837" s="181">
        <f> ( IF(ISNUMBER(G837), VLOOKUP(G837/$AH837,F!$A1:$B101,2,1)*G837*$H837*$I837,0)+IF(ISNUMBER(K837), VLOOKUP(K837/$AH837,F!$A1:$B101,2,1)*K837*$L837*$M837,0)+IF(ISNUMBER(O837), VLOOKUP(O837/$AH837,F!$A1:$B101,2,1)*O837*$P837*$Q837,0)+IF(ISNUMBER(S837), VLOOKUP(S837/$AH837,F!$A1:$B101,2,1)*S837*$T837*$U837,0)+IF(ISNUMBER(W837), VLOOKUP(W837/$AH837,F!$A1:$B101,2,1)*W837*$X837*$Y837,0)+IF(ISNUMBER(AA837), VLOOKUP(AA837/$AH837,F!$A1:$B101,2,1)*AA837*$AB837*$AC837,0))*IF(ISNUMBER(F837),F837,1)*IF(ISNUMBER(E837),E837,1)</f>
        <v>0</v>
      </c>
      <c r="AJ837" s="178">
        <f t="shared" si="1680"/>
        <v>0</v>
      </c>
      <c r="AK837" s="183">
        <f t="array" ref="AK837">IFERROR(I837*INDEX(F!$P$21:$AB$33, MATCH(G837/$AH837, F!$O$21:$O$33,1), MATCH(E837, F!$P$20:$AB$20,1)), 0 ) +IFERROR( M837*INDEX(F!$P$21:$AB$33, MATCH(K837/$AH837, F!$O$21:$O$33,1), MATCH(E837, F!$P$20:$AB$20,1)),0) +  IFERROR( Q837*INDEX(F!$P$21:$AB$33, MATCH(O837/$AH837, F!$O$21:$O$33,1), MATCH(E837, F!$P$20:$AB$20,1)), 0) + IFERROR( U837*INDEX(F!$P$21:$AB$33, MATCH(S837/$AH837, F!$O$21:$O$33,1), MATCH(E837, F!$P$20:$AB$20,1)),0)  + IFERROR(Y837*INDEX(F!$P$21:$AB$33, MATCH(W837/$AH837, F!$O$21:$O$33,1), MATCH(E837, F!$P$20:$AB$20,1)),0)  + IFERROR( AC837*INDEX(F!$P$21:$AB$33, MATCH(AA837/$AH837, F!$O$21:$O$33,1), MATCH(E837, F!$P$20:$AB$20,1)),)</f>
        <v>0</v>
      </c>
      <c r="AL837" s="59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 ht="15.75" hidden="1" customHeight="1">
      <c r="A838" s="59"/>
      <c r="B838" s="135" t="str">
        <f t="shared" ref="B838:F838" si="1684">IF(B782="","",B782)</f>
        <v/>
      </c>
      <c r="C838" s="136" t="str">
        <f t="shared" si="1684"/>
        <v/>
      </c>
      <c r="D838" s="137" t="str">
        <f t="shared" si="1684"/>
        <v/>
      </c>
      <c r="E838" s="48" t="str">
        <f t="shared" si="1684"/>
        <v/>
      </c>
      <c r="F838" s="138" t="str">
        <f t="shared" si="1684"/>
        <v/>
      </c>
      <c r="G838" s="139" t="str">
        <f t="shared" si="1671"/>
        <v/>
      </c>
      <c r="H838" s="140"/>
      <c r="I838" s="140"/>
      <c r="J838" s="141"/>
      <c r="K838" s="139" t="str">
        <f t="shared" si="1672"/>
        <v/>
      </c>
      <c r="L838" s="140"/>
      <c r="M838" s="140"/>
      <c r="N838" s="141"/>
      <c r="O838" s="139" t="str">
        <f t="shared" si="1673"/>
        <v/>
      </c>
      <c r="P838" s="140"/>
      <c r="Q838" s="140"/>
      <c r="R838" s="141"/>
      <c r="S838" s="139" t="str">
        <f t="shared" si="1674"/>
        <v/>
      </c>
      <c r="T838" s="140"/>
      <c r="U838" s="140"/>
      <c r="V838" s="141"/>
      <c r="W838" s="139" t="str">
        <f t="shared" si="1675"/>
        <v/>
      </c>
      <c r="X838" s="140"/>
      <c r="Y838" s="140"/>
      <c r="Z838" s="141"/>
      <c r="AA838" s="139" t="str">
        <f t="shared" si="1676"/>
        <v/>
      </c>
      <c r="AB838" s="140"/>
      <c r="AC838" s="140"/>
      <c r="AD838" s="141"/>
      <c r="AE838" s="142">
        <f t="shared" si="1677"/>
        <v>0</v>
      </c>
      <c r="AF838" s="143">
        <f t="shared" si="1582"/>
        <v>0</v>
      </c>
      <c r="AG838" s="144">
        <f t="shared" si="1678"/>
        <v>0</v>
      </c>
      <c r="AH838" s="76" t="str">
        <f t="shared" si="1679"/>
        <v/>
      </c>
      <c r="AI838" s="143">
        <f> ( IF(ISNUMBER(G838), VLOOKUP(G838/$AH838,F!$A1:$B101,2,1)*G838*$H838*$I838,0)+IF(ISNUMBER(K838), VLOOKUP(K838/$AH838,F!$A1:$B101,2,1)*K838*$L838*$M838,0)+IF(ISNUMBER(O838), VLOOKUP(O838/$AH838,F!$A1:$B101,2,1)*O838*$P838*$Q838,0)+IF(ISNUMBER(S838), VLOOKUP(S838/$AH838,F!$A1:$B101,2,1)*S838*$T838*$U838,0)+IF(ISNUMBER(W838), VLOOKUP(W838/$AH838,F!$A1:$B101,2,1)*W838*$X838*$Y838,0)+IF(ISNUMBER(AA838), VLOOKUP(AA838/$AH838,F!$A1:$B101,2,1)*AA838*$AB838*$AC838,0))*IF(ISNUMBER(F838),F838,1)*IF(ISNUMBER(E838),E838,1)</f>
        <v>0</v>
      </c>
      <c r="AJ838" s="140">
        <f t="shared" si="1680"/>
        <v>0</v>
      </c>
      <c r="AK838" s="145">
        <f t="array" ref="AK838">IFERROR(I838*INDEX(F!$P$21:$AB$33, MATCH(G838/$AH838, F!$O$21:$O$33,1), MATCH(E838, F!$P$20:$AB$20,1)), 0 ) +IFERROR( M838*INDEX(F!$P$21:$AB$33, MATCH(K838/$AH838, F!$O$21:$O$33,1), MATCH(E838, F!$P$20:$AB$20,1)),0) +  IFERROR( Q838*INDEX(F!$P$21:$AB$33, MATCH(O838/$AH838, F!$O$21:$O$33,1), MATCH(E838, F!$P$20:$AB$20,1)), 0) + IFERROR( U838*INDEX(F!$P$21:$AB$33, MATCH(S838/$AH838, F!$O$21:$O$33,1), MATCH(E838, F!$P$20:$AB$20,1)),0)  + IFERROR(Y838*INDEX(F!$P$21:$AB$33, MATCH(W838/$AH838, F!$O$21:$O$33,1), MATCH(E838, F!$P$20:$AB$20,1)),0)  + IFERROR( AC838*INDEX(F!$P$21:$AB$33, MATCH(AA838/$AH838, F!$O$21:$O$33,1), MATCH(E838, F!$P$20:$AB$20,1)),)</f>
        <v>0</v>
      </c>
      <c r="AL838" s="59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 ht="15.75" hidden="1" customHeight="1">
      <c r="A839" s="59"/>
      <c r="B839" s="173" t="str">
        <f t="shared" ref="B839:F839" si="1685">IF(B783="","",B783)</f>
        <v/>
      </c>
      <c r="C839" s="174" t="str">
        <f t="shared" si="1685"/>
        <v/>
      </c>
      <c r="D839" s="175" t="str">
        <f t="shared" si="1685"/>
        <v/>
      </c>
      <c r="E839" s="48" t="str">
        <f t="shared" si="1685"/>
        <v/>
      </c>
      <c r="F839" s="176" t="str">
        <f t="shared" si="1685"/>
        <v/>
      </c>
      <c r="G839" s="177" t="str">
        <f t="shared" si="1671"/>
        <v/>
      </c>
      <c r="H839" s="178"/>
      <c r="I839" s="178"/>
      <c r="J839" s="179"/>
      <c r="K839" s="177" t="str">
        <f t="shared" si="1672"/>
        <v/>
      </c>
      <c r="L839" s="178"/>
      <c r="M839" s="178"/>
      <c r="N839" s="179"/>
      <c r="O839" s="177" t="str">
        <f t="shared" si="1673"/>
        <v/>
      </c>
      <c r="P839" s="178"/>
      <c r="Q839" s="178"/>
      <c r="R839" s="179"/>
      <c r="S839" s="177" t="str">
        <f t="shared" si="1674"/>
        <v/>
      </c>
      <c r="T839" s="178"/>
      <c r="U839" s="178"/>
      <c r="V839" s="179"/>
      <c r="W839" s="177" t="str">
        <f t="shared" si="1675"/>
        <v/>
      </c>
      <c r="X839" s="178"/>
      <c r="Y839" s="178"/>
      <c r="Z839" s="179"/>
      <c r="AA839" s="177" t="str">
        <f t="shared" si="1676"/>
        <v/>
      </c>
      <c r="AB839" s="178"/>
      <c r="AC839" s="178"/>
      <c r="AD839" s="179"/>
      <c r="AE839" s="180">
        <f t="shared" si="1677"/>
        <v>0</v>
      </c>
      <c r="AF839" s="181">
        <f t="shared" si="1582"/>
        <v>0</v>
      </c>
      <c r="AG839" s="182">
        <f t="shared" si="1678"/>
        <v>0</v>
      </c>
      <c r="AH839" s="76" t="str">
        <f t="shared" si="1679"/>
        <v/>
      </c>
      <c r="AI839" s="181">
        <f> ( IF(ISNUMBER(G839), VLOOKUP(G839/$AH839,F!$A1:$B101,2,1)*G839*$H839*$I839,0)+IF(ISNUMBER(K839), VLOOKUP(K839/$AH839,F!$A1:$B101,2,1)*K839*$L839*$M839,0)+IF(ISNUMBER(O839), VLOOKUP(O839/$AH839,F!$A1:$B101,2,1)*O839*$P839*$Q839,0)+IF(ISNUMBER(S839), VLOOKUP(S839/$AH839,F!$A1:$B101,2,1)*S839*$T839*$U839,0)+IF(ISNUMBER(W839), VLOOKUP(W839/$AH839,F!$A1:$B101,2,1)*W839*$X839*$Y839,0)+IF(ISNUMBER(AA839), VLOOKUP(AA839/$AH839,F!$A1:$B101,2,1)*AA839*$AB839*$AC839,0))*IF(ISNUMBER(F839),F839,1)*IF(ISNUMBER(E839),E839,1)</f>
        <v>0</v>
      </c>
      <c r="AJ839" s="178">
        <f t="shared" si="1680"/>
        <v>0</v>
      </c>
      <c r="AK839" s="183">
        <f t="array" ref="AK839">IFERROR(I839*INDEX(F!$P$21:$AB$33, MATCH(G839/$AH839, F!$O$21:$O$33,1), MATCH(E839, F!$P$20:$AB$20,1)), 0 ) +IFERROR( M839*INDEX(F!$P$21:$AB$33, MATCH(K839/$AH839, F!$O$21:$O$33,1), MATCH(E839, F!$P$20:$AB$20,1)),0) +  IFERROR( Q839*INDEX(F!$P$21:$AB$33, MATCH(O839/$AH839, F!$O$21:$O$33,1), MATCH(E839, F!$P$20:$AB$20,1)), 0) + IFERROR( U839*INDEX(F!$P$21:$AB$33, MATCH(S839/$AH839, F!$O$21:$O$33,1), MATCH(E839, F!$P$20:$AB$20,1)),0)  + IFERROR(Y839*INDEX(F!$P$21:$AB$33, MATCH(W839/$AH839, F!$O$21:$O$33,1), MATCH(E839, F!$P$20:$AB$20,1)),0)  + IFERROR( AC839*INDEX(F!$P$21:$AB$33, MATCH(AA839/$AH839, F!$O$21:$O$33,1), MATCH(E839, F!$P$20:$AB$20,1)),)</f>
        <v>0</v>
      </c>
      <c r="AL839" s="59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 ht="15.75" hidden="1" customHeight="1">
      <c r="A840" s="59"/>
      <c r="B840" s="135" t="str">
        <f t="shared" ref="B840:F840" si="1686">IF(B784="","",B784)</f>
        <v/>
      </c>
      <c r="C840" s="136" t="str">
        <f t="shared" si="1686"/>
        <v/>
      </c>
      <c r="D840" s="137" t="str">
        <f t="shared" si="1686"/>
        <v/>
      </c>
      <c r="E840" s="48" t="str">
        <f t="shared" si="1686"/>
        <v/>
      </c>
      <c r="F840" s="138" t="str">
        <f t="shared" si="1686"/>
        <v/>
      </c>
      <c r="G840" s="139" t="str">
        <f t="shared" si="1671"/>
        <v/>
      </c>
      <c r="H840" s="140"/>
      <c r="I840" s="140"/>
      <c r="J840" s="141"/>
      <c r="K840" s="139" t="str">
        <f t="shared" si="1672"/>
        <v/>
      </c>
      <c r="L840" s="140"/>
      <c r="M840" s="140"/>
      <c r="N840" s="141"/>
      <c r="O840" s="139" t="str">
        <f t="shared" si="1673"/>
        <v/>
      </c>
      <c r="P840" s="140"/>
      <c r="Q840" s="140"/>
      <c r="R840" s="141"/>
      <c r="S840" s="139" t="str">
        <f t="shared" si="1674"/>
        <v/>
      </c>
      <c r="T840" s="140"/>
      <c r="U840" s="140"/>
      <c r="V840" s="141"/>
      <c r="W840" s="139" t="str">
        <f t="shared" si="1675"/>
        <v/>
      </c>
      <c r="X840" s="140"/>
      <c r="Y840" s="140"/>
      <c r="Z840" s="141"/>
      <c r="AA840" s="139" t="str">
        <f t="shared" si="1676"/>
        <v/>
      </c>
      <c r="AB840" s="140"/>
      <c r="AC840" s="140"/>
      <c r="AD840" s="141"/>
      <c r="AE840" s="142">
        <f t="shared" si="1677"/>
        <v>0</v>
      </c>
      <c r="AF840" s="143">
        <f t="shared" si="1582"/>
        <v>0</v>
      </c>
      <c r="AG840" s="144">
        <f t="shared" si="1678"/>
        <v>0</v>
      </c>
      <c r="AH840" s="76" t="str">
        <f t="shared" si="1679"/>
        <v/>
      </c>
      <c r="AI840" s="143">
        <f> ( IF(ISNUMBER(G840), VLOOKUP(G840/$AH840,F!$A1:$B101,2,1)*G840*$H840*$I840,0)+IF(ISNUMBER(K840), VLOOKUP(K840/$AH840,F!$A1:$B101,2,1)*K840*$L840*$M840,0)+IF(ISNUMBER(O840), VLOOKUP(O840/$AH840,F!$A1:$B101,2,1)*O840*$P840*$Q840,0)+IF(ISNUMBER(S840), VLOOKUP(S840/$AH840,F!$A1:$B101,2,1)*S840*$T840*$U840,0)+IF(ISNUMBER(W840), VLOOKUP(W840/$AH840,F!$A1:$B101,2,1)*W840*$X840*$Y840,0)+IF(ISNUMBER(AA840), VLOOKUP(AA840/$AH840,F!$A1:$B101,2,1)*AA840*$AB840*$AC840,0))*IF(ISNUMBER(F840),F840,1)*IF(ISNUMBER(E840),E840,1)</f>
        <v>0</v>
      </c>
      <c r="AJ840" s="140">
        <f t="shared" si="1680"/>
        <v>0</v>
      </c>
      <c r="AK840" s="145">
        <f t="array" ref="AK840">IFERROR(I840*INDEX(F!$P$21:$AB$33, MATCH(G840/$AH840, F!$O$21:$O$33,1), MATCH(E840, F!$P$20:$AB$20,1)), 0 ) +IFERROR( M840*INDEX(F!$P$21:$AB$33, MATCH(K840/$AH840, F!$O$21:$O$33,1), MATCH(E840, F!$P$20:$AB$20,1)),0) +  IFERROR( Q840*INDEX(F!$P$21:$AB$33, MATCH(O840/$AH840, F!$O$21:$O$33,1), MATCH(E840, F!$P$20:$AB$20,1)), 0) + IFERROR( U840*INDEX(F!$P$21:$AB$33, MATCH(S840/$AH840, F!$O$21:$O$33,1), MATCH(E840, F!$P$20:$AB$20,1)),0)  + IFERROR(Y840*INDEX(F!$P$21:$AB$33, MATCH(W840/$AH840, F!$O$21:$O$33,1), MATCH(E840, F!$P$20:$AB$20,1)),0)  + IFERROR( AC840*INDEX(F!$P$21:$AB$33, MATCH(AA840/$AH840, F!$O$21:$O$33,1), MATCH(E840, F!$P$20:$AB$20,1)),)</f>
        <v>0</v>
      </c>
      <c r="AL840" s="59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 ht="15.75" hidden="1" customHeight="1">
      <c r="A841" s="98"/>
      <c r="B841" s="188"/>
      <c r="C841" s="189"/>
      <c r="D841" s="190"/>
      <c r="E841" s="102">
        <f>ROUND(IFERROR(SUMPRODUCT(AJ833:AJ840,E833:E840)/AJ841,0),3)</f>
        <v>0</v>
      </c>
      <c r="F841" s="191"/>
      <c r="G841" s="201"/>
      <c r="H841" s="193"/>
      <c r="I841" s="193"/>
      <c r="J841" s="194"/>
      <c r="K841" s="201"/>
      <c r="L841" s="193"/>
      <c r="M841" s="193"/>
      <c r="N841" s="194"/>
      <c r="O841" s="201"/>
      <c r="P841" s="193"/>
      <c r="Q841" s="193"/>
      <c r="R841" s="194"/>
      <c r="S841" s="201"/>
      <c r="T841" s="193"/>
      <c r="U841" s="193"/>
      <c r="V841" s="194"/>
      <c r="W841" s="201"/>
      <c r="X841" s="193"/>
      <c r="Y841" s="193"/>
      <c r="Z841" s="194"/>
      <c r="AA841" s="201"/>
      <c r="AB841" s="193"/>
      <c r="AC841" s="193"/>
      <c r="AD841" s="194"/>
      <c r="AE841" s="107">
        <f>SUM(AE833:AE840)</f>
        <v>0</v>
      </c>
      <c r="AF841" s="108">
        <f t="shared" si="1582"/>
        <v>0</v>
      </c>
      <c r="AG841" s="109">
        <f>IFERROR(  SUMPRODUCT(AG833:AG840,AJ833:AJ840)/AJ841,0)</f>
        <v>0</v>
      </c>
      <c r="AH841" s="157"/>
      <c r="AI841" s="111">
        <f t="shared" ref="AI841:AJ841" si="1687">SUM(AI833:AI840)</f>
        <v>0</v>
      </c>
      <c r="AJ841" s="111">
        <f t="shared" si="1687"/>
        <v>0</v>
      </c>
      <c r="AK841" s="112">
        <f>IF(SUM(AK833:AK840)=0,TIME(,0,),TIME(,SUM(AK833:AK840)+F!$V$37,))</f>
        <v>0</v>
      </c>
      <c r="AL841" s="98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 ht="15.75" hidden="1" customHeight="1">
      <c r="A842" s="204">
        <f>A786</f>
        <v>7</v>
      </c>
      <c r="B842" s="205"/>
      <c r="C842" s="205"/>
      <c r="D842" s="205"/>
      <c r="E842" s="7">
        <f>IF(AJ842=0,0,(E852*AJ852 + E861*AJ861 + E870*AJ870 + E879*AJ879 + E888*AJ888 + E897*AJ897   ) /AJ842 )</f>
        <v>0</v>
      </c>
      <c r="F842" s="206" t="s">
        <v>0</v>
      </c>
      <c r="G842" s="9"/>
      <c r="H842" s="9"/>
      <c r="I842" s="9"/>
      <c r="J842" s="9"/>
      <c r="K842" s="9"/>
      <c r="L842" s="9"/>
      <c r="M842" s="10"/>
      <c r="N842" s="221">
        <f>N786+1</f>
        <v>16</v>
      </c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  <c r="AA842" s="222"/>
      <c r="AB842" s="222"/>
      <c r="AC842" s="222"/>
      <c r="AD842" s="223"/>
      <c r="AE842" s="224">
        <f>AE852+AE861+AE870+AE879+AE888+AE897</f>
        <v>0</v>
      </c>
      <c r="AF842" s="225">
        <f t="shared" si="1582"/>
        <v>0</v>
      </c>
      <c r="AG842" s="226">
        <f>IF(AJ842=0,0,(AG852*AJ852 + AG861*AJ861 + AG870*AJ870 + AG879*AJ879 + AG888*AJ888 + AG897*AJ897   ) /AJ842 )</f>
        <v>0</v>
      </c>
      <c r="AH842" s="210">
        <f>AH786</f>
        <v>0.02</v>
      </c>
      <c r="AI842" s="224">
        <f t="shared" ref="AI842:AK842" si="1688">AI852+AI861+AI870+AI879+AI888+AI897</f>
        <v>0</v>
      </c>
      <c r="AJ842" s="224">
        <f t="shared" si="1688"/>
        <v>0</v>
      </c>
      <c r="AK842" s="227">
        <f t="shared" si="1688"/>
        <v>0</v>
      </c>
      <c r="AL842" s="212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 ht="15.75" hidden="1" customHeight="1">
      <c r="A843" s="19" t="s">
        <v>1</v>
      </c>
      <c r="B843" s="20" t="s">
        <v>2</v>
      </c>
      <c r="C843" s="20" t="s">
        <v>3</v>
      </c>
      <c r="D843" s="20" t="s">
        <v>4</v>
      </c>
      <c r="E843" s="20" t="s">
        <v>5</v>
      </c>
      <c r="F843" s="20" t="s">
        <v>6</v>
      </c>
      <c r="G843" s="20" t="s">
        <v>7</v>
      </c>
      <c r="H843" s="20" t="s">
        <v>8</v>
      </c>
      <c r="I843" s="20" t="s">
        <v>9</v>
      </c>
      <c r="J843" s="20" t="s">
        <v>10</v>
      </c>
      <c r="K843" s="20" t="s">
        <v>7</v>
      </c>
      <c r="L843" s="20" t="s">
        <v>8</v>
      </c>
      <c r="M843" s="20" t="s">
        <v>9</v>
      </c>
      <c r="N843" s="20" t="s">
        <v>10</v>
      </c>
      <c r="O843" s="20" t="s">
        <v>7</v>
      </c>
      <c r="P843" s="20" t="s">
        <v>8</v>
      </c>
      <c r="Q843" s="20" t="s">
        <v>9</v>
      </c>
      <c r="R843" s="20" t="s">
        <v>10</v>
      </c>
      <c r="S843" s="20" t="s">
        <v>7</v>
      </c>
      <c r="T843" s="20" t="s">
        <v>8</v>
      </c>
      <c r="U843" s="20" t="s">
        <v>9</v>
      </c>
      <c r="V843" s="20" t="s">
        <v>10</v>
      </c>
      <c r="W843" s="20" t="s">
        <v>7</v>
      </c>
      <c r="X843" s="20" t="s">
        <v>8</v>
      </c>
      <c r="Y843" s="20" t="s">
        <v>9</v>
      </c>
      <c r="Z843" s="20" t="s">
        <v>10</v>
      </c>
      <c r="AA843" s="20" t="s">
        <v>7</v>
      </c>
      <c r="AB843" s="20" t="s">
        <v>8</v>
      </c>
      <c r="AC843" s="20" t="s">
        <v>9</v>
      </c>
      <c r="AD843" s="21" t="s">
        <v>10</v>
      </c>
      <c r="AE843" s="20" t="s">
        <v>11</v>
      </c>
      <c r="AF843" s="20" t="s">
        <v>12</v>
      </c>
      <c r="AG843" s="20" t="s">
        <v>13</v>
      </c>
      <c r="AH843" s="213" t="s">
        <v>14</v>
      </c>
      <c r="AI843" s="23" t="s">
        <v>15</v>
      </c>
      <c r="AJ843" s="20" t="s">
        <v>16</v>
      </c>
      <c r="AK843" s="21" t="s">
        <v>17</v>
      </c>
      <c r="AL843" s="214" t="s">
        <v>18</v>
      </c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 ht="15.75" hidden="1" customHeight="1">
      <c r="A844" s="25">
        <f>A845</f>
        <v>43885</v>
      </c>
      <c r="B844" s="26" t="str">
        <f t="shared" ref="B844:F844" si="1689">IF(B788="","",B788)</f>
        <v>Средняя</v>
      </c>
      <c r="C844" s="27" t="str">
        <f t="shared" si="1689"/>
        <v>ПР</v>
      </c>
      <c r="D844" s="28" t="str">
        <f t="shared" si="1689"/>
        <v>Присед</v>
      </c>
      <c r="E844" s="29">
        <f t="shared" si="1689"/>
        <v>1.2</v>
      </c>
      <c r="F844" s="30" t="str">
        <f t="shared" si="1689"/>
        <v/>
      </c>
      <c r="G844" s="31" t="str">
        <f t="shared" ref="G844:G851" si="1691">IF(J844&lt;&gt;0, IFERROR(IF( $F844=2,  MROUND($AH844*J844,1),    IF( OR($F844="",$F844=1),   MROUND($AH844*J844,2.5),  MROUND($AH844*J844, 0.1))), "" ), "")</f>
        <v/>
      </c>
      <c r="H844" s="32"/>
      <c r="I844" s="32"/>
      <c r="J844" s="33"/>
      <c r="K844" s="31" t="str">
        <f t="shared" ref="K844:K851" si="1692">IF(N844&lt;&gt;0, IFERROR(IF( $F844=2,  MROUND($AH844*N844,1),    IF( OR($F844="",$F844=1),   MROUND($AH844*N844,2.5),  MROUND($AH844*N844, 0.1))), "" ), "")</f>
        <v/>
      </c>
      <c r="L844" s="32"/>
      <c r="M844" s="32"/>
      <c r="N844" s="33"/>
      <c r="O844" s="31" t="str">
        <f t="shared" ref="O844:O851" si="1693">IF(R844&lt;&gt;0, IFERROR(IF( $F844=2,  MROUND($AH844*R844,1),    IF( OR($F844="",$F844=1),   MROUND($AH844*R844,2.5),  MROUND($AH844*R844, 0.1))), "" ), "")</f>
        <v/>
      </c>
      <c r="P844" s="32"/>
      <c r="Q844" s="32"/>
      <c r="R844" s="33"/>
      <c r="S844" s="31" t="str">
        <f t="shared" ref="S844:S851" si="1694">IF(V844&lt;&gt;0, IFERROR(IF( $F844=2,  MROUND($AH844*V844,1),    IF( OR($F844="",$F844=1),   MROUND($AH844*V844,2.5),  MROUND($AH844*V844, 0.1))), "" ), "")</f>
        <v/>
      </c>
      <c r="T844" s="32"/>
      <c r="U844" s="32"/>
      <c r="V844" s="33"/>
      <c r="W844" s="31" t="str">
        <f t="shared" ref="W844:W851" si="1695">IF(Z844&lt;&gt;0, IFERROR(IF( $F844=2,  MROUND($AH844*Z844,1),    IF( OR($F844="",$F844=1),   MROUND($AH844*Z844,2.5),  MROUND($AH844*Z844, 0.1))), "" ), "")</f>
        <v/>
      </c>
      <c r="X844" s="32"/>
      <c r="Y844" s="32"/>
      <c r="Z844" s="33"/>
      <c r="AA844" s="31" t="str">
        <f t="shared" ref="AA844:AA851" si="1696">IF(AD844&lt;&gt;0, IFERROR(IF( $F844=2,  MROUND($AH844*AD844,1),    IF( OR($F844="",$F844=1),   MROUND($AH844*AD844,2.5),  MROUND($AH844*AD844, 0.1))), "" ), "")</f>
        <v/>
      </c>
      <c r="AB844" s="32"/>
      <c r="AC844" s="32"/>
      <c r="AD844" s="33"/>
      <c r="AE844" s="35">
        <f t="shared" ref="AE844:AE851" si="1697">(IF(ISNUMBER(G844),G844,0)*H844*I844+IF(ISNUMBER(K844),K844,1)*L844*M844+IF(ISNUMBER(O844),O844,1)*P844*Q844+IF(ISNUMBER(S844),S844,1)*T844*U844+IF(ISNUMBER(W844),W844,1)*X844*Y844+IF(ISNUMBER(AA844),AA844,1)*AB844*AC844)*IF(ISNUMBER(F844),F844,1)</f>
        <v>0</v>
      </c>
      <c r="AF844" s="36">
        <f t="shared" ref="AF844:AF898" si="1698">IFERROR(AE844/AJ844,0)</f>
        <v>0</v>
      </c>
      <c r="AG844" s="195">
        <f t="shared" ref="AG844:AG851" si="1699">IFERROR((AF844/(AH844*IF(ISNUMBER(F844),F844,1))),0)</f>
        <v>0</v>
      </c>
      <c r="AH844" s="169">
        <f t="shared" ref="AH844:AH851" si="1700">IF(ISNUMBER(AH788), AH788+(AH788*$AH$842),"")</f>
        <v>181.6922257</v>
      </c>
      <c r="AI844" s="70">
        <f> ( IF(ISNUMBER(G844), VLOOKUP(G844/$AH844,F!$A1:$B101,2,1)*G844*$H844*$I844,0)+IF(ISNUMBER(K844), VLOOKUP(K844/$AH844,F!$A1:$B101,2,1)*K844*$L844*$M844,0)+IF(ISNUMBER(O844), VLOOKUP(O844/$AH844,F!$A1:$B101,2,1)*O844*$P844*$Q844,0)+IF(ISNUMBER(S844), VLOOKUP(S844/$AH844,F!$A1:$B101,2,1)*S844*$T844*$U844,0)+IF(ISNUMBER(W844), VLOOKUP(W844/$AH844,F!$A1:$B101,2,1)*W844*$X844*$Y844,0)+IF(ISNUMBER(AA844), VLOOKUP(AA844/$AH844,F!$A1:$B101,2,1)*AA844*$AB844*$AC844,0))*IF(ISNUMBER(F844),F844,1)*IF(ISNUMBER(E844),E844,1)</f>
        <v>0</v>
      </c>
      <c r="AJ844" s="40">
        <f t="shared" ref="AJ844:AJ851" si="1701">H844*I844+L844*M844+P844*Q844+T844*U844+X844*Y844+AB844*AC844</f>
        <v>0</v>
      </c>
      <c r="AK844" s="41">
        <f t="array" ref="AK844">IFERROR(I844*INDEX(F!$P$21:$AB$33, MATCH(G844/$AH844, F!$O$21:$O$33,1), MATCH(E844, F!$P$20:$AB$20,1)), 0 ) +IFERROR( M844*INDEX(F!$P$21:$AB$33, MATCH(K844/$AH844, F!$O$21:$O$33,1), MATCH(E844, F!$P$20:$AB$20,1)),0) +  IFERROR( Q844*INDEX(F!$P$21:$AB$33, MATCH(O844/$AH844, F!$O$21:$O$33,1), MATCH(E844, F!$P$20:$AB$20,1)), 0) + IFERROR( U844*INDEX(F!$P$21:$AB$33, MATCH(S844/$AH844, F!$O$21:$O$33,1), MATCH(E844, F!$P$20:$AB$20,1)),0)  + IFERROR(Y844*INDEX(F!$P$21:$AB$33, MATCH(W844/$AH844, F!$O$21:$O$33,1), MATCH(E844, F!$P$20:$AB$20,1)),0)  + IFERROR( AC844*INDEX(F!$P$21:$AB$33, MATCH(AA844/$AH844, F!$O$21:$O$33,1), MATCH(E844, F!$P$20:$AB$20,1)),)</f>
        <v>0</v>
      </c>
      <c r="AL844" s="42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 ht="15.75" hidden="1" customHeight="1">
      <c r="A845" s="44">
        <f>A789+A786</f>
        <v>43885</v>
      </c>
      <c r="B845" s="45" t="str">
        <f t="shared" ref="B845:F845" si="1690">IF(B789="","",B789)</f>
        <v>Средняя</v>
      </c>
      <c r="C845" s="46" t="str">
        <f t="shared" si="1690"/>
        <v>ЖМ</v>
      </c>
      <c r="D845" s="47" t="str">
        <f t="shared" si="1690"/>
        <v>Жим лежа</v>
      </c>
      <c r="E845" s="48">
        <f t="shared" si="1690"/>
        <v>1</v>
      </c>
      <c r="F845" s="49" t="str">
        <f t="shared" si="1690"/>
        <v/>
      </c>
      <c r="G845" s="50" t="str">
        <f t="shared" si="1691"/>
        <v/>
      </c>
      <c r="H845" s="51"/>
      <c r="I845" s="51"/>
      <c r="J845" s="52"/>
      <c r="K845" s="50" t="str">
        <f t="shared" si="1692"/>
        <v/>
      </c>
      <c r="L845" s="51"/>
      <c r="M845" s="51"/>
      <c r="N845" s="52"/>
      <c r="O845" s="50" t="str">
        <f t="shared" si="1693"/>
        <v/>
      </c>
      <c r="P845" s="51"/>
      <c r="Q845" s="51"/>
      <c r="R845" s="52"/>
      <c r="S845" s="50" t="str">
        <f t="shared" si="1694"/>
        <v/>
      </c>
      <c r="T845" s="51"/>
      <c r="U845" s="51"/>
      <c r="V845" s="52"/>
      <c r="W845" s="50" t="str">
        <f t="shared" si="1695"/>
        <v/>
      </c>
      <c r="X845" s="51"/>
      <c r="Y845" s="51"/>
      <c r="Z845" s="52"/>
      <c r="AA845" s="50" t="str">
        <f t="shared" si="1696"/>
        <v/>
      </c>
      <c r="AB845" s="51"/>
      <c r="AC845" s="51"/>
      <c r="AD845" s="52"/>
      <c r="AE845" s="53">
        <f t="shared" si="1697"/>
        <v>0</v>
      </c>
      <c r="AF845" s="54">
        <f t="shared" si="1698"/>
        <v>0</v>
      </c>
      <c r="AG845" s="75">
        <f t="shared" si="1699"/>
        <v>0</v>
      </c>
      <c r="AH845" s="76">
        <f t="shared" si="1700"/>
        <v>127.8574921</v>
      </c>
      <c r="AI845" s="77">
        <f> ( IF(ISNUMBER(G845), VLOOKUP(G845/$AH845,F!$A1:$B101,2,1)*G845*$H845*$I845,0)+IF(ISNUMBER(K845), VLOOKUP(K845/$AH845,F!$A1:$B101,2,1)*K845*$L845*$M845,0)+IF(ISNUMBER(O845), VLOOKUP(O845/$AH845,F!$A1:$B101,2,1)*O845*$P845*$Q845,0)+IF(ISNUMBER(S845), VLOOKUP(S845/$AH845,F!$A1:$B101,2,1)*S845*$T845*$U845,0)+IF(ISNUMBER(W845), VLOOKUP(W845/$AH845,F!$A1:$B101,2,1)*W845*$X845*$Y845,0)+IF(ISNUMBER(AA845), VLOOKUP(AA845/$AH845,F!$A1:$B101,2,1)*AA845*$AB845*$AC845,0))*IF(ISNUMBER(F845),F845,1)*IF(ISNUMBER(E845),E845,1)</f>
        <v>0</v>
      </c>
      <c r="AJ845" s="57">
        <f t="shared" si="1701"/>
        <v>0</v>
      </c>
      <c r="AK845" s="58">
        <f t="array" ref="AK845">IFERROR(I845*INDEX(F!$P$21:$AB$33, MATCH(G845/$AH845, F!$O$21:$O$33,1), MATCH(E845, F!$P$20:$AB$20,1)), 0 ) +IFERROR( M845*INDEX(F!$P$21:$AB$33, MATCH(K845/$AH845, F!$O$21:$O$33,1), MATCH(E845, F!$P$20:$AB$20,1)),0) +  IFERROR( Q845*INDEX(F!$P$21:$AB$33, MATCH(O845/$AH845, F!$O$21:$O$33,1), MATCH(E845, F!$P$20:$AB$20,1)), 0) + IFERROR( U845*INDEX(F!$P$21:$AB$33, MATCH(S845/$AH845, F!$O$21:$O$33,1), MATCH(E845, F!$P$20:$AB$20,1)),0)  + IFERROR(Y845*INDEX(F!$P$21:$AB$33, MATCH(W845/$AH845, F!$O$21:$O$33,1), MATCH(E845, F!$P$20:$AB$20,1)),0)  + IFERROR( AC845*INDEX(F!$P$21:$AB$33, MATCH(AA845/$AH845, F!$O$21:$O$33,1), MATCH(E845, F!$P$20:$AB$20,1)),)</f>
        <v>0</v>
      </c>
      <c r="AL845" s="59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 ht="15.75" hidden="1" customHeight="1">
      <c r="A846" s="59"/>
      <c r="B846" s="60" t="str">
        <f t="shared" ref="B846:F846" si="1702">IF(B790="","",B790)</f>
        <v>Тяжелая</v>
      </c>
      <c r="C846" s="61" t="str">
        <f t="shared" si="1702"/>
        <v>ПР</v>
      </c>
      <c r="D846" s="62" t="str">
        <f t="shared" si="1702"/>
        <v>Присед</v>
      </c>
      <c r="E846" s="48">
        <f t="shared" si="1702"/>
        <v>1.2</v>
      </c>
      <c r="F846" s="63" t="str">
        <f t="shared" si="1702"/>
        <v/>
      </c>
      <c r="G846" s="64" t="str">
        <f t="shared" si="1691"/>
        <v/>
      </c>
      <c r="H846" s="34"/>
      <c r="I846" s="34"/>
      <c r="J846" s="65"/>
      <c r="K846" s="64" t="str">
        <f t="shared" si="1692"/>
        <v/>
      </c>
      <c r="L846" s="34"/>
      <c r="M846" s="34"/>
      <c r="N846" s="65"/>
      <c r="O846" s="64" t="str">
        <f t="shared" si="1693"/>
        <v/>
      </c>
      <c r="P846" s="34"/>
      <c r="Q846" s="34"/>
      <c r="R846" s="65"/>
      <c r="S846" s="64" t="str">
        <f t="shared" si="1694"/>
        <v/>
      </c>
      <c r="T846" s="34"/>
      <c r="U846" s="34"/>
      <c r="V846" s="65"/>
      <c r="W846" s="64" t="str">
        <f t="shared" si="1695"/>
        <v/>
      </c>
      <c r="X846" s="34"/>
      <c r="Y846" s="34"/>
      <c r="Z846" s="65"/>
      <c r="AA846" s="64" t="str">
        <f t="shared" si="1696"/>
        <v/>
      </c>
      <c r="AB846" s="34"/>
      <c r="AC846" s="34"/>
      <c r="AD846" s="65"/>
      <c r="AE846" s="66">
        <f t="shared" si="1697"/>
        <v>0</v>
      </c>
      <c r="AF846" s="67">
        <f t="shared" si="1698"/>
        <v>0</v>
      </c>
      <c r="AG846" s="68">
        <f t="shared" si="1699"/>
        <v>0</v>
      </c>
      <c r="AH846" s="76">
        <f t="shared" si="1700"/>
        <v>181.6922257</v>
      </c>
      <c r="AI846" s="70">
        <f> ( IF(ISNUMBER(G846), VLOOKUP(G846/$AH846,F!$A1:$B101,2,1)*G846*$H846*$I846,0)+IF(ISNUMBER(K846), VLOOKUP(K846/$AH846,F!$A1:$B101,2,1)*K846*$L846*$M846,0)+IF(ISNUMBER(O846), VLOOKUP(O846/$AH846,F!$A1:$B101,2,1)*O846*$P846*$Q846,0)+IF(ISNUMBER(S846), VLOOKUP(S846/$AH846,F!$A1:$B101,2,1)*S846*$T846*$U846,0)+IF(ISNUMBER(W846), VLOOKUP(W846/$AH846,F!$A1:$B101,2,1)*W846*$X846*$Y846,0)+IF(ISNUMBER(AA846), VLOOKUP(AA846/$AH846,F!$A1:$B101,2,1)*AA846*$AB846*$AC846,0))*IF(ISNUMBER(F846),F846,1)*IF(ISNUMBER(E846),E846,1)</f>
        <v>0</v>
      </c>
      <c r="AJ846" s="71">
        <f t="shared" si="1701"/>
        <v>0</v>
      </c>
      <c r="AK846" s="72">
        <f t="array" ref="AK846">IFERROR(I846*INDEX(F!$P$21:$AB$33, MATCH(G846/$AH846, F!$O$21:$O$33,1), MATCH(E846, F!$P$20:$AB$20,1)), 0 ) +IFERROR( M846*INDEX(F!$P$21:$AB$33, MATCH(K846/$AH846, F!$O$21:$O$33,1), MATCH(E846, F!$P$20:$AB$20,1)),0) +  IFERROR( Q846*INDEX(F!$P$21:$AB$33, MATCH(O846/$AH846, F!$O$21:$O$33,1), MATCH(E846, F!$P$20:$AB$20,1)), 0) + IFERROR( U846*INDEX(F!$P$21:$AB$33, MATCH(S846/$AH846, F!$O$21:$O$33,1), MATCH(E846, F!$P$20:$AB$20,1)),0)  + IFERROR(Y846*INDEX(F!$P$21:$AB$33, MATCH(W846/$AH846, F!$O$21:$O$33,1), MATCH(E846, F!$P$20:$AB$20,1)),0)  + IFERROR( AC846*INDEX(F!$P$21:$AB$33, MATCH(AA846/$AH846, F!$O$21:$O$33,1), MATCH(E846, F!$P$20:$AB$20,1)),)</f>
        <v>0</v>
      </c>
      <c r="AL846" s="59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 ht="15.75" hidden="1" customHeight="1">
      <c r="A847" s="59"/>
      <c r="B847" s="215" t="str">
        <f t="shared" ref="B847:F847" si="1703">IF(B791="","",B791)</f>
        <v>Средняя</v>
      </c>
      <c r="C847" s="73" t="str">
        <f t="shared" si="1703"/>
        <v>ЖМ</v>
      </c>
      <c r="D847" s="47" t="str">
        <f t="shared" si="1703"/>
        <v>Жим гантелей</v>
      </c>
      <c r="E847" s="48">
        <f t="shared" si="1703"/>
        <v>1</v>
      </c>
      <c r="F847" s="74">
        <f t="shared" si="1703"/>
        <v>2</v>
      </c>
      <c r="G847" s="50" t="str">
        <f t="shared" si="1691"/>
        <v/>
      </c>
      <c r="H847" s="51"/>
      <c r="I847" s="51"/>
      <c r="J847" s="52"/>
      <c r="K847" s="50" t="str">
        <f t="shared" si="1692"/>
        <v/>
      </c>
      <c r="L847" s="51"/>
      <c r="M847" s="51"/>
      <c r="N847" s="52"/>
      <c r="O847" s="50" t="str">
        <f t="shared" si="1693"/>
        <v/>
      </c>
      <c r="P847" s="51"/>
      <c r="Q847" s="51"/>
      <c r="R847" s="52"/>
      <c r="S847" s="50" t="str">
        <f t="shared" si="1694"/>
        <v/>
      </c>
      <c r="T847" s="51"/>
      <c r="U847" s="51"/>
      <c r="V847" s="52"/>
      <c r="W847" s="50" t="str">
        <f t="shared" si="1695"/>
        <v/>
      </c>
      <c r="X847" s="51"/>
      <c r="Y847" s="51"/>
      <c r="Z847" s="52"/>
      <c r="AA847" s="50" t="str">
        <f t="shared" si="1696"/>
        <v/>
      </c>
      <c r="AB847" s="51"/>
      <c r="AC847" s="51"/>
      <c r="AD847" s="52"/>
      <c r="AE847" s="53">
        <f t="shared" si="1697"/>
        <v>0</v>
      </c>
      <c r="AF847" s="54">
        <f t="shared" si="1698"/>
        <v>0</v>
      </c>
      <c r="AG847" s="75">
        <f t="shared" si="1699"/>
        <v>0</v>
      </c>
      <c r="AH847" s="76">
        <f t="shared" si="1700"/>
        <v>40.91439749</v>
      </c>
      <c r="AI847" s="77">
        <f> ( IF(ISNUMBER(G847), VLOOKUP(G847/$AH847,F!$A1:$B101,2,1)*G847*$H847*$I847,0)+IF(ISNUMBER(K847), VLOOKUP(K847/$AH847,F!$A1:$B101,2,1)*K847*$L847*$M847,0)+IF(ISNUMBER(O847), VLOOKUP(O847/$AH847,F!$A1:$B101,2,1)*O847*$P847*$Q847,0)+IF(ISNUMBER(S847), VLOOKUP(S847/$AH847,F!$A1:$B101,2,1)*S847*$T847*$U847,0)+IF(ISNUMBER(W847), VLOOKUP(W847/$AH847,F!$A1:$B101,2,1)*W847*$X847*$Y847,0)+IF(ISNUMBER(AA847), VLOOKUP(AA847/$AH847,F!$A1:$B101,2,1)*AA847*$AB847*$AC847,0))*IF(ISNUMBER(F847),F847,1)*IF(ISNUMBER(E847),E847,1)</f>
        <v>0</v>
      </c>
      <c r="AJ847" s="57">
        <f t="shared" si="1701"/>
        <v>0</v>
      </c>
      <c r="AK847" s="58">
        <f t="array" ref="AK847">IFERROR(I847*INDEX(F!$P$21:$AB$33, MATCH(G847/$AH847, F!$O$21:$O$33,1), MATCH(E847, F!$P$20:$AB$20,1)), 0 ) +IFERROR( M847*INDEX(F!$P$21:$AB$33, MATCH(K847/$AH847, F!$O$21:$O$33,1), MATCH(E847, F!$P$20:$AB$20,1)),0) +  IFERROR( Q847*INDEX(F!$P$21:$AB$33, MATCH(O847/$AH847, F!$O$21:$O$33,1), MATCH(E847, F!$P$20:$AB$20,1)), 0) + IFERROR( U847*INDEX(F!$P$21:$AB$33, MATCH(S847/$AH847, F!$O$21:$O$33,1), MATCH(E847, F!$P$20:$AB$20,1)),0)  + IFERROR(Y847*INDEX(F!$P$21:$AB$33, MATCH(W847/$AH847, F!$O$21:$O$33,1), MATCH(E847, F!$P$20:$AB$20,1)),0)  + IFERROR( AC847*INDEX(F!$P$21:$AB$33, MATCH(AA847/$AH847, F!$O$21:$O$33,1), MATCH(E847, F!$P$20:$AB$20,1)),)</f>
        <v>0</v>
      </c>
      <c r="AL847" s="59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 ht="15.75" hidden="1" customHeight="1">
      <c r="A848" s="59"/>
      <c r="B848" s="216" t="str">
        <f t="shared" ref="B848:F848" si="1704">IF(B792="","",B792)</f>
        <v>Средняя</v>
      </c>
      <c r="C848" s="78" t="str">
        <f t="shared" si="1704"/>
        <v>ОФП</v>
      </c>
      <c r="D848" s="62" t="str">
        <f t="shared" si="1704"/>
        <v>Французский жим</v>
      </c>
      <c r="E848" s="48">
        <f t="shared" si="1704"/>
        <v>0.4</v>
      </c>
      <c r="F848" s="79" t="str">
        <f t="shared" si="1704"/>
        <v/>
      </c>
      <c r="G848" s="64" t="str">
        <f t="shared" si="1691"/>
        <v/>
      </c>
      <c r="H848" s="34"/>
      <c r="I848" s="34"/>
      <c r="J848" s="65"/>
      <c r="K848" s="64" t="str">
        <f t="shared" si="1692"/>
        <v/>
      </c>
      <c r="L848" s="34"/>
      <c r="M848" s="34"/>
      <c r="N848" s="65"/>
      <c r="O848" s="64" t="str">
        <f t="shared" si="1693"/>
        <v/>
      </c>
      <c r="P848" s="34"/>
      <c r="Q848" s="34"/>
      <c r="R848" s="65"/>
      <c r="S848" s="64" t="str">
        <f t="shared" si="1694"/>
        <v/>
      </c>
      <c r="T848" s="34"/>
      <c r="U848" s="34"/>
      <c r="V848" s="65"/>
      <c r="W848" s="64" t="str">
        <f t="shared" si="1695"/>
        <v/>
      </c>
      <c r="X848" s="34"/>
      <c r="Y848" s="34"/>
      <c r="Z848" s="65"/>
      <c r="AA848" s="64" t="str">
        <f t="shared" si="1696"/>
        <v/>
      </c>
      <c r="AB848" s="34"/>
      <c r="AC848" s="34"/>
      <c r="AD848" s="65"/>
      <c r="AE848" s="66">
        <f t="shared" si="1697"/>
        <v>0</v>
      </c>
      <c r="AF848" s="67">
        <f t="shared" si="1698"/>
        <v>0</v>
      </c>
      <c r="AG848" s="68">
        <f t="shared" si="1699"/>
        <v>0</v>
      </c>
      <c r="AH848" s="76">
        <f t="shared" si="1700"/>
        <v>58.81444638</v>
      </c>
      <c r="AI848" s="70">
        <f> ( IF(ISNUMBER(G848), VLOOKUP(G848/$AH848,F!$A1:$B101,2,1)*G848*$H848*$I848,0)+IF(ISNUMBER(K848), VLOOKUP(K848/$AH848,F!$A1:$B101,2,1)*K848*$L848*$M848,0)+IF(ISNUMBER(O848), VLOOKUP(O848/$AH848,F!$A1:$B101,2,1)*O848*$P848*$Q848,0)+IF(ISNUMBER(S848), VLOOKUP(S848/$AH848,F!$A1:$B101,2,1)*S848*$T848*$U848,0)+IF(ISNUMBER(W848), VLOOKUP(W848/$AH848,F!$A1:$B101,2,1)*W848*$X848*$Y848,0)+IF(ISNUMBER(AA848), VLOOKUP(AA848/$AH848,F!$A1:$B101,2,1)*AA848*$AB848*$AC848,0))*IF(ISNUMBER(F848),F848,1)*IF(ISNUMBER(E848),E848,1)</f>
        <v>0</v>
      </c>
      <c r="AJ848" s="71">
        <f t="shared" si="1701"/>
        <v>0</v>
      </c>
      <c r="AK848" s="72">
        <f t="array" ref="AK848">IFERROR(I848*INDEX(F!$P$21:$AB$33, MATCH(G848/$AH848, F!$O$21:$O$33,1), MATCH(E848, F!$P$20:$AB$20,1)), 0 ) +IFERROR( M848*INDEX(F!$P$21:$AB$33, MATCH(K848/$AH848, F!$O$21:$O$33,1), MATCH(E848, F!$P$20:$AB$20,1)),0) +  IFERROR( Q848*INDEX(F!$P$21:$AB$33, MATCH(O848/$AH848, F!$O$21:$O$33,1), MATCH(E848, F!$P$20:$AB$20,1)), 0) + IFERROR( U848*INDEX(F!$P$21:$AB$33, MATCH(S848/$AH848, F!$O$21:$O$33,1), MATCH(E848, F!$P$20:$AB$20,1)),0)  + IFERROR(Y848*INDEX(F!$P$21:$AB$33, MATCH(W848/$AH848, F!$O$21:$O$33,1), MATCH(E848, F!$P$20:$AB$20,1)),0)  + IFERROR( AC848*INDEX(F!$P$21:$AB$33, MATCH(AA848/$AH848, F!$O$21:$O$33,1), MATCH(E848, F!$P$20:$AB$20,1)),)</f>
        <v>0</v>
      </c>
      <c r="AL848" s="59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 ht="15.75" hidden="1" customHeight="1">
      <c r="A849" s="59"/>
      <c r="B849" s="45" t="str">
        <f t="shared" ref="B849:F849" si="1705">IF(B793="","",B793)</f>
        <v/>
      </c>
      <c r="C849" s="46" t="str">
        <f t="shared" si="1705"/>
        <v/>
      </c>
      <c r="D849" s="197" t="str">
        <f t="shared" si="1705"/>
        <v/>
      </c>
      <c r="E849" s="48" t="str">
        <f t="shared" si="1705"/>
        <v/>
      </c>
      <c r="F849" s="83" t="str">
        <f t="shared" si="1705"/>
        <v/>
      </c>
      <c r="G849" s="50" t="str">
        <f t="shared" si="1691"/>
        <v/>
      </c>
      <c r="H849" s="51"/>
      <c r="I849" s="51"/>
      <c r="J849" s="52"/>
      <c r="K849" s="50" t="str">
        <f t="shared" si="1692"/>
        <v/>
      </c>
      <c r="L849" s="51"/>
      <c r="M849" s="51"/>
      <c r="N849" s="52"/>
      <c r="O849" s="50" t="str">
        <f t="shared" si="1693"/>
        <v/>
      </c>
      <c r="P849" s="51"/>
      <c r="Q849" s="51"/>
      <c r="R849" s="52"/>
      <c r="S849" s="50" t="str">
        <f t="shared" si="1694"/>
        <v/>
      </c>
      <c r="T849" s="51"/>
      <c r="U849" s="51"/>
      <c r="V849" s="52"/>
      <c r="W849" s="50" t="str">
        <f t="shared" si="1695"/>
        <v/>
      </c>
      <c r="X849" s="51"/>
      <c r="Y849" s="51"/>
      <c r="Z849" s="52"/>
      <c r="AA849" s="50" t="str">
        <f t="shared" si="1696"/>
        <v/>
      </c>
      <c r="AB849" s="51"/>
      <c r="AC849" s="51"/>
      <c r="AD849" s="52"/>
      <c r="AE849" s="53">
        <f t="shared" si="1697"/>
        <v>0</v>
      </c>
      <c r="AF849" s="54">
        <f t="shared" si="1698"/>
        <v>0</v>
      </c>
      <c r="AG849" s="75">
        <f t="shared" si="1699"/>
        <v>0</v>
      </c>
      <c r="AH849" s="76" t="str">
        <f t="shared" si="1700"/>
        <v/>
      </c>
      <c r="AI849" s="77">
        <f> ( IF(ISNUMBER(G849), VLOOKUP(G849/$AH849,F!$A1:$B101,2,1)*G849*$H849*$I849,0)+IF(ISNUMBER(K849), VLOOKUP(K849/$AH849,F!$A1:$B101,2,1)*K849*$L849*$M849,0)+IF(ISNUMBER(O849), VLOOKUP(O849/$AH849,F!$A1:$B101,2,1)*O849*$P849*$Q849,0)+IF(ISNUMBER(S849), VLOOKUP(S849/$AH849,F!$A1:$B101,2,1)*S849*$T849*$U849,0)+IF(ISNUMBER(W849), VLOOKUP(W849/$AH849,F!$A1:$B101,2,1)*W849*$X849*$Y849,0)+IF(ISNUMBER(AA849), VLOOKUP(AA849/$AH849,F!$A1:$B101,2,1)*AA849*$AB849*$AC849,0))*IF(ISNUMBER(F849),F849,1)*IF(ISNUMBER(E849),E849,1)</f>
        <v>0</v>
      </c>
      <c r="AJ849" s="86">
        <f t="shared" si="1701"/>
        <v>0</v>
      </c>
      <c r="AK849" s="58">
        <f t="array" ref="AK849">IFERROR(I849*INDEX(F!$P$21:$AB$33, MATCH(G849/$AH849, F!$O$21:$O$33,1), MATCH(E849, F!$P$20:$AB$20,1)), 0 ) +IFERROR( M849*INDEX(F!$P$21:$AB$33, MATCH(K849/$AH849, F!$O$21:$O$33,1), MATCH(E849, F!$P$20:$AB$20,1)),0) +  IFERROR( Q849*INDEX(F!$P$21:$AB$33, MATCH(O849/$AH849, F!$O$21:$O$33,1), MATCH(E849, F!$P$20:$AB$20,1)), 0) + IFERROR( U849*INDEX(F!$P$21:$AB$33, MATCH(S849/$AH849, F!$O$21:$O$33,1), MATCH(E849, F!$P$20:$AB$20,1)),0)  + IFERROR(Y849*INDEX(F!$P$21:$AB$33, MATCH(W849/$AH849, F!$O$21:$O$33,1), MATCH(E849, F!$P$20:$AB$20,1)),0)  + IFERROR( AC849*INDEX(F!$P$21:$AB$33, MATCH(AA849/$AH849, F!$O$21:$O$33,1), MATCH(E849, F!$P$20:$AB$20,1)),)</f>
        <v>0</v>
      </c>
      <c r="AL849" s="59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 ht="15.0" hidden="1" customHeight="1">
      <c r="A850" s="59"/>
      <c r="B850" s="60" t="str">
        <f t="shared" ref="B850:F850" si="1706">IF(B794="","",B794)</f>
        <v/>
      </c>
      <c r="C850" s="61" t="str">
        <f t="shared" si="1706"/>
        <v/>
      </c>
      <c r="D850" s="198" t="str">
        <f t="shared" si="1706"/>
        <v/>
      </c>
      <c r="E850" s="48" t="str">
        <f t="shared" si="1706"/>
        <v/>
      </c>
      <c r="F850" s="79" t="str">
        <f t="shared" si="1706"/>
        <v/>
      </c>
      <c r="G850" s="64" t="str">
        <f t="shared" si="1691"/>
        <v/>
      </c>
      <c r="H850" s="34"/>
      <c r="I850" s="34"/>
      <c r="J850" s="65"/>
      <c r="K850" s="64" t="str">
        <f t="shared" si="1692"/>
        <v/>
      </c>
      <c r="L850" s="34"/>
      <c r="M850" s="34"/>
      <c r="N850" s="65"/>
      <c r="O850" s="64" t="str">
        <f t="shared" si="1693"/>
        <v/>
      </c>
      <c r="P850" s="34"/>
      <c r="Q850" s="34"/>
      <c r="R850" s="65"/>
      <c r="S850" s="64" t="str">
        <f t="shared" si="1694"/>
        <v/>
      </c>
      <c r="T850" s="34"/>
      <c r="U850" s="34"/>
      <c r="V850" s="65"/>
      <c r="W850" s="64" t="str">
        <f t="shared" si="1695"/>
        <v/>
      </c>
      <c r="X850" s="34"/>
      <c r="Y850" s="34"/>
      <c r="Z850" s="65"/>
      <c r="AA850" s="64" t="str">
        <f t="shared" si="1696"/>
        <v/>
      </c>
      <c r="AB850" s="34"/>
      <c r="AC850" s="34"/>
      <c r="AD850" s="65"/>
      <c r="AE850" s="66">
        <f t="shared" si="1697"/>
        <v>0</v>
      </c>
      <c r="AF850" s="67">
        <f t="shared" si="1698"/>
        <v>0</v>
      </c>
      <c r="AG850" s="68">
        <f t="shared" si="1699"/>
        <v>0</v>
      </c>
      <c r="AH850" s="76" t="str">
        <f t="shared" si="1700"/>
        <v/>
      </c>
      <c r="AI850" s="90">
        <f> ( IF(ISNUMBER(G850), VLOOKUP(G850/$AH850,F!$A1:$B101,2,1)*G850*$H850*$I850,0)+IF(ISNUMBER(K850), VLOOKUP(K850/$AH850,F!$A1:$B101,2,1)*K850*$L850*$M850,0)+IF(ISNUMBER(O850), VLOOKUP(O850/$AH850,F!$A1:$B101,2,1)*O850*$P850*$Q850,0)+IF(ISNUMBER(S850), VLOOKUP(S850/$AH850,F!$A1:$B101,2,1)*S850*$T850*$U850,0)+IF(ISNUMBER(W850), VLOOKUP(W850/$AH850,F!$A1:$B101,2,1)*W850*$X850*$Y850,0)+IF(ISNUMBER(AA850), VLOOKUP(AA850/$AH850,F!$A1:$B101,2,1)*AA850*$AB850*$AC850,0))*IF(ISNUMBER(F850),F850,1)*IF(ISNUMBER(E850),E850,1)</f>
        <v>0</v>
      </c>
      <c r="AJ850" s="34">
        <f t="shared" si="1701"/>
        <v>0</v>
      </c>
      <c r="AK850" s="91">
        <f t="array" ref="AK850">IFERROR(I850*INDEX(F!$P$21:$AB$33, MATCH(G850/$AH850, F!$O$21:$O$33,1), MATCH(E850, F!$P$20:$AB$20,1)), 0 ) +IFERROR( M850*INDEX(F!$P$21:$AB$33, MATCH(K850/$AH850, F!$O$21:$O$33,1), MATCH(E850, F!$P$20:$AB$20,1)),0) +  IFERROR( Q850*INDEX(F!$P$21:$AB$33, MATCH(O850/$AH850, F!$O$21:$O$33,1), MATCH(E850, F!$P$20:$AB$20,1)), 0) + IFERROR( U850*INDEX(F!$P$21:$AB$33, MATCH(S850/$AH850, F!$O$21:$O$33,1), MATCH(E850, F!$P$20:$AB$20,1)),0)  + IFERROR(Y850*INDEX(F!$P$21:$AB$33, MATCH(W850/$AH850, F!$O$21:$O$33,1), MATCH(E850, F!$P$20:$AB$20,1)),0)  + IFERROR( AC850*INDEX(F!$P$21:$AB$33, MATCH(AA850/$AH850, F!$O$21:$O$33,1), MATCH(E850, F!$P$20:$AB$20,1)),)</f>
        <v>0</v>
      </c>
      <c r="AL850" s="59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 ht="15.0" hidden="1" customHeight="1">
      <c r="A851" s="59"/>
      <c r="B851" s="45" t="str">
        <f t="shared" ref="B851:F851" si="1707">IF(B795="","",B795)</f>
        <v/>
      </c>
      <c r="C851" s="46" t="str">
        <f t="shared" si="1707"/>
        <v/>
      </c>
      <c r="D851" s="92" t="str">
        <f t="shared" si="1707"/>
        <v/>
      </c>
      <c r="E851" s="48" t="str">
        <f t="shared" si="1707"/>
        <v/>
      </c>
      <c r="F851" s="74" t="str">
        <f t="shared" si="1707"/>
        <v/>
      </c>
      <c r="G851" s="50" t="str">
        <f t="shared" si="1691"/>
        <v/>
      </c>
      <c r="H851" s="51"/>
      <c r="I851" s="51"/>
      <c r="J851" s="52"/>
      <c r="K851" s="50" t="str">
        <f t="shared" si="1692"/>
        <v/>
      </c>
      <c r="L851" s="51"/>
      <c r="M851" s="51"/>
      <c r="N851" s="52"/>
      <c r="O851" s="50" t="str">
        <f t="shared" si="1693"/>
        <v/>
      </c>
      <c r="P851" s="51"/>
      <c r="Q851" s="51"/>
      <c r="R851" s="52"/>
      <c r="S851" s="50" t="str">
        <f t="shared" si="1694"/>
        <v/>
      </c>
      <c r="T851" s="51"/>
      <c r="U851" s="51"/>
      <c r="V851" s="52"/>
      <c r="W851" s="50" t="str">
        <f t="shared" si="1695"/>
        <v/>
      </c>
      <c r="X851" s="51"/>
      <c r="Y851" s="51"/>
      <c r="Z851" s="52"/>
      <c r="AA851" s="50" t="str">
        <f t="shared" si="1696"/>
        <v/>
      </c>
      <c r="AB851" s="51"/>
      <c r="AC851" s="51"/>
      <c r="AD851" s="52"/>
      <c r="AE851" s="53">
        <f t="shared" si="1697"/>
        <v>0</v>
      </c>
      <c r="AF851" s="93">
        <f t="shared" si="1698"/>
        <v>0</v>
      </c>
      <c r="AG851" s="94">
        <f t="shared" si="1699"/>
        <v>0</v>
      </c>
      <c r="AH851" s="76" t="str">
        <f t="shared" si="1700"/>
        <v/>
      </c>
      <c r="AI851" s="95">
        <f> ( IF(ISNUMBER(G851), VLOOKUP(G851/$AH851,F!$A1:$B101,2,1)*G851*$H851*$I851,0)+IF(ISNUMBER(K851), VLOOKUP(K851/$AH851,F!$A1:$B101,2,1)*K851*$L851*$M851,0)+IF(ISNUMBER(O851), VLOOKUP(O851/$AH851,F!$A1:$B101,2,1)*O851*$P851*$Q851,0)+IF(ISNUMBER(S851), VLOOKUP(S851/$AH851,F!$A1:$B101,2,1)*S851*$T851*$U851,0)+IF(ISNUMBER(W851), VLOOKUP(W851/$AH851,F!$A1:$B101,2,1)*W851*$X851*$Y851,0)+IF(ISNUMBER(AA851), VLOOKUP(AA851/$AH851,F!$A1:$B101,2,1)*AA851*$AB851*$AC851,0))*IF(ISNUMBER(F851),F851,1)*IF(ISNUMBER(E851),E851,1)</f>
        <v>0</v>
      </c>
      <c r="AJ851" s="96">
        <f t="shared" si="1701"/>
        <v>0</v>
      </c>
      <c r="AK851" s="97">
        <f t="array" ref="AK851">IFERROR(I851*INDEX(F!$P$21:$AB$33, MATCH(G851/$AH851, F!$O$21:$O$33,1), MATCH(E851, F!$P$20:$AB$20,1)), 0 ) +IFERROR( M851*INDEX(F!$P$21:$AB$33, MATCH(K851/$AH851, F!$O$21:$O$33,1), MATCH(E851, F!$P$20:$AB$20,1)),0) +  IFERROR( Q851*INDEX(F!$P$21:$AB$33, MATCH(O851/$AH851, F!$O$21:$O$33,1), MATCH(E851, F!$P$20:$AB$20,1)), 0) + IFERROR( U851*INDEX(F!$P$21:$AB$33, MATCH(S851/$AH851, F!$O$21:$O$33,1), MATCH(E851, F!$P$20:$AB$20,1)),0)  + IFERROR(Y851*INDEX(F!$P$21:$AB$33, MATCH(W851/$AH851, F!$O$21:$O$33,1), MATCH(E851, F!$P$20:$AB$20,1)),0)  + IFERROR( AC851*INDEX(F!$P$21:$AB$33, MATCH(AA851/$AH851, F!$O$21:$O$33,1), MATCH(E851, F!$P$20:$AB$20,1)),)</f>
        <v>0</v>
      </c>
      <c r="AL851" s="59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 ht="15.75" hidden="1" customHeight="1">
      <c r="A852" s="98"/>
      <c r="B852" s="99"/>
      <c r="C852" s="100"/>
      <c r="D852" s="101"/>
      <c r="E852" s="102">
        <f>ROUND(IFERROR(SUMPRODUCT(AJ844:AJ851,E844:E851)/AJ852,0),3)</f>
        <v>0</v>
      </c>
      <c r="F852" s="199"/>
      <c r="G852" s="104"/>
      <c r="H852" s="105"/>
      <c r="I852" s="105"/>
      <c r="J852" s="106"/>
      <c r="K852" s="104"/>
      <c r="L852" s="105"/>
      <c r="M852" s="105"/>
      <c r="N852" s="106"/>
      <c r="O852" s="104"/>
      <c r="P852" s="105"/>
      <c r="Q852" s="105"/>
      <c r="R852" s="106"/>
      <c r="S852" s="104"/>
      <c r="T852" s="105"/>
      <c r="U852" s="105"/>
      <c r="V852" s="106"/>
      <c r="W852" s="104"/>
      <c r="X852" s="105"/>
      <c r="Y852" s="105"/>
      <c r="Z852" s="106"/>
      <c r="AA852" s="104"/>
      <c r="AB852" s="105"/>
      <c r="AC852" s="105"/>
      <c r="AD852" s="106"/>
      <c r="AE852" s="107">
        <f>SUM(AE844:AE851)</f>
        <v>0</v>
      </c>
      <c r="AF852" s="108">
        <f t="shared" si="1698"/>
        <v>0</v>
      </c>
      <c r="AG852" s="109">
        <f>IFERROR(  SUMPRODUCT(AG844:AG851,AJ844:AJ851)/AJ852,0)</f>
        <v>0</v>
      </c>
      <c r="AH852" s="157"/>
      <c r="AI852" s="111">
        <f t="shared" ref="AI852:AJ852" si="1708">SUM(AI844:AI851)</f>
        <v>0</v>
      </c>
      <c r="AJ852" s="111">
        <f t="shared" si="1708"/>
        <v>0</v>
      </c>
      <c r="AK852" s="112">
        <f>IF(SUM(AK844:AK851)=0,TIME(,0,),TIME(,SUM(AK844:AK851)+F!$V$37,))</f>
        <v>0</v>
      </c>
      <c r="AL852" s="98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 ht="15.75" hidden="1" customHeight="1">
      <c r="A853" s="113">
        <f>A854</f>
        <v>43887</v>
      </c>
      <c r="B853" s="114" t="str">
        <f t="shared" ref="B853:F853" si="1709">IF(B797="","",B797)</f>
        <v>Тяжелая</v>
      </c>
      <c r="C853" s="115" t="str">
        <f t="shared" si="1709"/>
        <v>ТГ</v>
      </c>
      <c r="D853" s="116" t="str">
        <f t="shared" si="1709"/>
        <v>Становая тяга</v>
      </c>
      <c r="E853" s="29">
        <f t="shared" si="1709"/>
        <v>1.4</v>
      </c>
      <c r="F853" s="117" t="str">
        <f t="shared" si="1709"/>
        <v/>
      </c>
      <c r="G853" s="118" t="str">
        <f t="shared" ref="G853:G860" si="1711">IF(J853&lt;&gt;0, IFERROR(IF( $F853=2,  MROUND($AH853*J853,1),    IF( OR($F853="",$F853=1),   MROUND($AH853*J853,2.5),  MROUND($AH853*J853, 0.1))), "" ), "")</f>
        <v/>
      </c>
      <c r="H853" s="119"/>
      <c r="I853" s="119"/>
      <c r="J853" s="120"/>
      <c r="K853" s="118" t="str">
        <f t="shared" ref="K853:K860" si="1712">IF(N853&lt;&gt;0, IFERROR(IF( $F853=2,  MROUND($AH853*N853,1),    IF( OR($F853="",$F853=1),   MROUND($AH853*N853,2.5),  MROUND($AH853*N853, 0.1))), "" ), "")</f>
        <v/>
      </c>
      <c r="L853" s="119"/>
      <c r="M853" s="119"/>
      <c r="N853" s="120"/>
      <c r="O853" s="118" t="str">
        <f t="shared" ref="O853:O860" si="1713">IF(R853&lt;&gt;0, IFERROR(IF( $F853=2,  MROUND($AH853*R853,1),    IF( OR($F853="",$F853=1),   MROUND($AH853*R853,2.5),  MROUND($AH853*R853, 0.1))), "" ), "")</f>
        <v/>
      </c>
      <c r="P853" s="119"/>
      <c r="Q853" s="119"/>
      <c r="R853" s="120"/>
      <c r="S853" s="118" t="str">
        <f t="shared" ref="S853:S860" si="1714">IF(V853&lt;&gt;0, IFERROR(IF( $F853=2,  MROUND($AH853*V853,1),    IF( OR($F853="",$F853=1),   MROUND($AH853*V853,2.5),  MROUND($AH853*V853, 0.1))), "" ), "")</f>
        <v/>
      </c>
      <c r="T853" s="119"/>
      <c r="U853" s="119"/>
      <c r="V853" s="120"/>
      <c r="W853" s="118" t="str">
        <f t="shared" ref="W853:W860" si="1715">IF(Z853&lt;&gt;0, IFERROR(IF( $F853=2,  MROUND($AH853*Z853,1),    IF( OR($F853="",$F853=1),   MROUND($AH853*Z853,2.5),  MROUND($AH853*Z853, 0.1))), "" ), "")</f>
        <v/>
      </c>
      <c r="X853" s="119"/>
      <c r="Y853" s="119"/>
      <c r="Z853" s="120"/>
      <c r="AA853" s="118" t="str">
        <f t="shared" ref="AA853:AA860" si="1716">IF(AD853&lt;&gt;0, IFERROR(IF( $F853=2,  MROUND($AH853*AD853,1),    IF( OR($F853="",$F853=1),   MROUND($AH853*AD853,2.5),  MROUND($AH853*AD853, 0.1))), "" ), "")</f>
        <v/>
      </c>
      <c r="AB853" s="119"/>
      <c r="AC853" s="119"/>
      <c r="AD853" s="120"/>
      <c r="AE853" s="121">
        <f t="shared" ref="AE853:AE860" si="1717">(IF(ISNUMBER(G853),G853,0)*H853*I853+IF(ISNUMBER(K853),K853,1)*L853*M853+IF(ISNUMBER(O853),O853,1)*P853*Q853+IF(ISNUMBER(S853),S853,1)*T853*U853+IF(ISNUMBER(W853),W853,1)*X853*Y853+IF(ISNUMBER(AA853),AA853,1)*AB853*AC853)*IF(ISNUMBER(F853),F853,1)</f>
        <v>0</v>
      </c>
      <c r="AF853" s="122">
        <f t="shared" si="1698"/>
        <v>0</v>
      </c>
      <c r="AG853" s="200">
        <f t="shared" ref="AG853:AG860" si="1718">IFERROR((AF853/(AH853*IF(ISNUMBER(F853),F853,1))),0)</f>
        <v>0</v>
      </c>
      <c r="AH853" s="169">
        <f t="shared" ref="AH853:AH860" si="1719">IF(ISNUMBER(AH797), AH797+(AH797*$AH$842),"")</f>
        <v>248.9856426</v>
      </c>
      <c r="AI853" s="122">
        <f> ( IF(ISNUMBER(G853), VLOOKUP(G853/$AH853,F!$A1:$B101,2,1)*G853*$H853*$I853,0)+IF(ISNUMBER(K853), VLOOKUP(K853/$AH853,F!$A1:$B101,2,1)*K853*$L853*$M853,0)+IF(ISNUMBER(O853), VLOOKUP(O853/$AH853,F!$A1:$B101,2,1)*O853*$P853*$Q853,0)+IF(ISNUMBER(S853), VLOOKUP(S853/$AH853,F!$A1:$B101,2,1)*S853*$T853*$U853,0)+IF(ISNUMBER(W853), VLOOKUP(W853/$AH853,F!$A1:$B101,2,1)*W853*$X853*$Y853,0)+IF(ISNUMBER(AA853), VLOOKUP(AA853/$AH853,F!$A1:$B101,2,1)*AA853*$AB853*$AC853,0))*IF(ISNUMBER(F853),F853,1)*IF(ISNUMBER(E853),E853,1)</f>
        <v>0</v>
      </c>
      <c r="AJ853" s="119">
        <f t="shared" ref="AJ853:AJ860" si="1720">H853*I853+L853*M853+P853*Q853+T853*U853+X853*Y853+AB853*AC853</f>
        <v>0</v>
      </c>
      <c r="AK853" s="125">
        <f t="array" ref="AK853">IFERROR(I853*INDEX(F!$P$21:$AB$33, MATCH(G853/$AH853, F!$O$21:$O$33,1), MATCH(E853, F!$P$20:$AB$20,1)), 0 ) +IFERROR( M853*INDEX(F!$P$21:$AB$33, MATCH(K853/$AH853, F!$O$21:$O$33,1), MATCH(E853, F!$P$20:$AB$20,1)),0) +  IFERROR( Q853*INDEX(F!$P$21:$AB$33, MATCH(O853/$AH853, F!$O$21:$O$33,1), MATCH(E853, F!$P$20:$AB$20,1)), 0) + IFERROR( U853*INDEX(F!$P$21:$AB$33, MATCH(S853/$AH853, F!$O$21:$O$33,1), MATCH(E853, F!$P$20:$AB$20,1)),0)  + IFERROR(Y853*INDEX(F!$P$21:$AB$33, MATCH(W853/$AH853, F!$O$21:$O$33,1), MATCH(E853, F!$P$20:$AB$20,1)),0)  + IFERROR( AC853*INDEX(F!$P$21:$AB$33, MATCH(AA853/$AH853, F!$O$21:$O$33,1), MATCH(E853, F!$P$20:$AB$20,1)),)</f>
        <v>0</v>
      </c>
      <c r="AL853" s="42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 ht="15.75" hidden="1" customHeight="1">
      <c r="A854" s="44">
        <f>A798+A786</f>
        <v>43887</v>
      </c>
      <c r="B854" s="126" t="str">
        <f t="shared" ref="B854:F854" si="1710">IF(B798="","",B798)</f>
        <v>Средняя</v>
      </c>
      <c r="C854" s="127" t="str">
        <f t="shared" si="1710"/>
        <v>ЖМ</v>
      </c>
      <c r="D854" s="128" t="str">
        <f t="shared" si="1710"/>
        <v>Жим лежа</v>
      </c>
      <c r="E854" s="48">
        <f t="shared" si="1710"/>
        <v>1</v>
      </c>
      <c r="F854" s="129" t="str">
        <f t="shared" si="1710"/>
        <v/>
      </c>
      <c r="G854" s="130" t="str">
        <f t="shared" si="1711"/>
        <v/>
      </c>
      <c r="H854" s="34"/>
      <c r="I854" s="34"/>
      <c r="J854" s="65"/>
      <c r="K854" s="130" t="str">
        <f t="shared" si="1712"/>
        <v/>
      </c>
      <c r="L854" s="34"/>
      <c r="M854" s="34"/>
      <c r="N854" s="65"/>
      <c r="O854" s="130" t="str">
        <f t="shared" si="1713"/>
        <v/>
      </c>
      <c r="P854" s="34"/>
      <c r="Q854" s="34"/>
      <c r="R854" s="65"/>
      <c r="S854" s="130" t="str">
        <f t="shared" si="1714"/>
        <v/>
      </c>
      <c r="T854" s="34"/>
      <c r="U854" s="34"/>
      <c r="V854" s="65"/>
      <c r="W854" s="130" t="str">
        <f t="shared" si="1715"/>
        <v/>
      </c>
      <c r="X854" s="34"/>
      <c r="Y854" s="34"/>
      <c r="Z854" s="65"/>
      <c r="AA854" s="130" t="str">
        <f t="shared" si="1716"/>
        <v/>
      </c>
      <c r="AB854" s="34"/>
      <c r="AC854" s="34"/>
      <c r="AD854" s="65"/>
      <c r="AE854" s="131">
        <f t="shared" si="1717"/>
        <v>0</v>
      </c>
      <c r="AF854" s="132">
        <f t="shared" si="1698"/>
        <v>0</v>
      </c>
      <c r="AG854" s="133">
        <f t="shared" si="1718"/>
        <v>0</v>
      </c>
      <c r="AH854" s="76">
        <f t="shared" si="1719"/>
        <v>127.8574921</v>
      </c>
      <c r="AI854" s="132">
        <f> ( IF(ISNUMBER(G854), VLOOKUP(G854/$AH854,F!$A1:$B101,2,1)*G854*$H854*$I854,0)+IF(ISNUMBER(K854), VLOOKUP(K854/$AH854,F!$A1:$B101,2,1)*K854*$L854*$M854,0)+IF(ISNUMBER(O854), VLOOKUP(O854/$AH854,F!$A1:$B101,2,1)*O854*$P854*$Q854,0)+IF(ISNUMBER(S854), VLOOKUP(S854/$AH854,F!$A1:$B101,2,1)*S854*$T854*$U854,0)+IF(ISNUMBER(W854), VLOOKUP(W854/$AH854,F!$A1:$B101,2,1)*W854*$X854*$Y854,0)+IF(ISNUMBER(AA854), VLOOKUP(AA854/$AH854,F!$A1:$B101,2,1)*AA854*$AB854*$AC854,0))*IF(ISNUMBER(F854),F854,1)*IF(ISNUMBER(E854),E854,1)</f>
        <v>0</v>
      </c>
      <c r="AJ854" s="34">
        <f t="shared" si="1720"/>
        <v>0</v>
      </c>
      <c r="AK854" s="134">
        <f t="array" ref="AK854">IFERROR(I854*INDEX(F!$P$21:$AB$33, MATCH(G854/$AH854, F!$O$21:$O$33,1), MATCH(E854, F!$P$20:$AB$20,1)), 0 ) +IFERROR( M854*INDEX(F!$P$21:$AB$33, MATCH(K854/$AH854, F!$O$21:$O$33,1), MATCH(E854, F!$P$20:$AB$20,1)),0) +  IFERROR( Q854*INDEX(F!$P$21:$AB$33, MATCH(O854/$AH854, F!$O$21:$O$33,1), MATCH(E854, F!$P$20:$AB$20,1)), 0) + IFERROR( U854*INDEX(F!$P$21:$AB$33, MATCH(S854/$AH854, F!$O$21:$O$33,1), MATCH(E854, F!$P$20:$AB$20,1)),0)  + IFERROR(Y854*INDEX(F!$P$21:$AB$33, MATCH(W854/$AH854, F!$O$21:$O$33,1), MATCH(E854, F!$P$20:$AB$20,1)),0)  + IFERROR( AC854*INDEX(F!$P$21:$AB$33, MATCH(AA854/$AH854, F!$O$21:$O$33,1), MATCH(E854, F!$P$20:$AB$20,1)),)</f>
        <v>0</v>
      </c>
      <c r="AL854" s="59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 ht="15.75" hidden="1" customHeight="1">
      <c r="A855" s="59"/>
      <c r="B855" s="135" t="str">
        <f t="shared" ref="B855:F855" si="1721">IF(B799="","",B799)</f>
        <v>Легкая</v>
      </c>
      <c r="C855" s="136" t="str">
        <f t="shared" si="1721"/>
        <v>ОФП</v>
      </c>
      <c r="D855" s="137" t="str">
        <f t="shared" si="1721"/>
        <v>Наклоны со штангой</v>
      </c>
      <c r="E855" s="48">
        <f t="shared" si="1721"/>
        <v>0.8</v>
      </c>
      <c r="F855" s="138" t="str">
        <f t="shared" si="1721"/>
        <v/>
      </c>
      <c r="G855" s="139" t="str">
        <f t="shared" si="1711"/>
        <v/>
      </c>
      <c r="H855" s="140"/>
      <c r="I855" s="140"/>
      <c r="J855" s="141"/>
      <c r="K855" s="139" t="str">
        <f t="shared" si="1712"/>
        <v/>
      </c>
      <c r="L855" s="140"/>
      <c r="M855" s="140"/>
      <c r="N855" s="141"/>
      <c r="O855" s="139" t="str">
        <f t="shared" si="1713"/>
        <v/>
      </c>
      <c r="P855" s="140"/>
      <c r="Q855" s="140"/>
      <c r="R855" s="141"/>
      <c r="S855" s="139" t="str">
        <f t="shared" si="1714"/>
        <v/>
      </c>
      <c r="T855" s="140"/>
      <c r="U855" s="140"/>
      <c r="V855" s="141"/>
      <c r="W855" s="139" t="str">
        <f t="shared" si="1715"/>
        <v/>
      </c>
      <c r="X855" s="140"/>
      <c r="Y855" s="140"/>
      <c r="Z855" s="141"/>
      <c r="AA855" s="139" t="str">
        <f t="shared" si="1716"/>
        <v/>
      </c>
      <c r="AB855" s="140"/>
      <c r="AC855" s="140"/>
      <c r="AD855" s="141"/>
      <c r="AE855" s="142">
        <f t="shared" si="1717"/>
        <v>0</v>
      </c>
      <c r="AF855" s="143">
        <f t="shared" si="1698"/>
        <v>0</v>
      </c>
      <c r="AG855" s="144">
        <f t="shared" si="1718"/>
        <v>0</v>
      </c>
      <c r="AH855" s="76">
        <f t="shared" si="1719"/>
        <v>136.9421034</v>
      </c>
      <c r="AI855" s="143">
        <f> ( IF(ISNUMBER(G855), VLOOKUP(G855/$AH855,F!$A1:$B101,2,1)*G855*$H855*$I855,0)+IF(ISNUMBER(K855), VLOOKUP(K855/$AH855,F!$A1:$B101,2,1)*K855*$L855*$M855,0)+IF(ISNUMBER(O855), VLOOKUP(O855/$AH855,F!$A1:$B101,2,1)*O855*$P855*$Q855,0)+IF(ISNUMBER(S855), VLOOKUP(S855/$AH855,F!$A1:$B101,2,1)*S855*$T855*$U855,0)+IF(ISNUMBER(W855), VLOOKUP(W855/$AH855,F!$A1:$B101,2,1)*W855*$X855*$Y855,0)+IF(ISNUMBER(AA855), VLOOKUP(AA855/$AH855,F!$A1:$B101,2,1)*AA855*$AB855*$AC855,0))*IF(ISNUMBER(F855),F855,1)*IF(ISNUMBER(E855),E855,1)</f>
        <v>0</v>
      </c>
      <c r="AJ855" s="140">
        <f t="shared" si="1720"/>
        <v>0</v>
      </c>
      <c r="AK855" s="145">
        <f t="array" ref="AK855">IFERROR(I855*INDEX(F!$P$21:$AB$33, MATCH(G855/$AH855, F!$O$21:$O$33,1), MATCH(E855, F!$P$20:$AB$20,1)), 0 ) +IFERROR( M855*INDEX(F!$P$21:$AB$33, MATCH(K855/$AH855, F!$O$21:$O$33,1), MATCH(E855, F!$P$20:$AB$20,1)),0) +  IFERROR( Q855*INDEX(F!$P$21:$AB$33, MATCH(O855/$AH855, F!$O$21:$O$33,1), MATCH(E855, F!$P$20:$AB$20,1)), 0) + IFERROR( U855*INDEX(F!$P$21:$AB$33, MATCH(S855/$AH855, F!$O$21:$O$33,1), MATCH(E855, F!$P$20:$AB$20,1)),0)  + IFERROR(Y855*INDEX(F!$P$21:$AB$33, MATCH(W855/$AH855, F!$O$21:$O$33,1), MATCH(E855, F!$P$20:$AB$20,1)),0)  + IFERROR( AC855*INDEX(F!$P$21:$AB$33, MATCH(AA855/$AH855, F!$O$21:$O$33,1), MATCH(E855, F!$P$20:$AB$20,1)),)</f>
        <v>0</v>
      </c>
      <c r="AL855" s="59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 ht="15.75" hidden="1" customHeight="1">
      <c r="A856" s="59"/>
      <c r="B856" s="126" t="str">
        <f t="shared" ref="B856:F856" si="1722">IF(B800="","",B800)</f>
        <v>Средняя</v>
      </c>
      <c r="C856" s="127" t="str">
        <f t="shared" si="1722"/>
        <v>ОФП</v>
      </c>
      <c r="D856" s="128" t="str">
        <f t="shared" si="1722"/>
        <v>Жим стоя</v>
      </c>
      <c r="E856" s="48">
        <f t="shared" si="1722"/>
        <v>1</v>
      </c>
      <c r="F856" s="129" t="str">
        <f t="shared" si="1722"/>
        <v/>
      </c>
      <c r="G856" s="130" t="str">
        <f t="shared" si="1711"/>
        <v/>
      </c>
      <c r="H856" s="34"/>
      <c r="I856" s="34"/>
      <c r="J856" s="65"/>
      <c r="K856" s="130" t="str">
        <f t="shared" si="1712"/>
        <v/>
      </c>
      <c r="L856" s="34"/>
      <c r="M856" s="34"/>
      <c r="N856" s="65"/>
      <c r="O856" s="130" t="str">
        <f t="shared" si="1713"/>
        <v/>
      </c>
      <c r="P856" s="34"/>
      <c r="Q856" s="34"/>
      <c r="R856" s="65"/>
      <c r="S856" s="130" t="str">
        <f t="shared" si="1714"/>
        <v/>
      </c>
      <c r="T856" s="34"/>
      <c r="U856" s="34"/>
      <c r="V856" s="65"/>
      <c r="W856" s="130" t="str">
        <f t="shared" si="1715"/>
        <v/>
      </c>
      <c r="X856" s="34"/>
      <c r="Y856" s="34"/>
      <c r="Z856" s="65"/>
      <c r="AA856" s="130" t="str">
        <f t="shared" si="1716"/>
        <v/>
      </c>
      <c r="AB856" s="34"/>
      <c r="AC856" s="34"/>
      <c r="AD856" s="65"/>
      <c r="AE856" s="131">
        <f t="shared" si="1717"/>
        <v>0</v>
      </c>
      <c r="AF856" s="132">
        <f t="shared" si="1698"/>
        <v>0</v>
      </c>
      <c r="AG856" s="133">
        <f t="shared" si="1718"/>
        <v>0</v>
      </c>
      <c r="AH856" s="76">
        <f t="shared" si="1719"/>
        <v>76.71449528</v>
      </c>
      <c r="AI856" s="132">
        <f> ( IF(ISNUMBER(G856), VLOOKUP(G856/$AH856,F!$A1:$B101,2,1)*G856*$H856*$I856,0)+IF(ISNUMBER(K856), VLOOKUP(K856/$AH856,F!$A1:$B101,2,1)*K856*$L856*$M856,0)+IF(ISNUMBER(O856), VLOOKUP(O856/$AH856,F!$A1:$B101,2,1)*O856*$P856*$Q856,0)+IF(ISNUMBER(S856), VLOOKUP(S856/$AH856,F!$A1:$B101,2,1)*S856*$T856*$U856,0)+IF(ISNUMBER(W856), VLOOKUP(W856/$AH856,F!$A1:$B101,2,1)*W856*$X856*$Y856,0)+IF(ISNUMBER(AA856), VLOOKUP(AA856/$AH856,F!$A1:$B101,2,1)*AA856*$AB856*$AC856,0))*IF(ISNUMBER(F856),F856,1)*IF(ISNUMBER(E856),E856,1)</f>
        <v>0</v>
      </c>
      <c r="AJ856" s="34">
        <f t="shared" si="1720"/>
        <v>0</v>
      </c>
      <c r="AK856" s="134">
        <f t="array" ref="AK856">IFERROR(I856*INDEX(F!$P$21:$AB$33, MATCH(G856/$AH856, F!$O$21:$O$33,1), MATCH(E856, F!$P$20:$AB$20,1)), 0 ) +IFERROR( M856*INDEX(F!$P$21:$AB$33, MATCH(K856/$AH856, F!$O$21:$O$33,1), MATCH(E856, F!$P$20:$AB$20,1)),0) +  IFERROR( Q856*INDEX(F!$P$21:$AB$33, MATCH(O856/$AH856, F!$O$21:$O$33,1), MATCH(E856, F!$P$20:$AB$20,1)), 0) + IFERROR( U856*INDEX(F!$P$21:$AB$33, MATCH(S856/$AH856, F!$O$21:$O$33,1), MATCH(E856, F!$P$20:$AB$20,1)),0)  + IFERROR(Y856*INDEX(F!$P$21:$AB$33, MATCH(W856/$AH856, F!$O$21:$O$33,1), MATCH(E856, F!$P$20:$AB$20,1)),0)  + IFERROR( AC856*INDEX(F!$P$21:$AB$33, MATCH(AA856/$AH856, F!$O$21:$O$33,1), MATCH(E856, F!$P$20:$AB$20,1)),)</f>
        <v>0</v>
      </c>
      <c r="AL856" s="59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 ht="15.75" hidden="1" customHeight="1">
      <c r="A857" s="59"/>
      <c r="B857" s="135" t="str">
        <f t="shared" ref="B857:F857" si="1723">IF(B801="","",B801)</f>
        <v>Средняя</v>
      </c>
      <c r="C857" s="136" t="str">
        <f t="shared" si="1723"/>
        <v>ЖМ</v>
      </c>
      <c r="D857" s="137" t="str">
        <f t="shared" si="1723"/>
        <v>Жим средним хватом</v>
      </c>
      <c r="E857" s="48">
        <f t="shared" si="1723"/>
        <v>1</v>
      </c>
      <c r="F857" s="138" t="str">
        <f t="shared" si="1723"/>
        <v/>
      </c>
      <c r="G857" s="139" t="str">
        <f t="shared" si="1711"/>
        <v/>
      </c>
      <c r="H857" s="140"/>
      <c r="I857" s="140"/>
      <c r="J857" s="141"/>
      <c r="K857" s="139" t="str">
        <f t="shared" si="1712"/>
        <v/>
      </c>
      <c r="L857" s="140"/>
      <c r="M857" s="140"/>
      <c r="N857" s="141"/>
      <c r="O857" s="139" t="str">
        <f t="shared" si="1713"/>
        <v/>
      </c>
      <c r="P857" s="140"/>
      <c r="Q857" s="140"/>
      <c r="R857" s="141"/>
      <c r="S857" s="139" t="str">
        <f t="shared" si="1714"/>
        <v/>
      </c>
      <c r="T857" s="140"/>
      <c r="U857" s="140"/>
      <c r="V857" s="141"/>
      <c r="W857" s="139" t="str">
        <f t="shared" si="1715"/>
        <v/>
      </c>
      <c r="X857" s="140"/>
      <c r="Y857" s="140"/>
      <c r="Z857" s="141"/>
      <c r="AA857" s="139" t="str">
        <f t="shared" si="1716"/>
        <v/>
      </c>
      <c r="AB857" s="140"/>
      <c r="AC857" s="140"/>
      <c r="AD857" s="141"/>
      <c r="AE857" s="142">
        <f t="shared" si="1717"/>
        <v>0</v>
      </c>
      <c r="AF857" s="143">
        <f t="shared" si="1698"/>
        <v>0</v>
      </c>
      <c r="AG857" s="144">
        <f t="shared" si="1718"/>
        <v>0</v>
      </c>
      <c r="AH857" s="76">
        <f t="shared" si="1719"/>
        <v>108.6788683</v>
      </c>
      <c r="AI857" s="143">
        <f> ( IF(ISNUMBER(G857), VLOOKUP(G857/$AH857,F!$A1:$B101,2,1)*G857*$H857*$I857,0)+IF(ISNUMBER(K857), VLOOKUP(K857/$AH857,F!$A1:$B101,2,1)*K857*$L857*$M857,0)+IF(ISNUMBER(O857), VLOOKUP(O857/$AH857,F!$A1:$B101,2,1)*O857*$P857*$Q857,0)+IF(ISNUMBER(S857), VLOOKUP(S857/$AH857,F!$A1:$B101,2,1)*S857*$T857*$U857,0)+IF(ISNUMBER(W857), VLOOKUP(W857/$AH857,F!$A1:$B101,2,1)*W857*$X857*$Y857,0)+IF(ISNUMBER(AA857), VLOOKUP(AA857/$AH857,F!$A1:$B101,2,1)*AA857*$AB857*$AC857,0))*IF(ISNUMBER(F857),F857,1)*IF(ISNUMBER(E857),E857,1)</f>
        <v>0</v>
      </c>
      <c r="AJ857" s="140">
        <f t="shared" si="1720"/>
        <v>0</v>
      </c>
      <c r="AK857" s="145">
        <f t="array" ref="AK857">IFERROR(I857*INDEX(F!$P$21:$AB$33, MATCH(G857/$AH857, F!$O$21:$O$33,1), MATCH(E857, F!$P$20:$AB$20,1)), 0 ) +IFERROR( M857*INDEX(F!$P$21:$AB$33, MATCH(K857/$AH857, F!$O$21:$O$33,1), MATCH(E857, F!$P$20:$AB$20,1)),0) +  IFERROR( Q857*INDEX(F!$P$21:$AB$33, MATCH(O857/$AH857, F!$O$21:$O$33,1), MATCH(E857, F!$P$20:$AB$20,1)), 0) + IFERROR( U857*INDEX(F!$P$21:$AB$33, MATCH(S857/$AH857, F!$O$21:$O$33,1), MATCH(E857, F!$P$20:$AB$20,1)),0)  + IFERROR(Y857*INDEX(F!$P$21:$AB$33, MATCH(W857/$AH857, F!$O$21:$O$33,1), MATCH(E857, F!$P$20:$AB$20,1)),0)  + IFERROR( AC857*INDEX(F!$P$21:$AB$33, MATCH(AA857/$AH857, F!$O$21:$O$33,1), MATCH(E857, F!$P$20:$AB$20,1)),)</f>
        <v>0</v>
      </c>
      <c r="AL857" s="59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 ht="15.75" hidden="1" customHeight="1">
      <c r="A858" s="59"/>
      <c r="B858" s="126" t="str">
        <f t="shared" ref="B858:F858" si="1724">IF(B802="","",B802)</f>
        <v/>
      </c>
      <c r="C858" s="127" t="str">
        <f t="shared" si="1724"/>
        <v/>
      </c>
      <c r="D858" s="128" t="str">
        <f t="shared" si="1724"/>
        <v/>
      </c>
      <c r="E858" s="48" t="str">
        <f t="shared" si="1724"/>
        <v/>
      </c>
      <c r="F858" s="129" t="str">
        <f t="shared" si="1724"/>
        <v/>
      </c>
      <c r="G858" s="130" t="str">
        <f t="shared" si="1711"/>
        <v/>
      </c>
      <c r="H858" s="34"/>
      <c r="I858" s="34"/>
      <c r="J858" s="65"/>
      <c r="K858" s="130" t="str">
        <f t="shared" si="1712"/>
        <v/>
      </c>
      <c r="L858" s="34"/>
      <c r="M858" s="34"/>
      <c r="N858" s="65"/>
      <c r="O858" s="130" t="str">
        <f t="shared" si="1713"/>
        <v/>
      </c>
      <c r="P858" s="34"/>
      <c r="Q858" s="34"/>
      <c r="R858" s="65"/>
      <c r="S858" s="130" t="str">
        <f t="shared" si="1714"/>
        <v/>
      </c>
      <c r="T858" s="34"/>
      <c r="U858" s="34"/>
      <c r="V858" s="65"/>
      <c r="W858" s="130" t="str">
        <f t="shared" si="1715"/>
        <v/>
      </c>
      <c r="X858" s="34"/>
      <c r="Y858" s="34"/>
      <c r="Z858" s="65"/>
      <c r="AA858" s="130" t="str">
        <f t="shared" si="1716"/>
        <v/>
      </c>
      <c r="AB858" s="34"/>
      <c r="AC858" s="34"/>
      <c r="AD858" s="65"/>
      <c r="AE858" s="131">
        <f t="shared" si="1717"/>
        <v>0</v>
      </c>
      <c r="AF858" s="132">
        <f t="shared" si="1698"/>
        <v>0</v>
      </c>
      <c r="AG858" s="133">
        <f t="shared" si="1718"/>
        <v>0</v>
      </c>
      <c r="AH858" s="76" t="str">
        <f t="shared" si="1719"/>
        <v/>
      </c>
      <c r="AI858" s="132">
        <f> ( IF(ISNUMBER(G858), VLOOKUP(G858/$AH858,F!$A1:$B101,2,1)*G858*$H858*$I858,0)+IF(ISNUMBER(K858), VLOOKUP(K858/$AH858,F!$A1:$B101,2,1)*K858*$L858*$M858,0)+IF(ISNUMBER(O858), VLOOKUP(O858/$AH858,F!$A1:$B101,2,1)*O858*$P858*$Q858,0)+IF(ISNUMBER(S858), VLOOKUP(S858/$AH858,F!$A1:$B101,2,1)*S858*$T858*$U858,0)+IF(ISNUMBER(W858), VLOOKUP(W858/$AH858,F!$A1:$B101,2,1)*W858*$X858*$Y858,0)+IF(ISNUMBER(AA858), VLOOKUP(AA858/$AH858,F!$A1:$B101,2,1)*AA858*$AB858*$AC858,0))*IF(ISNUMBER(F858),F858,1)*IF(ISNUMBER(E858),E858,1)</f>
        <v>0</v>
      </c>
      <c r="AJ858" s="34">
        <f t="shared" si="1720"/>
        <v>0</v>
      </c>
      <c r="AK858" s="134">
        <f t="array" ref="AK858">IFERROR(I858*INDEX(F!$P$21:$AB$33, MATCH(G858/$AH858, F!$O$21:$O$33,1), MATCH(E858, F!$P$20:$AB$20,1)), 0 ) +IFERROR( M858*INDEX(F!$P$21:$AB$33, MATCH(K858/$AH858, F!$O$21:$O$33,1), MATCH(E858, F!$P$20:$AB$20,1)),0) +  IFERROR( Q858*INDEX(F!$P$21:$AB$33, MATCH(O858/$AH858, F!$O$21:$O$33,1), MATCH(E858, F!$P$20:$AB$20,1)), 0) + IFERROR( U858*INDEX(F!$P$21:$AB$33, MATCH(S858/$AH858, F!$O$21:$O$33,1), MATCH(E858, F!$P$20:$AB$20,1)),0)  + IFERROR(Y858*INDEX(F!$P$21:$AB$33, MATCH(W858/$AH858, F!$O$21:$O$33,1), MATCH(E858, F!$P$20:$AB$20,1)),0)  + IFERROR( AC858*INDEX(F!$P$21:$AB$33, MATCH(AA858/$AH858, F!$O$21:$O$33,1), MATCH(E858, F!$P$20:$AB$20,1)),)</f>
        <v>0</v>
      </c>
      <c r="AL858" s="59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 ht="15.75" hidden="1" customHeight="1">
      <c r="A859" s="59"/>
      <c r="B859" s="135" t="str">
        <f t="shared" ref="B859:F859" si="1725">IF(B803="","",B803)</f>
        <v/>
      </c>
      <c r="C859" s="136" t="str">
        <f t="shared" si="1725"/>
        <v/>
      </c>
      <c r="D859" s="137" t="str">
        <f t="shared" si="1725"/>
        <v/>
      </c>
      <c r="E859" s="48" t="str">
        <f t="shared" si="1725"/>
        <v/>
      </c>
      <c r="F859" s="138" t="str">
        <f t="shared" si="1725"/>
        <v/>
      </c>
      <c r="G859" s="139" t="str">
        <f t="shared" si="1711"/>
        <v/>
      </c>
      <c r="H859" s="140"/>
      <c r="I859" s="140"/>
      <c r="J859" s="141"/>
      <c r="K859" s="139" t="str">
        <f t="shared" si="1712"/>
        <v/>
      </c>
      <c r="L859" s="140"/>
      <c r="M859" s="140"/>
      <c r="N859" s="141"/>
      <c r="O859" s="139" t="str">
        <f t="shared" si="1713"/>
        <v/>
      </c>
      <c r="P859" s="140"/>
      <c r="Q859" s="140"/>
      <c r="R859" s="141"/>
      <c r="S859" s="139" t="str">
        <f t="shared" si="1714"/>
        <v/>
      </c>
      <c r="T859" s="140"/>
      <c r="U859" s="140"/>
      <c r="V859" s="141"/>
      <c r="W859" s="139" t="str">
        <f t="shared" si="1715"/>
        <v/>
      </c>
      <c r="X859" s="140"/>
      <c r="Y859" s="140"/>
      <c r="Z859" s="141"/>
      <c r="AA859" s="139" t="str">
        <f t="shared" si="1716"/>
        <v/>
      </c>
      <c r="AB859" s="140"/>
      <c r="AC859" s="140"/>
      <c r="AD859" s="141"/>
      <c r="AE859" s="142">
        <f t="shared" si="1717"/>
        <v>0</v>
      </c>
      <c r="AF859" s="143">
        <f t="shared" si="1698"/>
        <v>0</v>
      </c>
      <c r="AG859" s="144">
        <f t="shared" si="1718"/>
        <v>0</v>
      </c>
      <c r="AH859" s="76" t="str">
        <f t="shared" si="1719"/>
        <v/>
      </c>
      <c r="AI859" s="143">
        <f> ( IF(ISNUMBER(G859), VLOOKUP(G859/$AH859,F!$A1:$B101,2,1)*G859*$H859*$I859,0)+IF(ISNUMBER(K859), VLOOKUP(K859/$AH859,F!$A1:$B101,2,1)*K859*$L859*$M859,0)+IF(ISNUMBER(O859), VLOOKUP(O859/$AH859,F!$A1:$B101,2,1)*O859*$P859*$Q859,0)+IF(ISNUMBER(S859), VLOOKUP(S859/$AH859,F!$A1:$B101,2,1)*S859*$T859*$U859,0)+IF(ISNUMBER(W859), VLOOKUP(W859/$AH859,F!$A1:$B101,2,1)*W859*$X859*$Y859,0)+IF(ISNUMBER(AA859), VLOOKUP(AA859/$AH859,F!$A1:$B101,2,1)*AA859*$AB859*$AC859,0))*IF(ISNUMBER(F859),F859,1)*IF(ISNUMBER(E859),E859,1)</f>
        <v>0</v>
      </c>
      <c r="AJ859" s="140">
        <f t="shared" si="1720"/>
        <v>0</v>
      </c>
      <c r="AK859" s="145">
        <f t="array" ref="AK859">IFERROR(I859*INDEX(F!$P$21:$AB$33, MATCH(G859/$AH859, F!$O$21:$O$33,1), MATCH(E859, F!$P$20:$AB$20,1)), 0 ) +IFERROR( M859*INDEX(F!$P$21:$AB$33, MATCH(K859/$AH859, F!$O$21:$O$33,1), MATCH(E859, F!$P$20:$AB$20,1)),0) +  IFERROR( Q859*INDEX(F!$P$21:$AB$33, MATCH(O859/$AH859, F!$O$21:$O$33,1), MATCH(E859, F!$P$20:$AB$20,1)), 0) + IFERROR( U859*INDEX(F!$P$21:$AB$33, MATCH(S859/$AH859, F!$O$21:$O$33,1), MATCH(E859, F!$P$20:$AB$20,1)),0)  + IFERROR(Y859*INDEX(F!$P$21:$AB$33, MATCH(W859/$AH859, F!$O$21:$O$33,1), MATCH(E859, F!$P$20:$AB$20,1)),0)  + IFERROR( AC859*INDEX(F!$P$21:$AB$33, MATCH(AA859/$AH859, F!$O$21:$O$33,1), MATCH(E859, F!$P$20:$AB$20,1)),)</f>
        <v>0</v>
      </c>
      <c r="AL859" s="59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 ht="15.75" hidden="1" customHeight="1">
      <c r="A860" s="59"/>
      <c r="B860" s="126" t="str">
        <f t="shared" ref="B860:F860" si="1726">IF(B804="","",B804)</f>
        <v/>
      </c>
      <c r="C860" s="127" t="str">
        <f t="shared" si="1726"/>
        <v/>
      </c>
      <c r="D860" s="128" t="str">
        <f t="shared" si="1726"/>
        <v/>
      </c>
      <c r="E860" s="48" t="str">
        <f t="shared" si="1726"/>
        <v/>
      </c>
      <c r="F860" s="129" t="str">
        <f t="shared" si="1726"/>
        <v/>
      </c>
      <c r="G860" s="130" t="str">
        <f t="shared" si="1711"/>
        <v/>
      </c>
      <c r="H860" s="34"/>
      <c r="I860" s="34"/>
      <c r="J860" s="65"/>
      <c r="K860" s="130" t="str">
        <f t="shared" si="1712"/>
        <v/>
      </c>
      <c r="L860" s="34"/>
      <c r="M860" s="34"/>
      <c r="N860" s="65"/>
      <c r="O860" s="130" t="str">
        <f t="shared" si="1713"/>
        <v/>
      </c>
      <c r="P860" s="34"/>
      <c r="Q860" s="34"/>
      <c r="R860" s="65"/>
      <c r="S860" s="130" t="str">
        <f t="shared" si="1714"/>
        <v/>
      </c>
      <c r="T860" s="34"/>
      <c r="U860" s="34"/>
      <c r="V860" s="65"/>
      <c r="W860" s="130" t="str">
        <f t="shared" si="1715"/>
        <v/>
      </c>
      <c r="X860" s="34"/>
      <c r="Y860" s="34"/>
      <c r="Z860" s="65"/>
      <c r="AA860" s="130" t="str">
        <f t="shared" si="1716"/>
        <v/>
      </c>
      <c r="AB860" s="34"/>
      <c r="AC860" s="34"/>
      <c r="AD860" s="65"/>
      <c r="AE860" s="131">
        <f t="shared" si="1717"/>
        <v>0</v>
      </c>
      <c r="AF860" s="132">
        <f t="shared" si="1698"/>
        <v>0</v>
      </c>
      <c r="AG860" s="133">
        <f t="shared" si="1718"/>
        <v>0</v>
      </c>
      <c r="AH860" s="76" t="str">
        <f t="shared" si="1719"/>
        <v/>
      </c>
      <c r="AI860" s="132">
        <f> ( IF(ISNUMBER(G860), VLOOKUP(G860/$AH860,F!$A1:$B101,2,1)*G860*$H860*$I860,0)+IF(ISNUMBER(K860), VLOOKUP(K860/$AH860,F!$A1:$B101,2,1)*K860*$L860*$M860,0)+IF(ISNUMBER(O860), VLOOKUP(O860/$AH860,F!$A1:$B101,2,1)*O860*$P860*$Q860,0)+IF(ISNUMBER(S860), VLOOKUP(S860/$AH860,F!$A1:$B101,2,1)*S860*$T860*$U860,0)+IF(ISNUMBER(W860), VLOOKUP(W860/$AH860,F!$A1:$B101,2,1)*W860*$X860*$Y860,0)+IF(ISNUMBER(AA860), VLOOKUP(AA860/$AH860,F!$A1:$B101,2,1)*AA860*$AB860*$AC860,0))*IF(ISNUMBER(F860),F860,1)*IF(ISNUMBER(E860),E860,1)</f>
        <v>0</v>
      </c>
      <c r="AJ860" s="34">
        <f t="shared" si="1720"/>
        <v>0</v>
      </c>
      <c r="AK860" s="134">
        <f t="array" ref="AK860">IFERROR(I860*INDEX(F!$P$21:$AB$33, MATCH(G860/$AH860, F!$O$21:$O$33,1), MATCH(E860, F!$P$20:$AB$20,1)), 0 ) +IFERROR( M860*INDEX(F!$P$21:$AB$33, MATCH(K860/$AH860, F!$O$21:$O$33,1), MATCH(E860, F!$P$20:$AB$20,1)),0) +  IFERROR( Q860*INDEX(F!$P$21:$AB$33, MATCH(O860/$AH860, F!$O$21:$O$33,1), MATCH(E860, F!$P$20:$AB$20,1)), 0) + IFERROR( U860*INDEX(F!$P$21:$AB$33, MATCH(S860/$AH860, F!$O$21:$O$33,1), MATCH(E860, F!$P$20:$AB$20,1)),0)  + IFERROR(Y860*INDEX(F!$P$21:$AB$33, MATCH(W860/$AH860, F!$O$21:$O$33,1), MATCH(E860, F!$P$20:$AB$20,1)),0)  + IFERROR( AC860*INDEX(F!$P$21:$AB$33, MATCH(AA860/$AH860, F!$O$21:$O$33,1), MATCH(E860, F!$P$20:$AB$20,1)),)</f>
        <v>0</v>
      </c>
      <c r="AL860" s="59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 ht="15.75" hidden="1" customHeight="1">
      <c r="A861" s="98"/>
      <c r="B861" s="150"/>
      <c r="C861" s="151"/>
      <c r="D861" s="152"/>
      <c r="E861" s="102">
        <f>ROUND(IFERROR(SUMPRODUCT(AJ853:AJ860,E853:E860)/AJ861,0),3)</f>
        <v>0</v>
      </c>
      <c r="F861" s="153"/>
      <c r="G861" s="154"/>
      <c r="H861" s="155"/>
      <c r="I861" s="155"/>
      <c r="J861" s="156"/>
      <c r="K861" s="154"/>
      <c r="L861" s="155"/>
      <c r="M861" s="155"/>
      <c r="N861" s="156"/>
      <c r="O861" s="154"/>
      <c r="P861" s="155"/>
      <c r="Q861" s="155"/>
      <c r="R861" s="156"/>
      <c r="S861" s="154"/>
      <c r="T861" s="155"/>
      <c r="U861" s="155"/>
      <c r="V861" s="156"/>
      <c r="W861" s="154"/>
      <c r="X861" s="155"/>
      <c r="Y861" s="155"/>
      <c r="Z861" s="156"/>
      <c r="AA861" s="154"/>
      <c r="AB861" s="155"/>
      <c r="AC861" s="155"/>
      <c r="AD861" s="156"/>
      <c r="AE861" s="107">
        <f>SUM(AE853:AE860)</f>
        <v>0</v>
      </c>
      <c r="AF861" s="108">
        <f t="shared" si="1698"/>
        <v>0</v>
      </c>
      <c r="AG861" s="109">
        <f>IFERROR(  SUMPRODUCT(AG853:AG860,AJ853:AJ860)/AJ861,0)</f>
        <v>0</v>
      </c>
      <c r="AH861" s="157"/>
      <c r="AI861" s="111">
        <f t="shared" ref="AI861:AJ861" si="1727">SUM(AI853:AI860)</f>
        <v>0</v>
      </c>
      <c r="AJ861" s="111">
        <f t="shared" si="1727"/>
        <v>0</v>
      </c>
      <c r="AK861" s="112">
        <f>IF(SUM(AK853:AK860)=0,TIME(,0,),TIME(,SUM(AK853:AK860)+F!$V$37,))</f>
        <v>0</v>
      </c>
      <c r="AL861" s="98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 ht="15.75" hidden="1" customHeight="1">
      <c r="A862" s="158">
        <f>A863</f>
        <v>43889</v>
      </c>
      <c r="B862" s="159" t="str">
        <f t="shared" ref="B862:F862" si="1728">IF(B806="","",B806)</f>
        <v>Тяжелая</v>
      </c>
      <c r="C862" s="160" t="str">
        <f t="shared" si="1728"/>
        <v>ПР</v>
      </c>
      <c r="D862" s="161" t="str">
        <f t="shared" si="1728"/>
        <v>Присед</v>
      </c>
      <c r="E862" s="29">
        <f t="shared" si="1728"/>
        <v>1.2</v>
      </c>
      <c r="F862" s="162" t="str">
        <f t="shared" si="1728"/>
        <v/>
      </c>
      <c r="G862" s="163" t="str">
        <f t="shared" ref="G862:G869" si="1730">IF(J862&lt;&gt;0, IFERROR(IF( $F862=2,  MROUND($AH862*J862,1),    IF( OR($F862="",$F862=1),   MROUND($AH862*J862,2.5),  MROUND($AH862*J862, 0.1))), "" ), "")</f>
        <v/>
      </c>
      <c r="H862" s="164"/>
      <c r="I862" s="164"/>
      <c r="J862" s="165"/>
      <c r="K862" s="163" t="str">
        <f t="shared" ref="K862:K869" si="1731">IF(N862&lt;&gt;0, IFERROR(IF( $F862=2,  MROUND($AH862*N862,1),    IF( OR($F862="",$F862=1),   MROUND($AH862*N862,2.5),  MROUND($AH862*N862, 0.1))), "" ), "")</f>
        <v/>
      </c>
      <c r="L862" s="164"/>
      <c r="M862" s="164"/>
      <c r="N862" s="165"/>
      <c r="O862" s="163" t="str">
        <f t="shared" ref="O862:O869" si="1732">IF(R862&lt;&gt;0, IFERROR(IF( $F862=2,  MROUND($AH862*R862,1),    IF( OR($F862="",$F862=1),   MROUND($AH862*R862,2.5),  MROUND($AH862*R862, 0.1))), "" ), "")</f>
        <v/>
      </c>
      <c r="P862" s="164"/>
      <c r="Q862" s="164"/>
      <c r="R862" s="165"/>
      <c r="S862" s="163" t="str">
        <f t="shared" ref="S862:S869" si="1733">IF(V862&lt;&gt;0, IFERROR(IF( $F862=2,  MROUND($AH862*V862,1),    IF( OR($F862="",$F862=1),   MROUND($AH862*V862,2.5),  MROUND($AH862*V862, 0.1))), "" ), "")</f>
        <v/>
      </c>
      <c r="T862" s="164"/>
      <c r="U862" s="164"/>
      <c r="V862" s="165"/>
      <c r="W862" s="163" t="str">
        <f t="shared" ref="W862:W869" si="1734">IF(Z862&lt;&gt;0, IFERROR(IF( $F862=2,  MROUND($AH862*Z862,1),    IF( OR($F862="",$F862=1),   MROUND($AH862*Z862,2.5),  MROUND($AH862*Z862, 0.1))), "" ), "")</f>
        <v/>
      </c>
      <c r="X862" s="164"/>
      <c r="Y862" s="164"/>
      <c r="Z862" s="165"/>
      <c r="AA862" s="163" t="str">
        <f t="shared" ref="AA862:AA869" si="1735">IF(AD862&lt;&gt;0, IFERROR(IF( $F862=2,  MROUND($AH862*AD862,1),    IF( OR($F862="",$F862=1),   MROUND($AH862*AD862,2.5),  MROUND($AH862*AD862, 0.1))), "" ), "")</f>
        <v/>
      </c>
      <c r="AB862" s="164"/>
      <c r="AC862" s="164"/>
      <c r="AD862" s="165"/>
      <c r="AE862" s="166">
        <f t="shared" ref="AE862:AE869" si="1736">(IF(ISNUMBER(G862),G862,0)*H862*I862+IF(ISNUMBER(K862),K862,1)*L862*M862+IF(ISNUMBER(O862),O862,1)*P862*Q862+IF(ISNUMBER(S862),S862,1)*T862*U862+IF(ISNUMBER(W862),W862,1)*X862*Y862+IF(ISNUMBER(AA862),AA862,1)*AB862*AC862)*IF(ISNUMBER(F862),F862,1)</f>
        <v>0</v>
      </c>
      <c r="AF862" s="167">
        <f t="shared" si="1698"/>
        <v>0</v>
      </c>
      <c r="AG862" s="168">
        <f t="shared" ref="AG862:AG869" si="1737">IFERROR((AF862/(AH862*IF(ISNUMBER(F862),F862,1))),0)</f>
        <v>0</v>
      </c>
      <c r="AH862" s="169">
        <f t="shared" ref="AH862:AH869" si="1738">IF(ISNUMBER(AH806), AH806+(AH806*$AH$842),"")</f>
        <v>181.6922257</v>
      </c>
      <c r="AI862" s="167">
        <f> ( IF(ISNUMBER(G862), VLOOKUP(G862/$AH862,F!$A1:$B101,2,1)*G862*$H862*$I862,0)+IF(ISNUMBER(K862), VLOOKUP(K862/$AH862,F!$A1:$B101,2,1)*K862*$L862*$M862,0)+IF(ISNUMBER(O862), VLOOKUP(O862/$AH862,F!$A1:$B101,2,1)*O862*$P862*$Q862,0)+IF(ISNUMBER(S862), VLOOKUP(S862/$AH862,F!$A1:$B101,2,1)*S862*$T862*$U862,0)+IF(ISNUMBER(W862), VLOOKUP(W862/$AH862,F!$A1:$B101,2,1)*W862*$X862*$Y862,0)+IF(ISNUMBER(AA862), VLOOKUP(AA862/$AH862,F!$A1:$B101,2,1)*AA862*$AB862*$AC862,0))*IF(ISNUMBER(F862),F862,1)*IF(ISNUMBER(E862),E862,1)</f>
        <v>0</v>
      </c>
      <c r="AJ862" s="164">
        <f t="shared" ref="AJ862:AJ869" si="1739">H862*I862+L862*M862+P862*Q862+T862*U862+X862*Y862+AB862*AC862</f>
        <v>0</v>
      </c>
      <c r="AK862" s="170">
        <f t="array" ref="AK862">IFERROR(I862*INDEX(F!$P$21:$AB$33, MATCH(G862/$AH862, F!$O$21:$O$33,1), MATCH(E862, F!$P$20:$AB$20,1)), 0 ) +IFERROR( M862*INDEX(F!$P$21:$AB$33, MATCH(K862/$AH862, F!$O$21:$O$33,1), MATCH(E862, F!$P$20:$AB$20,1)),0) +  IFERROR( Q862*INDEX(F!$P$21:$AB$33, MATCH(O862/$AH862, F!$O$21:$O$33,1), MATCH(E862, F!$P$20:$AB$20,1)), 0) + IFERROR( U862*INDEX(F!$P$21:$AB$33, MATCH(S862/$AH862, F!$O$21:$O$33,1), MATCH(E862, F!$P$20:$AB$20,1)),0)  + IFERROR(Y862*INDEX(F!$P$21:$AB$33, MATCH(W862/$AH862, F!$O$21:$O$33,1), MATCH(E862, F!$P$20:$AB$20,1)),0)  + IFERROR( AC862*INDEX(F!$P$21:$AB$33, MATCH(AA862/$AH862, F!$O$21:$O$33,1), MATCH(E862, F!$P$20:$AB$20,1)),)</f>
        <v>0</v>
      </c>
      <c r="AL862" s="42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 ht="15.75" hidden="1" customHeight="1">
      <c r="A863" s="44">
        <f>A807+A786</f>
        <v>43889</v>
      </c>
      <c r="B863" s="135" t="str">
        <f t="shared" ref="B863:F863" si="1729">IF(B807="","",B807)</f>
        <v>Тяжелая</v>
      </c>
      <c r="C863" s="136" t="str">
        <f t="shared" si="1729"/>
        <v>ЖМ</v>
      </c>
      <c r="D863" s="137" t="str">
        <f t="shared" si="1729"/>
        <v>Жим лежа</v>
      </c>
      <c r="E863" s="48">
        <f t="shared" si="1729"/>
        <v>1</v>
      </c>
      <c r="F863" s="138" t="str">
        <f t="shared" si="1729"/>
        <v/>
      </c>
      <c r="G863" s="139" t="str">
        <f t="shared" si="1730"/>
        <v/>
      </c>
      <c r="H863" s="140"/>
      <c r="I863" s="140"/>
      <c r="J863" s="141"/>
      <c r="K863" s="139" t="str">
        <f t="shared" si="1731"/>
        <v/>
      </c>
      <c r="L863" s="140"/>
      <c r="M863" s="140"/>
      <c r="N863" s="141"/>
      <c r="O863" s="139" t="str">
        <f t="shared" si="1732"/>
        <v/>
      </c>
      <c r="P863" s="140"/>
      <c r="Q863" s="140"/>
      <c r="R863" s="141"/>
      <c r="S863" s="139" t="str">
        <f t="shared" si="1733"/>
        <v/>
      </c>
      <c r="T863" s="140"/>
      <c r="U863" s="140"/>
      <c r="V863" s="141"/>
      <c r="W863" s="139" t="str">
        <f t="shared" si="1734"/>
        <v/>
      </c>
      <c r="X863" s="140"/>
      <c r="Y863" s="140"/>
      <c r="Z863" s="141"/>
      <c r="AA863" s="139" t="str">
        <f t="shared" si="1735"/>
        <v/>
      </c>
      <c r="AB863" s="140"/>
      <c r="AC863" s="140"/>
      <c r="AD863" s="141"/>
      <c r="AE863" s="142">
        <f t="shared" si="1736"/>
        <v>0</v>
      </c>
      <c r="AF863" s="143">
        <f t="shared" si="1698"/>
        <v>0</v>
      </c>
      <c r="AG863" s="144">
        <f t="shared" si="1737"/>
        <v>0</v>
      </c>
      <c r="AH863" s="76">
        <f t="shared" si="1738"/>
        <v>127.8574921</v>
      </c>
      <c r="AI863" s="143">
        <f> ( IF(ISNUMBER(G863), VLOOKUP(G863/$AH863,F!$A1:$B101,2,1)*G863*$H863*$I863,0)+IF(ISNUMBER(K863), VLOOKUP(K863/$AH863,F!$A1:$B101,2,1)*K863*$L863*$M863,0)+IF(ISNUMBER(O863), VLOOKUP(O863/$AH863,F!$A1:$B101,2,1)*O863*$P863*$Q863,0)+IF(ISNUMBER(S863), VLOOKUP(S863/$AH863,F!$A1:$B101,2,1)*S863*$T863*$U863,0)+IF(ISNUMBER(W863), VLOOKUP(W863/$AH863,F!$A1:$B101,2,1)*W863*$X863*$Y863,0)+IF(ISNUMBER(AA863), VLOOKUP(AA863/$AH863,F!$A1:$B101,2,1)*AA863*$AB863*$AC863,0))*IF(ISNUMBER(F863),F863,1)*IF(ISNUMBER(E863),E863,1)</f>
        <v>0</v>
      </c>
      <c r="AJ863" s="140">
        <f t="shared" si="1739"/>
        <v>0</v>
      </c>
      <c r="AK863" s="145">
        <f t="array" ref="AK863">IFERROR(I863*INDEX(F!$P$21:$AB$33, MATCH(G863/$AH863, F!$O$21:$O$33,1), MATCH(E863, F!$P$20:$AB$20,1)), 0 ) +IFERROR( M863*INDEX(F!$P$21:$AB$33, MATCH(K863/$AH863, F!$O$21:$O$33,1), MATCH(E863, F!$P$20:$AB$20,1)),0) +  IFERROR( Q863*INDEX(F!$P$21:$AB$33, MATCH(O863/$AH863, F!$O$21:$O$33,1), MATCH(E863, F!$P$20:$AB$20,1)), 0) + IFERROR( U863*INDEX(F!$P$21:$AB$33, MATCH(S863/$AH863, F!$O$21:$O$33,1), MATCH(E863, F!$P$20:$AB$20,1)),0)  + IFERROR(Y863*INDEX(F!$P$21:$AB$33, MATCH(W863/$AH863, F!$O$21:$O$33,1), MATCH(E863, F!$P$20:$AB$20,1)),0)  + IFERROR( AC863*INDEX(F!$P$21:$AB$33, MATCH(AA863/$AH863, F!$O$21:$O$33,1), MATCH(E863, F!$P$20:$AB$20,1)),)</f>
        <v>0</v>
      </c>
      <c r="AL863" s="59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 ht="15.75" hidden="1" customHeight="1">
      <c r="A864" s="59"/>
      <c r="B864" s="173" t="str">
        <f t="shared" ref="B864:F864" si="1740">IF(B808="","",B808)</f>
        <v>Средняя</v>
      </c>
      <c r="C864" s="174" t="str">
        <f t="shared" si="1740"/>
        <v>ПР</v>
      </c>
      <c r="D864" s="175" t="str">
        <f t="shared" si="1740"/>
        <v>Присед</v>
      </c>
      <c r="E864" s="48">
        <f t="shared" si="1740"/>
        <v>1.2</v>
      </c>
      <c r="F864" s="176" t="str">
        <f t="shared" si="1740"/>
        <v/>
      </c>
      <c r="G864" s="177" t="str">
        <f t="shared" si="1730"/>
        <v/>
      </c>
      <c r="H864" s="178"/>
      <c r="I864" s="178"/>
      <c r="J864" s="179"/>
      <c r="K864" s="177" t="str">
        <f t="shared" si="1731"/>
        <v/>
      </c>
      <c r="L864" s="178"/>
      <c r="M864" s="178"/>
      <c r="N864" s="179"/>
      <c r="O864" s="177" t="str">
        <f t="shared" si="1732"/>
        <v/>
      </c>
      <c r="P864" s="178"/>
      <c r="Q864" s="178"/>
      <c r="R864" s="179"/>
      <c r="S864" s="177" t="str">
        <f t="shared" si="1733"/>
        <v/>
      </c>
      <c r="T864" s="178"/>
      <c r="U864" s="178"/>
      <c r="V864" s="179"/>
      <c r="W864" s="177" t="str">
        <f t="shared" si="1734"/>
        <v/>
      </c>
      <c r="X864" s="178"/>
      <c r="Y864" s="178"/>
      <c r="Z864" s="179"/>
      <c r="AA864" s="177" t="str">
        <f t="shared" si="1735"/>
        <v/>
      </c>
      <c r="AB864" s="178"/>
      <c r="AC864" s="178"/>
      <c r="AD864" s="179"/>
      <c r="AE864" s="180">
        <f t="shared" si="1736"/>
        <v>0</v>
      </c>
      <c r="AF864" s="181">
        <f t="shared" si="1698"/>
        <v>0</v>
      </c>
      <c r="AG864" s="182">
        <f t="shared" si="1737"/>
        <v>0</v>
      </c>
      <c r="AH864" s="76">
        <f t="shared" si="1738"/>
        <v>181.6922257</v>
      </c>
      <c r="AI864" s="181">
        <f> ( IF(ISNUMBER(G864), VLOOKUP(G864/$AH864,F!$A1:$B101,2,1)*G864*$H864*$I864,0)+IF(ISNUMBER(K864), VLOOKUP(K864/$AH864,F!$A1:$B101,2,1)*K864*$L864*$M864,0)+IF(ISNUMBER(O864), VLOOKUP(O864/$AH864,F!$A1:$B101,2,1)*O864*$P864*$Q864,0)+IF(ISNUMBER(S864), VLOOKUP(S864/$AH864,F!$A1:$B101,2,1)*S864*$T864*$U864,0)+IF(ISNUMBER(W864), VLOOKUP(W864/$AH864,F!$A1:$B101,2,1)*W864*$X864*$Y864,0)+IF(ISNUMBER(AA864), VLOOKUP(AA864/$AH864,F!$A1:$B101,2,1)*AA864*$AB864*$AC864,0))*IF(ISNUMBER(F864),F864,1)*IF(ISNUMBER(E864),E864,1)</f>
        <v>0</v>
      </c>
      <c r="AJ864" s="178">
        <f t="shared" si="1739"/>
        <v>0</v>
      </c>
      <c r="AK864" s="183">
        <f t="array" ref="AK864">IFERROR(I864*INDEX(F!$P$21:$AB$33, MATCH(G864/$AH864, F!$O$21:$O$33,1), MATCH(E864, F!$P$20:$AB$20,1)), 0 ) +IFERROR( M864*INDEX(F!$P$21:$AB$33, MATCH(K864/$AH864, F!$O$21:$O$33,1), MATCH(E864, F!$P$20:$AB$20,1)),0) +  IFERROR( Q864*INDEX(F!$P$21:$AB$33, MATCH(O864/$AH864, F!$O$21:$O$33,1), MATCH(E864, F!$P$20:$AB$20,1)), 0) + IFERROR( U864*INDEX(F!$P$21:$AB$33, MATCH(S864/$AH864, F!$O$21:$O$33,1), MATCH(E864, F!$P$20:$AB$20,1)),0)  + IFERROR(Y864*INDEX(F!$P$21:$AB$33, MATCH(W864/$AH864, F!$O$21:$O$33,1), MATCH(E864, F!$P$20:$AB$20,1)),0)  + IFERROR( AC864*INDEX(F!$P$21:$AB$33, MATCH(AA864/$AH864, F!$O$21:$O$33,1), MATCH(E864, F!$P$20:$AB$20,1)),)</f>
        <v>0</v>
      </c>
      <c r="AL864" s="59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 ht="15.75" hidden="1" customHeight="1">
      <c r="A865" s="59"/>
      <c r="B865" s="135" t="str">
        <f t="shared" ref="B865:F865" si="1741">IF(B809="","",B809)</f>
        <v>Средняя</v>
      </c>
      <c r="C865" s="136" t="str">
        <f t="shared" si="1741"/>
        <v>ЖМ</v>
      </c>
      <c r="D865" s="137" t="str">
        <f t="shared" si="1741"/>
        <v>Жим на наклонной скамье</v>
      </c>
      <c r="E865" s="48">
        <f t="shared" si="1741"/>
        <v>1</v>
      </c>
      <c r="F865" s="138" t="str">
        <f t="shared" si="1741"/>
        <v/>
      </c>
      <c r="G865" s="139" t="str">
        <f t="shared" si="1730"/>
        <v/>
      </c>
      <c r="H865" s="140"/>
      <c r="I865" s="140"/>
      <c r="J865" s="141"/>
      <c r="K865" s="139" t="str">
        <f t="shared" si="1731"/>
        <v/>
      </c>
      <c r="L865" s="140"/>
      <c r="M865" s="140"/>
      <c r="N865" s="141"/>
      <c r="O865" s="139" t="str">
        <f t="shared" si="1732"/>
        <v/>
      </c>
      <c r="P865" s="140"/>
      <c r="Q865" s="140"/>
      <c r="R865" s="141"/>
      <c r="S865" s="139" t="str">
        <f t="shared" si="1733"/>
        <v/>
      </c>
      <c r="T865" s="140"/>
      <c r="U865" s="140"/>
      <c r="V865" s="141"/>
      <c r="W865" s="139" t="str">
        <f t="shared" si="1734"/>
        <v/>
      </c>
      <c r="X865" s="140"/>
      <c r="Y865" s="140"/>
      <c r="Z865" s="141"/>
      <c r="AA865" s="139" t="str">
        <f t="shared" si="1735"/>
        <v/>
      </c>
      <c r="AB865" s="140"/>
      <c r="AC865" s="140"/>
      <c r="AD865" s="141"/>
      <c r="AE865" s="142">
        <f t="shared" si="1736"/>
        <v>0</v>
      </c>
      <c r="AF865" s="143">
        <f t="shared" si="1698"/>
        <v>0</v>
      </c>
      <c r="AG865" s="144">
        <f t="shared" si="1737"/>
        <v>0</v>
      </c>
      <c r="AH865" s="76">
        <f t="shared" si="1738"/>
        <v>102.2859937</v>
      </c>
      <c r="AI865" s="143">
        <f> ( IF(ISNUMBER(G865), VLOOKUP(G865/$AH865,F!$A1:$B101,2,1)*G865*$H865*$I865,0)+IF(ISNUMBER(K865), VLOOKUP(K865/$AH865,F!$A1:$B101,2,1)*K865*$L865*$M865,0)+IF(ISNUMBER(O865), VLOOKUP(O865/$AH865,F!$A1:$B101,2,1)*O865*$P865*$Q865,0)+IF(ISNUMBER(S865), VLOOKUP(S865/$AH865,F!$A1:$B101,2,1)*S865*$T865*$U865,0)+IF(ISNUMBER(W865), VLOOKUP(W865/$AH865,F!$A1:$B101,2,1)*W865*$X865*$Y865,0)+IF(ISNUMBER(AA865), VLOOKUP(AA865/$AH865,F!$A1:$B101,2,1)*AA865*$AB865*$AC865,0))*IF(ISNUMBER(F865),F865,1)*IF(ISNUMBER(E865),E865,1)</f>
        <v>0</v>
      </c>
      <c r="AJ865" s="140">
        <f t="shared" si="1739"/>
        <v>0</v>
      </c>
      <c r="AK865" s="145">
        <f t="array" ref="AK865">IFERROR(I865*INDEX(F!$P$21:$AB$33, MATCH(G865/$AH865, F!$O$21:$O$33,1), MATCH(E865, F!$P$20:$AB$20,1)), 0 ) +IFERROR( M865*INDEX(F!$P$21:$AB$33, MATCH(K865/$AH865, F!$O$21:$O$33,1), MATCH(E865, F!$P$20:$AB$20,1)),0) +  IFERROR( Q865*INDEX(F!$P$21:$AB$33, MATCH(O865/$AH865, F!$O$21:$O$33,1), MATCH(E865, F!$P$20:$AB$20,1)), 0) + IFERROR( U865*INDEX(F!$P$21:$AB$33, MATCH(S865/$AH865, F!$O$21:$O$33,1), MATCH(E865, F!$P$20:$AB$20,1)),0)  + IFERROR(Y865*INDEX(F!$P$21:$AB$33, MATCH(W865/$AH865, F!$O$21:$O$33,1), MATCH(E865, F!$P$20:$AB$20,1)),0)  + IFERROR( AC865*INDEX(F!$P$21:$AB$33, MATCH(AA865/$AH865, F!$O$21:$O$33,1), MATCH(E865, F!$P$20:$AB$20,1)),)</f>
        <v>0</v>
      </c>
      <c r="AL865" s="59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 ht="15.75" hidden="1" customHeight="1">
      <c r="A866" s="59"/>
      <c r="B866" s="173" t="str">
        <f t="shared" ref="B866:F866" si="1742">IF(B810="","",B810)</f>
        <v>Средняя</v>
      </c>
      <c r="C866" s="174" t="str">
        <f t="shared" si="1742"/>
        <v>ОФП</v>
      </c>
      <c r="D866" s="175" t="str">
        <f t="shared" si="1742"/>
        <v>Бицепс стоя</v>
      </c>
      <c r="E866" s="48">
        <f t="shared" si="1742"/>
        <v>0.5</v>
      </c>
      <c r="F866" s="176" t="str">
        <f t="shared" si="1742"/>
        <v/>
      </c>
      <c r="G866" s="177" t="str">
        <f t="shared" si="1730"/>
        <v/>
      </c>
      <c r="H866" s="178"/>
      <c r="I866" s="178"/>
      <c r="J866" s="179"/>
      <c r="K866" s="177" t="str">
        <f t="shared" si="1731"/>
        <v/>
      </c>
      <c r="L866" s="178"/>
      <c r="M866" s="178"/>
      <c r="N866" s="179"/>
      <c r="O866" s="177" t="str">
        <f t="shared" si="1732"/>
        <v/>
      </c>
      <c r="P866" s="178"/>
      <c r="Q866" s="178"/>
      <c r="R866" s="179"/>
      <c r="S866" s="177" t="str">
        <f t="shared" si="1733"/>
        <v/>
      </c>
      <c r="T866" s="178"/>
      <c r="U866" s="178"/>
      <c r="V866" s="179"/>
      <c r="W866" s="177" t="str">
        <f t="shared" si="1734"/>
        <v/>
      </c>
      <c r="X866" s="178"/>
      <c r="Y866" s="178"/>
      <c r="Z866" s="179"/>
      <c r="AA866" s="177" t="str">
        <f t="shared" si="1735"/>
        <v/>
      </c>
      <c r="AB866" s="178"/>
      <c r="AC866" s="178"/>
      <c r="AD866" s="179"/>
      <c r="AE866" s="180">
        <f t="shared" si="1736"/>
        <v>0</v>
      </c>
      <c r="AF866" s="181">
        <f t="shared" si="1698"/>
        <v>0</v>
      </c>
      <c r="AG866" s="182">
        <f t="shared" si="1737"/>
        <v>0</v>
      </c>
      <c r="AH866" s="76" t="str">
        <f t="shared" si="1738"/>
        <v/>
      </c>
      <c r="AI866" s="181">
        <f> ( IF(ISNUMBER(G866), VLOOKUP(G866/$AH866,F!$A1:$B101,2,1)*G866*$H866*$I866,0)+IF(ISNUMBER(K866), VLOOKUP(K866/$AH866,F!$A1:$B101,2,1)*K866*$L866*$M866,0)+IF(ISNUMBER(O866), VLOOKUP(O866/$AH866,F!$A1:$B101,2,1)*O866*$P866*$Q866,0)+IF(ISNUMBER(S866), VLOOKUP(S866/$AH866,F!$A1:$B101,2,1)*S866*$T866*$U866,0)+IF(ISNUMBER(W866), VLOOKUP(W866/$AH866,F!$A1:$B101,2,1)*W866*$X866*$Y866,0)+IF(ISNUMBER(AA866), VLOOKUP(AA866/$AH866,F!$A1:$B101,2,1)*AA866*$AB866*$AC866,0))*IF(ISNUMBER(F866),F866,1)*IF(ISNUMBER(E866),E866,1)</f>
        <v>0</v>
      </c>
      <c r="AJ866" s="178">
        <f t="shared" si="1739"/>
        <v>0</v>
      </c>
      <c r="AK866" s="183">
        <f t="array" ref="AK866">IFERROR(I866*INDEX(F!$P$21:$AB$33, MATCH(G866/$AH866, F!$O$21:$O$33,1), MATCH(E866, F!$P$20:$AB$20,1)), 0 ) +IFERROR( M866*INDEX(F!$P$21:$AB$33, MATCH(K866/$AH866, F!$O$21:$O$33,1), MATCH(E866, F!$P$20:$AB$20,1)),0) +  IFERROR( Q866*INDEX(F!$P$21:$AB$33, MATCH(O866/$AH866, F!$O$21:$O$33,1), MATCH(E866, F!$P$20:$AB$20,1)), 0) + IFERROR( U866*INDEX(F!$P$21:$AB$33, MATCH(S866/$AH866, F!$O$21:$O$33,1), MATCH(E866, F!$P$20:$AB$20,1)),0)  + IFERROR(Y866*INDEX(F!$P$21:$AB$33, MATCH(W866/$AH866, F!$O$21:$O$33,1), MATCH(E866, F!$P$20:$AB$20,1)),0)  + IFERROR( AC866*INDEX(F!$P$21:$AB$33, MATCH(AA866/$AH866, F!$O$21:$O$33,1), MATCH(E866, F!$P$20:$AB$20,1)),)</f>
        <v>0</v>
      </c>
      <c r="AL866" s="59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 ht="15.75" hidden="1" customHeight="1">
      <c r="A867" s="59"/>
      <c r="B867" s="135" t="str">
        <f t="shared" ref="B867:F867" si="1743">IF(B811="","",B811)</f>
        <v/>
      </c>
      <c r="C867" s="136" t="str">
        <f t="shared" si="1743"/>
        <v/>
      </c>
      <c r="D867" s="137" t="str">
        <f t="shared" si="1743"/>
        <v/>
      </c>
      <c r="E867" s="48" t="str">
        <f t="shared" si="1743"/>
        <v/>
      </c>
      <c r="F867" s="138" t="str">
        <f t="shared" si="1743"/>
        <v/>
      </c>
      <c r="G867" s="139" t="str">
        <f t="shared" si="1730"/>
        <v/>
      </c>
      <c r="H867" s="140"/>
      <c r="I867" s="140"/>
      <c r="J867" s="141"/>
      <c r="K867" s="139" t="str">
        <f t="shared" si="1731"/>
        <v/>
      </c>
      <c r="L867" s="140"/>
      <c r="M867" s="140"/>
      <c r="N867" s="141"/>
      <c r="O867" s="139" t="str">
        <f t="shared" si="1732"/>
        <v/>
      </c>
      <c r="P867" s="140"/>
      <c r="Q867" s="140"/>
      <c r="R867" s="141"/>
      <c r="S867" s="139" t="str">
        <f t="shared" si="1733"/>
        <v/>
      </c>
      <c r="T867" s="140"/>
      <c r="U867" s="140"/>
      <c r="V867" s="141"/>
      <c r="W867" s="139" t="str">
        <f t="shared" si="1734"/>
        <v/>
      </c>
      <c r="X867" s="140"/>
      <c r="Y867" s="140"/>
      <c r="Z867" s="141"/>
      <c r="AA867" s="139" t="str">
        <f t="shared" si="1735"/>
        <v/>
      </c>
      <c r="AB867" s="140"/>
      <c r="AC867" s="140"/>
      <c r="AD867" s="141"/>
      <c r="AE867" s="142">
        <f t="shared" si="1736"/>
        <v>0</v>
      </c>
      <c r="AF867" s="143">
        <f t="shared" si="1698"/>
        <v>0</v>
      </c>
      <c r="AG867" s="144">
        <f t="shared" si="1737"/>
        <v>0</v>
      </c>
      <c r="AH867" s="76" t="str">
        <f t="shared" si="1738"/>
        <v/>
      </c>
      <c r="AI867" s="143">
        <f> ( IF(ISNUMBER(G867), VLOOKUP(G867/$AH867,F!$A1:$B101,2,1)*G867*$H867*$I867,0)+IF(ISNUMBER(K867), VLOOKUP(K867/$AH867,F!$A1:$B101,2,1)*K867*$L867*$M867,0)+IF(ISNUMBER(O867), VLOOKUP(O867/$AH867,F!$A1:$B101,2,1)*O867*$P867*$Q867,0)+IF(ISNUMBER(S867), VLOOKUP(S867/$AH867,F!$A1:$B101,2,1)*S867*$T867*$U867,0)+IF(ISNUMBER(W867), VLOOKUP(W867/$AH867,F!$A1:$B101,2,1)*W867*$X867*$Y867,0)+IF(ISNUMBER(AA867), VLOOKUP(AA867/$AH867,F!$A1:$B101,2,1)*AA867*$AB867*$AC867,0))*IF(ISNUMBER(F867),F867,1)*IF(ISNUMBER(E867),E867,1)</f>
        <v>0</v>
      </c>
      <c r="AJ867" s="140">
        <f t="shared" si="1739"/>
        <v>0</v>
      </c>
      <c r="AK867" s="145">
        <f t="array" ref="AK867">IFERROR(I867*INDEX(F!$P$21:$AB$33, MATCH(G867/$AH867, F!$O$21:$O$33,1), MATCH(E867, F!$P$20:$AB$20,1)), 0 ) +IFERROR( M867*INDEX(F!$P$21:$AB$33, MATCH(K867/$AH867, F!$O$21:$O$33,1), MATCH(E867, F!$P$20:$AB$20,1)),0) +  IFERROR( Q867*INDEX(F!$P$21:$AB$33, MATCH(O867/$AH867, F!$O$21:$O$33,1), MATCH(E867, F!$P$20:$AB$20,1)), 0) + IFERROR( U867*INDEX(F!$P$21:$AB$33, MATCH(S867/$AH867, F!$O$21:$O$33,1), MATCH(E867, F!$P$20:$AB$20,1)),0)  + IFERROR(Y867*INDEX(F!$P$21:$AB$33, MATCH(W867/$AH867, F!$O$21:$O$33,1), MATCH(E867, F!$P$20:$AB$20,1)),0)  + IFERROR( AC867*INDEX(F!$P$21:$AB$33, MATCH(AA867/$AH867, F!$O$21:$O$33,1), MATCH(E867, F!$P$20:$AB$20,1)),)</f>
        <v>0</v>
      </c>
      <c r="AL867" s="59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 ht="15.75" hidden="1" customHeight="1">
      <c r="A868" s="59"/>
      <c r="B868" s="173" t="str">
        <f t="shared" ref="B868:F868" si="1744">IF(B812="","",B812)</f>
        <v/>
      </c>
      <c r="C868" s="174" t="str">
        <f t="shared" si="1744"/>
        <v/>
      </c>
      <c r="D868" s="175" t="str">
        <f t="shared" si="1744"/>
        <v/>
      </c>
      <c r="E868" s="48" t="str">
        <f t="shared" si="1744"/>
        <v/>
      </c>
      <c r="F868" s="176" t="str">
        <f t="shared" si="1744"/>
        <v/>
      </c>
      <c r="G868" s="177" t="str">
        <f t="shared" si="1730"/>
        <v/>
      </c>
      <c r="H868" s="178"/>
      <c r="I868" s="178"/>
      <c r="J868" s="179"/>
      <c r="K868" s="177" t="str">
        <f t="shared" si="1731"/>
        <v/>
      </c>
      <c r="L868" s="178"/>
      <c r="M868" s="178"/>
      <c r="N868" s="179"/>
      <c r="O868" s="177" t="str">
        <f t="shared" si="1732"/>
        <v/>
      </c>
      <c r="P868" s="178"/>
      <c r="Q868" s="178"/>
      <c r="R868" s="179"/>
      <c r="S868" s="177" t="str">
        <f t="shared" si="1733"/>
        <v/>
      </c>
      <c r="T868" s="178"/>
      <c r="U868" s="178"/>
      <c r="V868" s="179"/>
      <c r="W868" s="177" t="str">
        <f t="shared" si="1734"/>
        <v/>
      </c>
      <c r="X868" s="178"/>
      <c r="Y868" s="178"/>
      <c r="Z868" s="179"/>
      <c r="AA868" s="177" t="str">
        <f t="shared" si="1735"/>
        <v/>
      </c>
      <c r="AB868" s="178"/>
      <c r="AC868" s="178"/>
      <c r="AD868" s="179"/>
      <c r="AE868" s="180">
        <f t="shared" si="1736"/>
        <v>0</v>
      </c>
      <c r="AF868" s="181">
        <f t="shared" si="1698"/>
        <v>0</v>
      </c>
      <c r="AG868" s="182">
        <f t="shared" si="1737"/>
        <v>0</v>
      </c>
      <c r="AH868" s="76" t="str">
        <f t="shared" si="1738"/>
        <v/>
      </c>
      <c r="AI868" s="181">
        <f> ( IF(ISNUMBER(G868), VLOOKUP(G868/$AH868,F!$A1:$B101,2,1)*G868*$H868*$I868,0)+IF(ISNUMBER(K868), VLOOKUP(K868/$AH868,F!$A1:$B101,2,1)*K868*$L868*$M868,0)+IF(ISNUMBER(O868), VLOOKUP(O868/$AH868,F!$A1:$B101,2,1)*O868*$P868*$Q868,0)+IF(ISNUMBER(S868), VLOOKUP(S868/$AH868,F!$A1:$B101,2,1)*S868*$T868*$U868,0)+IF(ISNUMBER(W868), VLOOKUP(W868/$AH868,F!$A1:$B101,2,1)*W868*$X868*$Y868,0)+IF(ISNUMBER(AA868), VLOOKUP(AA868/$AH868,F!$A1:$B101,2,1)*AA868*$AB868*$AC868,0))*IF(ISNUMBER(F868),F868,1)*IF(ISNUMBER(E868),E868,1)</f>
        <v>0</v>
      </c>
      <c r="AJ868" s="178">
        <f t="shared" si="1739"/>
        <v>0</v>
      </c>
      <c r="AK868" s="183">
        <f t="array" ref="AK868">IFERROR(I868*INDEX(F!$P$21:$AB$33, MATCH(G868/$AH868, F!$O$21:$O$33,1), MATCH(E868, F!$P$20:$AB$20,1)), 0 ) +IFERROR( M868*INDEX(F!$P$21:$AB$33, MATCH(K868/$AH868, F!$O$21:$O$33,1), MATCH(E868, F!$P$20:$AB$20,1)),0) +  IFERROR( Q868*INDEX(F!$P$21:$AB$33, MATCH(O868/$AH868, F!$O$21:$O$33,1), MATCH(E868, F!$P$20:$AB$20,1)), 0) + IFERROR( U868*INDEX(F!$P$21:$AB$33, MATCH(S868/$AH868, F!$O$21:$O$33,1), MATCH(E868, F!$P$20:$AB$20,1)),0)  + IFERROR(Y868*INDEX(F!$P$21:$AB$33, MATCH(W868/$AH868, F!$O$21:$O$33,1), MATCH(E868, F!$P$20:$AB$20,1)),0)  + IFERROR( AC868*INDEX(F!$P$21:$AB$33, MATCH(AA868/$AH868, F!$O$21:$O$33,1), MATCH(E868, F!$P$20:$AB$20,1)),)</f>
        <v>0</v>
      </c>
      <c r="AL868" s="59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 ht="15.75" hidden="1" customHeight="1">
      <c r="A869" s="59"/>
      <c r="B869" s="135" t="str">
        <f t="shared" ref="B869:F869" si="1745">IF(B813="","",B813)</f>
        <v/>
      </c>
      <c r="C869" s="136" t="str">
        <f t="shared" si="1745"/>
        <v/>
      </c>
      <c r="D869" s="137" t="str">
        <f t="shared" si="1745"/>
        <v/>
      </c>
      <c r="E869" s="48" t="str">
        <f t="shared" si="1745"/>
        <v/>
      </c>
      <c r="F869" s="138" t="str">
        <f t="shared" si="1745"/>
        <v/>
      </c>
      <c r="G869" s="139" t="str">
        <f t="shared" si="1730"/>
        <v/>
      </c>
      <c r="H869" s="140"/>
      <c r="I869" s="140"/>
      <c r="J869" s="141"/>
      <c r="K869" s="139" t="str">
        <f t="shared" si="1731"/>
        <v/>
      </c>
      <c r="L869" s="140"/>
      <c r="M869" s="140"/>
      <c r="N869" s="141"/>
      <c r="O869" s="139" t="str">
        <f t="shared" si="1732"/>
        <v/>
      </c>
      <c r="P869" s="140"/>
      <c r="Q869" s="140"/>
      <c r="R869" s="141"/>
      <c r="S869" s="139" t="str">
        <f t="shared" si="1733"/>
        <v/>
      </c>
      <c r="T869" s="140"/>
      <c r="U869" s="140"/>
      <c r="V869" s="141"/>
      <c r="W869" s="139" t="str">
        <f t="shared" si="1734"/>
        <v/>
      </c>
      <c r="X869" s="140"/>
      <c r="Y869" s="140"/>
      <c r="Z869" s="141"/>
      <c r="AA869" s="139" t="str">
        <f t="shared" si="1735"/>
        <v/>
      </c>
      <c r="AB869" s="140"/>
      <c r="AC869" s="140"/>
      <c r="AD869" s="141"/>
      <c r="AE869" s="142">
        <f t="shared" si="1736"/>
        <v>0</v>
      </c>
      <c r="AF869" s="143">
        <f t="shared" si="1698"/>
        <v>0</v>
      </c>
      <c r="AG869" s="144">
        <f t="shared" si="1737"/>
        <v>0</v>
      </c>
      <c r="AH869" s="76" t="str">
        <f t="shared" si="1738"/>
        <v/>
      </c>
      <c r="AI869" s="143">
        <f> ( IF(ISNUMBER(G869), VLOOKUP(G869/$AH869,F!$A1:$B101,2,1)*G869*$H869*$I869,0)+IF(ISNUMBER(K869), VLOOKUP(K869/$AH869,F!$A1:$B101,2,1)*K869*$L869*$M869,0)+IF(ISNUMBER(O869), VLOOKUP(O869/$AH869,F!$A1:$B101,2,1)*O869*$P869*$Q869,0)+IF(ISNUMBER(S869), VLOOKUP(S869/$AH869,F!$A1:$B101,2,1)*S869*$T869*$U869,0)+IF(ISNUMBER(W869), VLOOKUP(W869/$AH869,F!$A1:$B101,2,1)*W869*$X869*$Y869,0)+IF(ISNUMBER(AA869), VLOOKUP(AA869/$AH869,F!$A1:$B101,2,1)*AA869*$AB869*$AC869,0))*IF(ISNUMBER(F869),F869,1)*IF(ISNUMBER(E869),E869,1)</f>
        <v>0</v>
      </c>
      <c r="AJ869" s="140">
        <f t="shared" si="1739"/>
        <v>0</v>
      </c>
      <c r="AK869" s="145">
        <f t="array" ref="AK869">IFERROR(I869*INDEX(F!$P$21:$AB$33, MATCH(G869/$AH869, F!$O$21:$O$33,1), MATCH(E869, F!$P$20:$AB$20,1)), 0 ) +IFERROR( M869*INDEX(F!$P$21:$AB$33, MATCH(K869/$AH869, F!$O$21:$O$33,1), MATCH(E869, F!$P$20:$AB$20,1)),0) +  IFERROR( Q869*INDEX(F!$P$21:$AB$33, MATCH(O869/$AH869, F!$O$21:$O$33,1), MATCH(E869, F!$P$20:$AB$20,1)), 0) + IFERROR( U869*INDEX(F!$P$21:$AB$33, MATCH(S869/$AH869, F!$O$21:$O$33,1), MATCH(E869, F!$P$20:$AB$20,1)),0)  + IFERROR(Y869*INDEX(F!$P$21:$AB$33, MATCH(W869/$AH869, F!$O$21:$O$33,1), MATCH(E869, F!$P$20:$AB$20,1)),0)  + IFERROR( AC869*INDEX(F!$P$21:$AB$33, MATCH(AA869/$AH869, F!$O$21:$O$33,1), MATCH(E869, F!$P$20:$AB$20,1)),)</f>
        <v>0</v>
      </c>
      <c r="AL869" s="59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 ht="15.75" hidden="1" customHeight="1">
      <c r="A870" s="98"/>
      <c r="B870" s="188"/>
      <c r="C870" s="189"/>
      <c r="D870" s="190"/>
      <c r="E870" s="102">
        <f>ROUND(IFERROR(SUMPRODUCT(AJ862:AJ869,E862:E869)/AJ870,0),3)</f>
        <v>0</v>
      </c>
      <c r="F870" s="191"/>
      <c r="G870" s="192"/>
      <c r="H870" s="193"/>
      <c r="I870" s="193"/>
      <c r="J870" s="194"/>
      <c r="K870" s="192"/>
      <c r="L870" s="193"/>
      <c r="M870" s="193"/>
      <c r="N870" s="194"/>
      <c r="O870" s="192"/>
      <c r="P870" s="193"/>
      <c r="Q870" s="193"/>
      <c r="R870" s="194"/>
      <c r="S870" s="192"/>
      <c r="T870" s="193"/>
      <c r="U870" s="193"/>
      <c r="V870" s="194"/>
      <c r="W870" s="192"/>
      <c r="X870" s="193"/>
      <c r="Y870" s="193"/>
      <c r="Z870" s="194"/>
      <c r="AA870" s="192"/>
      <c r="AB870" s="193"/>
      <c r="AC870" s="193"/>
      <c r="AD870" s="194"/>
      <c r="AE870" s="107">
        <f>SUM(AE862:AE869)</f>
        <v>0</v>
      </c>
      <c r="AF870" s="108">
        <f t="shared" si="1698"/>
        <v>0</v>
      </c>
      <c r="AG870" s="109">
        <f>IFERROR(  SUMPRODUCT(AG862:AG869,AJ862:AJ869)/AJ870,0)</f>
        <v>0</v>
      </c>
      <c r="AH870" s="157"/>
      <c r="AI870" s="111">
        <f t="shared" ref="AI870:AJ870" si="1746">SUM(AI862:AI869)</f>
        <v>0</v>
      </c>
      <c r="AJ870" s="111">
        <f t="shared" si="1746"/>
        <v>0</v>
      </c>
      <c r="AK870" s="112">
        <f>IF(SUM(AK862:AK869)=0,TIME(,0,),TIME(,SUM(AK862:AK869)+F!$V$37,))</f>
        <v>0</v>
      </c>
      <c r="AL870" s="98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 ht="15.75" hidden="1" customHeight="1">
      <c r="A871" s="25">
        <f>A872</f>
        <v>43890</v>
      </c>
      <c r="B871" s="26" t="str">
        <f t="shared" ref="B871:F871" si="1747">IF(B815="","",B815)</f>
        <v/>
      </c>
      <c r="C871" s="27" t="str">
        <f t="shared" si="1747"/>
        <v/>
      </c>
      <c r="D871" s="28" t="str">
        <f t="shared" si="1747"/>
        <v/>
      </c>
      <c r="E871" s="29" t="str">
        <f t="shared" si="1747"/>
        <v/>
      </c>
      <c r="F871" s="30" t="str">
        <f t="shared" si="1747"/>
        <v/>
      </c>
      <c r="G871" s="31" t="str">
        <f t="shared" ref="G871:G878" si="1749">IF(J871&lt;&gt;0, IFERROR(IF( $F871=2,  MROUND($AH871*J871,1),    IF( OR($F871="",$F871=1),   MROUND($AH871*J871,2.5),  MROUND($AH871*J871, 0.1))), "" ), "")</f>
        <v/>
      </c>
      <c r="H871" s="32"/>
      <c r="I871" s="32"/>
      <c r="J871" s="33"/>
      <c r="K871" s="31" t="str">
        <f t="shared" ref="K871:K878" si="1750">IF(N871&lt;&gt;0, IFERROR(IF( $F871=2,  MROUND($AH871*N871,1),    IF( OR($F871="",$F871=1),   MROUND($AH871*N871,2.5),  MROUND($AH871*N871, 0.1))), "" ), "")</f>
        <v/>
      </c>
      <c r="L871" s="32"/>
      <c r="M871" s="32"/>
      <c r="N871" s="33"/>
      <c r="O871" s="31" t="str">
        <f t="shared" ref="O871:O878" si="1751">IF(R871&lt;&gt;0, IFERROR(IF( $F871=2,  MROUND($AH871*R871,1),    IF( OR($F871="",$F871=1),   MROUND($AH871*R871,2.5),  MROUND($AH871*R871, 0.1))), "" ), "")</f>
        <v/>
      </c>
      <c r="P871" s="32"/>
      <c r="Q871" s="32"/>
      <c r="R871" s="33"/>
      <c r="S871" s="31" t="str">
        <f t="shared" ref="S871:S878" si="1752">IF(V871&lt;&gt;0, IFERROR(IF( $F871=2,  MROUND($AH871*V871,1),    IF( OR($F871="",$F871=1),   MROUND($AH871*V871,2.5),  MROUND($AH871*V871, 0.1))), "" ), "")</f>
        <v/>
      </c>
      <c r="T871" s="32"/>
      <c r="U871" s="32"/>
      <c r="V871" s="33"/>
      <c r="W871" s="31" t="str">
        <f t="shared" ref="W871:W878" si="1753">IF(Z871&lt;&gt;0, IFERROR(IF( $F871=2,  MROUND($AH871*Z871,1),    IF( OR($F871="",$F871=1),   MROUND($AH871*Z871,2.5),  MROUND($AH871*Z871, 0.1))), "" ), "")</f>
        <v/>
      </c>
      <c r="X871" s="32"/>
      <c r="Y871" s="32"/>
      <c r="Z871" s="33"/>
      <c r="AA871" s="31" t="str">
        <f t="shared" ref="AA871:AA878" si="1754">IF(AD871&lt;&gt;0, IFERROR(IF( $F871=2,  MROUND($AH871*AD871,1),    IF( OR($F871="",$F871=1),   MROUND($AH871*AD871,2.5),  MROUND($AH871*AD871, 0.1))), "" ), "")</f>
        <v/>
      </c>
      <c r="AB871" s="32"/>
      <c r="AC871" s="32"/>
      <c r="AD871" s="33"/>
      <c r="AE871" s="35">
        <f t="shared" ref="AE871:AE878" si="1755">(IF(ISNUMBER(G871),G871,0)*H871*I871+IF(ISNUMBER(K871),K871,1)*L871*M871+IF(ISNUMBER(O871),O871,1)*P871*Q871+IF(ISNUMBER(S871),S871,1)*T871*U871+IF(ISNUMBER(W871),W871,1)*X871*Y871+IF(ISNUMBER(AA871),AA871,1)*AB871*AC871)*IF(ISNUMBER(F871),F871,1)</f>
        <v>0</v>
      </c>
      <c r="AF871" s="36">
        <f t="shared" si="1698"/>
        <v>0</v>
      </c>
      <c r="AG871" s="195">
        <f t="shared" ref="AG871:AG878" si="1756">IFERROR((AF871/(AH871*IF(ISNUMBER(F871),F871,1))),0)</f>
        <v>0</v>
      </c>
      <c r="AH871" s="169" t="str">
        <f t="shared" ref="AH871:AH878" si="1757">IF(ISNUMBER(AH815), AH815+(AH815*$AH$842),"")</f>
        <v/>
      </c>
      <c r="AI871" s="196">
        <f> ( IF(ISNUMBER(G871), VLOOKUP(G871/$AH871,F!$A1:$B101,2,1)*G871*$H871*$I871,0)+IF(ISNUMBER(K871), VLOOKUP(K871/$AH871,F!$A1:$B101,2,1)*K871*$L871*$M871,0)+IF(ISNUMBER(O871), VLOOKUP(O871/$AH871,F!$A1:$B101,2,1)*O871*$P871*$Q871,0)+IF(ISNUMBER(S871), VLOOKUP(S871/$AH871,F!$A1:$B101,2,1)*S871*$T871*$U871,0)+IF(ISNUMBER(W871), VLOOKUP(W871/$AH871,F!$A1:$B101,2,1)*W871*$X871*$Y871,0)+IF(ISNUMBER(AA871), VLOOKUP(AA871/$AH871,F!$A1:$B101,2,1)*AA871*$AB871*$AC871,0))*IF(ISNUMBER(F871),F871,1)*IF(ISNUMBER(E871),E871,1)</f>
        <v>0</v>
      </c>
      <c r="AJ871" s="40">
        <f t="shared" ref="AJ871:AJ878" si="1758">H871*I871+L871*M871+P871*Q871+T871*U871+X871*Y871+AB871*AC871</f>
        <v>0</v>
      </c>
      <c r="AK871" s="41">
        <f t="array" ref="AK871">IFERROR(I871*INDEX(F!$P$21:$AB$33, MATCH(G871/$AH871, F!$O$21:$O$33,1), MATCH(E871, F!$P$20:$AB$20,1)), 0 ) +IFERROR( M871*INDEX(F!$P$21:$AB$33, MATCH(K871/$AH871, F!$O$21:$O$33,1), MATCH(E871, F!$P$20:$AB$20,1)),0) +  IFERROR( Q871*INDEX(F!$P$21:$AB$33, MATCH(O871/$AH871, F!$O$21:$O$33,1), MATCH(E871, F!$P$20:$AB$20,1)), 0) + IFERROR( U871*INDEX(F!$P$21:$AB$33, MATCH(S871/$AH871, F!$O$21:$O$33,1), MATCH(E871, F!$P$20:$AB$20,1)),0)  + IFERROR(Y871*INDEX(F!$P$21:$AB$33, MATCH(W871/$AH871, F!$O$21:$O$33,1), MATCH(E871, F!$P$20:$AB$20,1)),0)  + IFERROR( AC871*INDEX(F!$P$21:$AB$33, MATCH(AA871/$AH871, F!$O$21:$O$33,1), MATCH(E871, F!$P$20:$AB$20,1)),)</f>
        <v>0</v>
      </c>
      <c r="AL871" s="42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 ht="15.75" hidden="1" customHeight="1">
      <c r="A872" s="44">
        <f>A816+A786</f>
        <v>43890</v>
      </c>
      <c r="B872" s="45" t="str">
        <f t="shared" ref="B872:F872" si="1748">IF(B816="","",B816)</f>
        <v/>
      </c>
      <c r="C872" s="46" t="str">
        <f t="shared" si="1748"/>
        <v/>
      </c>
      <c r="D872" s="47" t="str">
        <f t="shared" si="1748"/>
        <v/>
      </c>
      <c r="E872" s="48" t="str">
        <f t="shared" si="1748"/>
        <v/>
      </c>
      <c r="F872" s="49" t="str">
        <f t="shared" si="1748"/>
        <v/>
      </c>
      <c r="G872" s="50" t="str">
        <f t="shared" si="1749"/>
        <v/>
      </c>
      <c r="H872" s="51"/>
      <c r="I872" s="51"/>
      <c r="J872" s="52"/>
      <c r="K872" s="50" t="str">
        <f t="shared" si="1750"/>
        <v/>
      </c>
      <c r="L872" s="51"/>
      <c r="M872" s="51"/>
      <c r="N872" s="52"/>
      <c r="O872" s="50" t="str">
        <f t="shared" si="1751"/>
        <v/>
      </c>
      <c r="P872" s="51"/>
      <c r="Q872" s="51"/>
      <c r="R872" s="52"/>
      <c r="S872" s="50" t="str">
        <f t="shared" si="1752"/>
        <v/>
      </c>
      <c r="T872" s="51"/>
      <c r="U872" s="51"/>
      <c r="V872" s="52"/>
      <c r="W872" s="50" t="str">
        <f t="shared" si="1753"/>
        <v/>
      </c>
      <c r="X872" s="51"/>
      <c r="Y872" s="51"/>
      <c r="Z872" s="52"/>
      <c r="AA872" s="50" t="str">
        <f t="shared" si="1754"/>
        <v/>
      </c>
      <c r="AB872" s="51"/>
      <c r="AC872" s="51"/>
      <c r="AD872" s="52"/>
      <c r="AE872" s="53">
        <f t="shared" si="1755"/>
        <v>0</v>
      </c>
      <c r="AF872" s="54">
        <f t="shared" si="1698"/>
        <v>0</v>
      </c>
      <c r="AG872" s="75">
        <f t="shared" si="1756"/>
        <v>0</v>
      </c>
      <c r="AH872" s="76" t="str">
        <f t="shared" si="1757"/>
        <v/>
      </c>
      <c r="AI872" s="77">
        <f> ( IF(ISNUMBER(G872), VLOOKUP(G872/$AH872,F!$A1:$B101,2,1)*G872*$H872*$I872,0)+IF(ISNUMBER(K872), VLOOKUP(K872/$AH872,F!$A1:$B101,2,1)*K872*$L872*$M872,0)+IF(ISNUMBER(O872), VLOOKUP(O872/$AH872,F!$A1:$B101,2,1)*O872*$P872*$Q872,0)+IF(ISNUMBER(S872), VLOOKUP(S872/$AH872,F!$A1:$B101,2,1)*S872*$T872*$U872,0)+IF(ISNUMBER(W872), VLOOKUP(W872/$AH872,F!$A1:$B101,2,1)*W872*$X872*$Y872,0)+IF(ISNUMBER(AA872), VLOOKUP(AA872/$AH872,F!$A1:$B101,2,1)*AA872*$AB872*$AC872,0))*IF(ISNUMBER(F872),F872,1)*IF(ISNUMBER(E872),E872,1)</f>
        <v>0</v>
      </c>
      <c r="AJ872" s="57">
        <f t="shared" si="1758"/>
        <v>0</v>
      </c>
      <c r="AK872" s="58">
        <f t="array" ref="AK872">IFERROR(I872*INDEX(F!$P$21:$AB$33, MATCH(G872/$AH872, F!$O$21:$O$33,1), MATCH(E872, F!$P$20:$AB$20,1)), 0 ) +IFERROR( M872*INDEX(F!$P$21:$AB$33, MATCH(K872/$AH872, F!$O$21:$O$33,1), MATCH(E872, F!$P$20:$AB$20,1)),0) +  IFERROR( Q872*INDEX(F!$P$21:$AB$33, MATCH(O872/$AH872, F!$O$21:$O$33,1), MATCH(E872, F!$P$20:$AB$20,1)), 0) + IFERROR( U872*INDEX(F!$P$21:$AB$33, MATCH(S872/$AH872, F!$O$21:$O$33,1), MATCH(E872, F!$P$20:$AB$20,1)),0)  + IFERROR(Y872*INDEX(F!$P$21:$AB$33, MATCH(W872/$AH872, F!$O$21:$O$33,1), MATCH(E872, F!$P$20:$AB$20,1)),0)  + IFERROR( AC872*INDEX(F!$P$21:$AB$33, MATCH(AA872/$AH872, F!$O$21:$O$33,1), MATCH(E872, F!$P$20:$AB$20,1)),)</f>
        <v>0</v>
      </c>
      <c r="AL872" s="59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 ht="15.75" hidden="1" customHeight="1">
      <c r="A873" s="59"/>
      <c r="B873" s="60" t="str">
        <f t="shared" ref="B873:F873" si="1759">IF(B817="","",B817)</f>
        <v/>
      </c>
      <c r="C873" s="61" t="str">
        <f t="shared" si="1759"/>
        <v/>
      </c>
      <c r="D873" s="62" t="str">
        <f t="shared" si="1759"/>
        <v/>
      </c>
      <c r="E873" s="48" t="str">
        <f t="shared" si="1759"/>
        <v/>
      </c>
      <c r="F873" s="63" t="str">
        <f t="shared" si="1759"/>
        <v/>
      </c>
      <c r="G873" s="64" t="str">
        <f t="shared" si="1749"/>
        <v/>
      </c>
      <c r="H873" s="34"/>
      <c r="I873" s="34"/>
      <c r="J873" s="65"/>
      <c r="K873" s="64" t="str">
        <f t="shared" si="1750"/>
        <v/>
      </c>
      <c r="L873" s="34"/>
      <c r="M873" s="34"/>
      <c r="N873" s="65"/>
      <c r="O873" s="64" t="str">
        <f t="shared" si="1751"/>
        <v/>
      </c>
      <c r="P873" s="34"/>
      <c r="Q873" s="34"/>
      <c r="R873" s="65"/>
      <c r="S873" s="64" t="str">
        <f t="shared" si="1752"/>
        <v/>
      </c>
      <c r="T873" s="34"/>
      <c r="U873" s="34"/>
      <c r="V873" s="65"/>
      <c r="W873" s="64" t="str">
        <f t="shared" si="1753"/>
        <v/>
      </c>
      <c r="X873" s="34"/>
      <c r="Y873" s="34"/>
      <c r="Z873" s="65"/>
      <c r="AA873" s="64" t="str">
        <f t="shared" si="1754"/>
        <v/>
      </c>
      <c r="AB873" s="34"/>
      <c r="AC873" s="34"/>
      <c r="AD873" s="65"/>
      <c r="AE873" s="66">
        <f t="shared" si="1755"/>
        <v>0</v>
      </c>
      <c r="AF873" s="67">
        <f t="shared" si="1698"/>
        <v>0</v>
      </c>
      <c r="AG873" s="68">
        <f t="shared" si="1756"/>
        <v>0</v>
      </c>
      <c r="AH873" s="76" t="str">
        <f t="shared" si="1757"/>
        <v/>
      </c>
      <c r="AI873" s="70">
        <f> ( IF(ISNUMBER(G873), VLOOKUP(G873/$AH873,F!$A1:$B101,2,1)*G873*$H873*$I873,0)+IF(ISNUMBER(K873), VLOOKUP(K873/$AH873,F!$A1:$B101,2,1)*K873*$L873*$M873,0)+IF(ISNUMBER(O873), VLOOKUP(O873/$AH873,F!$A1:$B101,2,1)*O873*$P873*$Q873,0)+IF(ISNUMBER(S873), VLOOKUP(S873/$AH873,F!$A1:$B101,2,1)*S873*$T873*$U873,0)+IF(ISNUMBER(W873), VLOOKUP(W873/$AH873,F!$A1:$B101,2,1)*W873*$X873*$Y873,0)+IF(ISNUMBER(AA873), VLOOKUP(AA873/$AH873,F!$A1:$B101,2,1)*AA873*$AB873*$AC873,0))*IF(ISNUMBER(F873),F873,1)*IF(ISNUMBER(E873),E873,1)</f>
        <v>0</v>
      </c>
      <c r="AJ873" s="71">
        <f t="shared" si="1758"/>
        <v>0</v>
      </c>
      <c r="AK873" s="72">
        <f t="array" ref="AK873">IFERROR(I873*INDEX(F!$P$21:$AB$33, MATCH(G873/$AH873, F!$O$21:$O$33,1), MATCH(E873, F!$P$20:$AB$20,1)), 0 ) +IFERROR( M873*INDEX(F!$P$21:$AB$33, MATCH(K873/$AH873, F!$O$21:$O$33,1), MATCH(E873, F!$P$20:$AB$20,1)),0) +  IFERROR( Q873*INDEX(F!$P$21:$AB$33, MATCH(O873/$AH873, F!$O$21:$O$33,1), MATCH(E873, F!$P$20:$AB$20,1)), 0) + IFERROR( U873*INDEX(F!$P$21:$AB$33, MATCH(S873/$AH873, F!$O$21:$O$33,1), MATCH(E873, F!$P$20:$AB$20,1)),0)  + IFERROR(Y873*INDEX(F!$P$21:$AB$33, MATCH(W873/$AH873, F!$O$21:$O$33,1), MATCH(E873, F!$P$20:$AB$20,1)),0)  + IFERROR( AC873*INDEX(F!$P$21:$AB$33, MATCH(AA873/$AH873, F!$O$21:$O$33,1), MATCH(E873, F!$P$20:$AB$20,1)),)</f>
        <v>0</v>
      </c>
      <c r="AL873" s="59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 ht="15.75" hidden="1" customHeight="1">
      <c r="A874" s="59"/>
      <c r="B874" s="215" t="str">
        <f t="shared" ref="B874:F874" si="1760">IF(B818="","",B818)</f>
        <v/>
      </c>
      <c r="C874" s="73" t="str">
        <f t="shared" si="1760"/>
        <v/>
      </c>
      <c r="D874" s="47" t="str">
        <f t="shared" si="1760"/>
        <v/>
      </c>
      <c r="E874" s="48" t="str">
        <f t="shared" si="1760"/>
        <v/>
      </c>
      <c r="F874" s="74" t="str">
        <f t="shared" si="1760"/>
        <v/>
      </c>
      <c r="G874" s="50" t="str">
        <f t="shared" si="1749"/>
        <v/>
      </c>
      <c r="H874" s="51"/>
      <c r="I874" s="51"/>
      <c r="J874" s="52"/>
      <c r="K874" s="50" t="str">
        <f t="shared" si="1750"/>
        <v/>
      </c>
      <c r="L874" s="51"/>
      <c r="M874" s="51"/>
      <c r="N874" s="52"/>
      <c r="O874" s="50" t="str">
        <f t="shared" si="1751"/>
        <v/>
      </c>
      <c r="P874" s="51"/>
      <c r="Q874" s="51"/>
      <c r="R874" s="52"/>
      <c r="S874" s="50" t="str">
        <f t="shared" si="1752"/>
        <v/>
      </c>
      <c r="T874" s="51"/>
      <c r="U874" s="51"/>
      <c r="V874" s="52"/>
      <c r="W874" s="50" t="str">
        <f t="shared" si="1753"/>
        <v/>
      </c>
      <c r="X874" s="51"/>
      <c r="Y874" s="51"/>
      <c r="Z874" s="52"/>
      <c r="AA874" s="50" t="str">
        <f t="shared" si="1754"/>
        <v/>
      </c>
      <c r="AB874" s="51"/>
      <c r="AC874" s="51"/>
      <c r="AD874" s="52"/>
      <c r="AE874" s="53">
        <f t="shared" si="1755"/>
        <v>0</v>
      </c>
      <c r="AF874" s="54">
        <f t="shared" si="1698"/>
        <v>0</v>
      </c>
      <c r="AG874" s="75">
        <f t="shared" si="1756"/>
        <v>0</v>
      </c>
      <c r="AH874" s="76" t="str">
        <f t="shared" si="1757"/>
        <v/>
      </c>
      <c r="AI874" s="77">
        <f> ( IF(ISNUMBER(G874), VLOOKUP(G874/$AH874,F!$A1:$B101,2,1)*G874*$H874*$I874,0)+IF(ISNUMBER(K874), VLOOKUP(K874/$AH874,F!$A1:$B101,2,1)*K874*$L874*$M874,0)+IF(ISNUMBER(O874), VLOOKUP(O874/$AH874,F!$A1:$B101,2,1)*O874*$P874*$Q874,0)+IF(ISNUMBER(S874), VLOOKUP(S874/$AH874,F!$A1:$B101,2,1)*S874*$T874*$U874,0)+IF(ISNUMBER(W874), VLOOKUP(W874/$AH874,F!$A1:$B101,2,1)*W874*$X874*$Y874,0)+IF(ISNUMBER(AA874), VLOOKUP(AA874/$AH874,F!$A1:$B101,2,1)*AA874*$AB874*$AC874,0))*IF(ISNUMBER(F874),F874,1)*IF(ISNUMBER(E874),E874,1)</f>
        <v>0</v>
      </c>
      <c r="AJ874" s="57">
        <f t="shared" si="1758"/>
        <v>0</v>
      </c>
      <c r="AK874" s="58">
        <f t="array" ref="AK874">IFERROR(I874*INDEX(F!$P$21:$AB$33, MATCH(G874/$AH874, F!$O$21:$O$33,1), MATCH(E874, F!$P$20:$AB$20,1)), 0 ) +IFERROR( M874*INDEX(F!$P$21:$AB$33, MATCH(K874/$AH874, F!$O$21:$O$33,1), MATCH(E874, F!$P$20:$AB$20,1)),0) +  IFERROR( Q874*INDEX(F!$P$21:$AB$33, MATCH(O874/$AH874, F!$O$21:$O$33,1), MATCH(E874, F!$P$20:$AB$20,1)), 0) + IFERROR( U874*INDEX(F!$P$21:$AB$33, MATCH(S874/$AH874, F!$O$21:$O$33,1), MATCH(E874, F!$P$20:$AB$20,1)),0)  + IFERROR(Y874*INDEX(F!$P$21:$AB$33, MATCH(W874/$AH874, F!$O$21:$O$33,1), MATCH(E874, F!$P$20:$AB$20,1)),0)  + IFERROR( AC874*INDEX(F!$P$21:$AB$33, MATCH(AA874/$AH874, F!$O$21:$O$33,1), MATCH(E874, F!$P$20:$AB$20,1)),)</f>
        <v>0</v>
      </c>
      <c r="AL874" s="59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 ht="15.75" hidden="1" customHeight="1">
      <c r="A875" s="59"/>
      <c r="B875" s="216" t="str">
        <f t="shared" ref="B875:F875" si="1761">IF(B819="","",B819)</f>
        <v/>
      </c>
      <c r="C875" s="78" t="str">
        <f t="shared" si="1761"/>
        <v/>
      </c>
      <c r="D875" s="62" t="str">
        <f t="shared" si="1761"/>
        <v/>
      </c>
      <c r="E875" s="48" t="str">
        <f t="shared" si="1761"/>
        <v/>
      </c>
      <c r="F875" s="79" t="str">
        <f t="shared" si="1761"/>
        <v/>
      </c>
      <c r="G875" s="64" t="str">
        <f t="shared" si="1749"/>
        <v/>
      </c>
      <c r="H875" s="34"/>
      <c r="I875" s="34"/>
      <c r="J875" s="65"/>
      <c r="K875" s="64" t="str">
        <f t="shared" si="1750"/>
        <v/>
      </c>
      <c r="L875" s="34"/>
      <c r="M875" s="34"/>
      <c r="N875" s="65"/>
      <c r="O875" s="64" t="str">
        <f t="shared" si="1751"/>
        <v/>
      </c>
      <c r="P875" s="34"/>
      <c r="Q875" s="34"/>
      <c r="R875" s="65"/>
      <c r="S875" s="64" t="str">
        <f t="shared" si="1752"/>
        <v/>
      </c>
      <c r="T875" s="34"/>
      <c r="U875" s="34"/>
      <c r="V875" s="65"/>
      <c r="W875" s="64" t="str">
        <f t="shared" si="1753"/>
        <v/>
      </c>
      <c r="X875" s="34"/>
      <c r="Y875" s="34"/>
      <c r="Z875" s="65"/>
      <c r="AA875" s="64" t="str">
        <f t="shared" si="1754"/>
        <v/>
      </c>
      <c r="AB875" s="34"/>
      <c r="AC875" s="34"/>
      <c r="AD875" s="65"/>
      <c r="AE875" s="66">
        <f t="shared" si="1755"/>
        <v>0</v>
      </c>
      <c r="AF875" s="67">
        <f t="shared" si="1698"/>
        <v>0</v>
      </c>
      <c r="AG875" s="68">
        <f t="shared" si="1756"/>
        <v>0</v>
      </c>
      <c r="AH875" s="76" t="str">
        <f t="shared" si="1757"/>
        <v/>
      </c>
      <c r="AI875" s="70">
        <f> ( IF(ISNUMBER(G875), VLOOKUP(G875/$AH875,F!$A1:$B101,2,1)*G875*$H875*$I875,0)+IF(ISNUMBER(K875), VLOOKUP(K875/$AH875,F!$A1:$B101,2,1)*K875*$L875*$M875,0)+IF(ISNUMBER(O875), VLOOKUP(O875/$AH875,F!$A1:$B101,2,1)*O875*$P875*$Q875,0)+IF(ISNUMBER(S875), VLOOKUP(S875/$AH875,F!$A1:$B101,2,1)*S875*$T875*$U875,0)+IF(ISNUMBER(W875), VLOOKUP(W875/$AH875,F!$A1:$B101,2,1)*W875*$X875*$Y875,0)+IF(ISNUMBER(AA875), VLOOKUP(AA875/$AH875,F!$A1:$B101,2,1)*AA875*$AB875*$AC875,0))*IF(ISNUMBER(F875),F875,1)*IF(ISNUMBER(E875),E875,1)</f>
        <v>0</v>
      </c>
      <c r="AJ875" s="71">
        <f t="shared" si="1758"/>
        <v>0</v>
      </c>
      <c r="AK875" s="72">
        <f t="array" ref="AK875">IFERROR(I875*INDEX(F!$P$21:$AB$33, MATCH(G875/$AH875, F!$O$21:$O$33,1), MATCH(E875, F!$P$20:$AB$20,1)), 0 ) +IFERROR( M875*INDEX(F!$P$21:$AB$33, MATCH(K875/$AH875, F!$O$21:$O$33,1), MATCH(E875, F!$P$20:$AB$20,1)),0) +  IFERROR( Q875*INDEX(F!$P$21:$AB$33, MATCH(O875/$AH875, F!$O$21:$O$33,1), MATCH(E875, F!$P$20:$AB$20,1)), 0) + IFERROR( U875*INDEX(F!$P$21:$AB$33, MATCH(S875/$AH875, F!$O$21:$O$33,1), MATCH(E875, F!$P$20:$AB$20,1)),0)  + IFERROR(Y875*INDEX(F!$P$21:$AB$33, MATCH(W875/$AH875, F!$O$21:$O$33,1), MATCH(E875, F!$P$20:$AB$20,1)),0)  + IFERROR( AC875*INDEX(F!$P$21:$AB$33, MATCH(AA875/$AH875, F!$O$21:$O$33,1), MATCH(E875, F!$P$20:$AB$20,1)),)</f>
        <v>0</v>
      </c>
      <c r="AL875" s="59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 ht="15.75" hidden="1" customHeight="1">
      <c r="A876" s="59"/>
      <c r="B876" s="45" t="str">
        <f t="shared" ref="B876:F876" si="1762">IF(B820="","",B820)</f>
        <v/>
      </c>
      <c r="C876" s="46" t="str">
        <f t="shared" si="1762"/>
        <v/>
      </c>
      <c r="D876" s="197" t="str">
        <f t="shared" si="1762"/>
        <v/>
      </c>
      <c r="E876" s="48" t="str">
        <f t="shared" si="1762"/>
        <v/>
      </c>
      <c r="F876" s="83" t="str">
        <f t="shared" si="1762"/>
        <v/>
      </c>
      <c r="G876" s="50" t="str">
        <f t="shared" si="1749"/>
        <v/>
      </c>
      <c r="H876" s="51"/>
      <c r="I876" s="51"/>
      <c r="J876" s="52"/>
      <c r="K876" s="50" t="str">
        <f t="shared" si="1750"/>
        <v/>
      </c>
      <c r="L876" s="51"/>
      <c r="M876" s="51"/>
      <c r="N876" s="52"/>
      <c r="O876" s="50" t="str">
        <f t="shared" si="1751"/>
        <v/>
      </c>
      <c r="P876" s="51"/>
      <c r="Q876" s="51"/>
      <c r="R876" s="52"/>
      <c r="S876" s="50" t="str">
        <f t="shared" si="1752"/>
        <v/>
      </c>
      <c r="T876" s="51"/>
      <c r="U876" s="51"/>
      <c r="V876" s="52"/>
      <c r="W876" s="50" t="str">
        <f t="shared" si="1753"/>
        <v/>
      </c>
      <c r="X876" s="51"/>
      <c r="Y876" s="51"/>
      <c r="Z876" s="52"/>
      <c r="AA876" s="50" t="str">
        <f t="shared" si="1754"/>
        <v/>
      </c>
      <c r="AB876" s="51"/>
      <c r="AC876" s="51"/>
      <c r="AD876" s="52"/>
      <c r="AE876" s="53">
        <f t="shared" si="1755"/>
        <v>0</v>
      </c>
      <c r="AF876" s="54">
        <f t="shared" si="1698"/>
        <v>0</v>
      </c>
      <c r="AG876" s="75">
        <f t="shared" si="1756"/>
        <v>0</v>
      </c>
      <c r="AH876" s="76" t="str">
        <f t="shared" si="1757"/>
        <v/>
      </c>
      <c r="AI876" s="77">
        <f> ( IF(ISNUMBER(G876), VLOOKUP(G876/$AH876,F!$A1:$B101,2,1)*G876*$H876*$I876,0)+IF(ISNUMBER(K876), VLOOKUP(K876/$AH876,F!$A1:$B101,2,1)*K876*$L876*$M876,0)+IF(ISNUMBER(O876), VLOOKUP(O876/$AH876,F!$A1:$B101,2,1)*O876*$P876*$Q876,0)+IF(ISNUMBER(S876), VLOOKUP(S876/$AH876,F!$A1:$B101,2,1)*S876*$T876*$U876,0)+IF(ISNUMBER(W876), VLOOKUP(W876/$AH876,F!$A1:$B101,2,1)*W876*$X876*$Y876,0)+IF(ISNUMBER(AA876), VLOOKUP(AA876/$AH876,F!$A1:$B101,2,1)*AA876*$AB876*$AC876,0))*IF(ISNUMBER(F876),F876,1)*IF(ISNUMBER(E876),E876,1)</f>
        <v>0</v>
      </c>
      <c r="AJ876" s="86">
        <f t="shared" si="1758"/>
        <v>0</v>
      </c>
      <c r="AK876" s="58">
        <f t="array" ref="AK876">IFERROR(I876*INDEX(F!$P$21:$AB$33, MATCH(G876/$AH876, F!$O$21:$O$33,1), MATCH(E876, F!$P$20:$AB$20,1)), 0 ) +IFERROR( M876*INDEX(F!$P$21:$AB$33, MATCH(K876/$AH876, F!$O$21:$O$33,1), MATCH(E876, F!$P$20:$AB$20,1)),0) +  IFERROR( Q876*INDEX(F!$P$21:$AB$33, MATCH(O876/$AH876, F!$O$21:$O$33,1), MATCH(E876, F!$P$20:$AB$20,1)), 0) + IFERROR( U876*INDEX(F!$P$21:$AB$33, MATCH(S876/$AH876, F!$O$21:$O$33,1), MATCH(E876, F!$P$20:$AB$20,1)),0)  + IFERROR(Y876*INDEX(F!$P$21:$AB$33, MATCH(W876/$AH876, F!$O$21:$O$33,1), MATCH(E876, F!$P$20:$AB$20,1)),0)  + IFERROR( AC876*INDEX(F!$P$21:$AB$33, MATCH(AA876/$AH876, F!$O$21:$O$33,1), MATCH(E876, F!$P$20:$AB$20,1)),)</f>
        <v>0</v>
      </c>
      <c r="AL876" s="59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 ht="15.75" hidden="1" customHeight="1">
      <c r="A877" s="59"/>
      <c r="B877" s="60" t="str">
        <f t="shared" ref="B877:F877" si="1763">IF(B821="","",B821)</f>
        <v/>
      </c>
      <c r="C877" s="61" t="str">
        <f t="shared" si="1763"/>
        <v/>
      </c>
      <c r="D877" s="198" t="str">
        <f t="shared" si="1763"/>
        <v/>
      </c>
      <c r="E877" s="48" t="str">
        <f t="shared" si="1763"/>
        <v/>
      </c>
      <c r="F877" s="79" t="str">
        <f t="shared" si="1763"/>
        <v/>
      </c>
      <c r="G877" s="64" t="str">
        <f t="shared" si="1749"/>
        <v/>
      </c>
      <c r="H877" s="34"/>
      <c r="I877" s="34"/>
      <c r="J877" s="65"/>
      <c r="K877" s="64" t="str">
        <f t="shared" si="1750"/>
        <v/>
      </c>
      <c r="L877" s="34"/>
      <c r="M877" s="34"/>
      <c r="N877" s="65"/>
      <c r="O877" s="64" t="str">
        <f t="shared" si="1751"/>
        <v/>
      </c>
      <c r="P877" s="34"/>
      <c r="Q877" s="34"/>
      <c r="R877" s="65"/>
      <c r="S877" s="64" t="str">
        <f t="shared" si="1752"/>
        <v/>
      </c>
      <c r="T877" s="34"/>
      <c r="U877" s="34"/>
      <c r="V877" s="65"/>
      <c r="W877" s="64" t="str">
        <f t="shared" si="1753"/>
        <v/>
      </c>
      <c r="X877" s="34"/>
      <c r="Y877" s="34"/>
      <c r="Z877" s="65"/>
      <c r="AA877" s="64" t="str">
        <f t="shared" si="1754"/>
        <v/>
      </c>
      <c r="AB877" s="34"/>
      <c r="AC877" s="34"/>
      <c r="AD877" s="65"/>
      <c r="AE877" s="66">
        <f t="shared" si="1755"/>
        <v>0</v>
      </c>
      <c r="AF877" s="67">
        <f t="shared" si="1698"/>
        <v>0</v>
      </c>
      <c r="AG877" s="68">
        <f t="shared" si="1756"/>
        <v>0</v>
      </c>
      <c r="AH877" s="76" t="str">
        <f t="shared" si="1757"/>
        <v/>
      </c>
      <c r="AI877" s="90">
        <f> ( IF(ISNUMBER(G877), VLOOKUP(G877/$AH877,F!$A1:$B101,2,1)*G877*$H877*$I877,0)+IF(ISNUMBER(K877), VLOOKUP(K877/$AH877,F!$A1:$B101,2,1)*K877*$L877*$M877,0)+IF(ISNUMBER(O877), VLOOKUP(O877/$AH877,F!$A1:$B101,2,1)*O877*$P877*$Q877,0)+IF(ISNUMBER(S877), VLOOKUP(S877/$AH877,F!$A1:$B101,2,1)*S877*$T877*$U877,0)+IF(ISNUMBER(W877), VLOOKUP(W877/$AH877,F!$A1:$B101,2,1)*W877*$X877*$Y877,0)+IF(ISNUMBER(AA877), VLOOKUP(AA877/$AH877,F!$A1:$B101,2,1)*AA877*$AB877*$AC877,0))*IF(ISNUMBER(F877),F877,1)*IF(ISNUMBER(E877),E877,1)</f>
        <v>0</v>
      </c>
      <c r="AJ877" s="34">
        <f t="shared" si="1758"/>
        <v>0</v>
      </c>
      <c r="AK877" s="91">
        <f t="array" ref="AK877">IFERROR(I877*INDEX(F!$P$21:$AB$33, MATCH(G877/$AH877, F!$O$21:$O$33,1), MATCH(E877, F!$P$20:$AB$20,1)), 0 ) +IFERROR( M877*INDEX(F!$P$21:$AB$33, MATCH(K877/$AH877, F!$O$21:$O$33,1), MATCH(E877, F!$P$20:$AB$20,1)),0) +  IFERROR( Q877*INDEX(F!$P$21:$AB$33, MATCH(O877/$AH877, F!$O$21:$O$33,1), MATCH(E877, F!$P$20:$AB$20,1)), 0) + IFERROR( U877*INDEX(F!$P$21:$AB$33, MATCH(S877/$AH877, F!$O$21:$O$33,1), MATCH(E877, F!$P$20:$AB$20,1)),0)  + IFERROR(Y877*INDEX(F!$P$21:$AB$33, MATCH(W877/$AH877, F!$O$21:$O$33,1), MATCH(E877, F!$P$20:$AB$20,1)),0)  + IFERROR( AC877*INDEX(F!$P$21:$AB$33, MATCH(AA877/$AH877, F!$O$21:$O$33,1), MATCH(E877, F!$P$20:$AB$20,1)),)</f>
        <v>0</v>
      </c>
      <c r="AL877" s="59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 ht="15.75" hidden="1" customHeight="1">
      <c r="A878" s="59"/>
      <c r="B878" s="45" t="str">
        <f t="shared" ref="B878:F878" si="1764">IF(B822="","",B822)</f>
        <v/>
      </c>
      <c r="C878" s="46" t="str">
        <f t="shared" si="1764"/>
        <v/>
      </c>
      <c r="D878" s="92" t="str">
        <f t="shared" si="1764"/>
        <v/>
      </c>
      <c r="E878" s="48" t="str">
        <f t="shared" si="1764"/>
        <v/>
      </c>
      <c r="F878" s="74" t="str">
        <f t="shared" si="1764"/>
        <v/>
      </c>
      <c r="G878" s="50" t="str">
        <f t="shared" si="1749"/>
        <v/>
      </c>
      <c r="H878" s="51"/>
      <c r="I878" s="51"/>
      <c r="J878" s="52"/>
      <c r="K878" s="50" t="str">
        <f t="shared" si="1750"/>
        <v/>
      </c>
      <c r="L878" s="51"/>
      <c r="M878" s="51"/>
      <c r="N878" s="52"/>
      <c r="O878" s="50" t="str">
        <f t="shared" si="1751"/>
        <v/>
      </c>
      <c r="P878" s="51"/>
      <c r="Q878" s="51"/>
      <c r="R878" s="52"/>
      <c r="S878" s="50" t="str">
        <f t="shared" si="1752"/>
        <v/>
      </c>
      <c r="T878" s="51"/>
      <c r="U878" s="51"/>
      <c r="V878" s="52"/>
      <c r="W878" s="50" t="str">
        <f t="shared" si="1753"/>
        <v/>
      </c>
      <c r="X878" s="51"/>
      <c r="Y878" s="51"/>
      <c r="Z878" s="52"/>
      <c r="AA878" s="50" t="str">
        <f t="shared" si="1754"/>
        <v/>
      </c>
      <c r="AB878" s="51"/>
      <c r="AC878" s="51"/>
      <c r="AD878" s="52"/>
      <c r="AE878" s="53">
        <f t="shared" si="1755"/>
        <v>0</v>
      </c>
      <c r="AF878" s="93">
        <f t="shared" si="1698"/>
        <v>0</v>
      </c>
      <c r="AG878" s="94">
        <f t="shared" si="1756"/>
        <v>0</v>
      </c>
      <c r="AH878" s="76" t="str">
        <f t="shared" si="1757"/>
        <v/>
      </c>
      <c r="AI878" s="95">
        <f> ( IF(ISNUMBER(G878), VLOOKUP(G878/$AH878,F!$A1:$B101,2,1)*G878*$H878*$I878,0)+IF(ISNUMBER(K878), VLOOKUP(K878/$AH878,F!$A1:$B101,2,1)*K878*$L878*$M878,0)+IF(ISNUMBER(O878), VLOOKUP(O878/$AH878,F!$A1:$B101,2,1)*O878*$P878*$Q878,0)+IF(ISNUMBER(S878), VLOOKUP(S878/$AH878,F!$A1:$B101,2,1)*S878*$T878*$U878,0)+IF(ISNUMBER(W878), VLOOKUP(W878/$AH878,F!$A1:$B101,2,1)*W878*$X878*$Y878,0)+IF(ISNUMBER(AA878), VLOOKUP(AA878/$AH878,F!$A1:$B101,2,1)*AA878*$AB878*$AC878,0))*IF(ISNUMBER(F878),F878,1)*IF(ISNUMBER(E878),E878,1)</f>
        <v>0</v>
      </c>
      <c r="AJ878" s="96">
        <f t="shared" si="1758"/>
        <v>0</v>
      </c>
      <c r="AK878" s="97">
        <f t="array" ref="AK878">IFERROR(I878*INDEX(F!$P$21:$AB$33, MATCH(G878/$AH878, F!$O$21:$O$33,1), MATCH(E878, F!$P$20:$AB$20,1)), 0 ) +IFERROR( M878*INDEX(F!$P$21:$AB$33, MATCH(K878/$AH878, F!$O$21:$O$33,1), MATCH(E878, F!$P$20:$AB$20,1)),0) +  IFERROR( Q878*INDEX(F!$P$21:$AB$33, MATCH(O878/$AH878, F!$O$21:$O$33,1), MATCH(E878, F!$P$20:$AB$20,1)), 0) + IFERROR( U878*INDEX(F!$P$21:$AB$33, MATCH(S878/$AH878, F!$O$21:$O$33,1), MATCH(E878, F!$P$20:$AB$20,1)),0)  + IFERROR(Y878*INDEX(F!$P$21:$AB$33, MATCH(W878/$AH878, F!$O$21:$O$33,1), MATCH(E878, F!$P$20:$AB$20,1)),0)  + IFERROR( AC878*INDEX(F!$P$21:$AB$33, MATCH(AA878/$AH878, F!$O$21:$O$33,1), MATCH(E878, F!$P$20:$AB$20,1)),)</f>
        <v>0</v>
      </c>
      <c r="AL878" s="59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 ht="15.75" hidden="1" customHeight="1">
      <c r="A879" s="98"/>
      <c r="B879" s="99"/>
      <c r="C879" s="100"/>
      <c r="D879" s="101"/>
      <c r="E879" s="102">
        <f>ROUND(IFERROR(SUMPRODUCT(AJ871:AJ878,E871:E878)/AJ879,0),3)</f>
        <v>0</v>
      </c>
      <c r="F879" s="199"/>
      <c r="G879" s="104"/>
      <c r="H879" s="105"/>
      <c r="I879" s="105"/>
      <c r="J879" s="106"/>
      <c r="K879" s="104"/>
      <c r="L879" s="105"/>
      <c r="M879" s="105"/>
      <c r="N879" s="106"/>
      <c r="O879" s="104"/>
      <c r="P879" s="105"/>
      <c r="Q879" s="105"/>
      <c r="R879" s="106"/>
      <c r="S879" s="104"/>
      <c r="T879" s="105"/>
      <c r="U879" s="105"/>
      <c r="V879" s="106"/>
      <c r="W879" s="104"/>
      <c r="X879" s="105"/>
      <c r="Y879" s="105"/>
      <c r="Z879" s="106"/>
      <c r="AA879" s="104"/>
      <c r="AB879" s="105"/>
      <c r="AC879" s="105"/>
      <c r="AD879" s="106"/>
      <c r="AE879" s="107">
        <f>SUM(AE871:AE878)</f>
        <v>0</v>
      </c>
      <c r="AF879" s="108">
        <f t="shared" si="1698"/>
        <v>0</v>
      </c>
      <c r="AG879" s="109">
        <f>IFERROR(  SUMPRODUCT(AG871:AG878,AJ871:AJ878)/AJ879,0)</f>
        <v>0</v>
      </c>
      <c r="AH879" s="157"/>
      <c r="AI879" s="111">
        <f t="shared" ref="AI879:AJ879" si="1765">SUM(AI871:AI878)</f>
        <v>0</v>
      </c>
      <c r="AJ879" s="111">
        <f t="shared" si="1765"/>
        <v>0</v>
      </c>
      <c r="AK879" s="112">
        <f>IF(SUM(AK871:AK878)=0,TIME(,0,),TIME(,SUM(AK871:AK878)+F!$V$37,))</f>
        <v>0</v>
      </c>
      <c r="AL879" s="98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 ht="15.75" hidden="1" customHeight="1">
      <c r="A880" s="113">
        <f>A881</f>
        <v>43891</v>
      </c>
      <c r="B880" s="114" t="str">
        <f t="shared" ref="B880:F880" si="1766">IF(B824="","",B824)</f>
        <v/>
      </c>
      <c r="C880" s="115" t="str">
        <f t="shared" si="1766"/>
        <v/>
      </c>
      <c r="D880" s="116" t="str">
        <f t="shared" si="1766"/>
        <v/>
      </c>
      <c r="E880" s="29" t="str">
        <f t="shared" si="1766"/>
        <v/>
      </c>
      <c r="F880" s="117" t="str">
        <f t="shared" si="1766"/>
        <v/>
      </c>
      <c r="G880" s="118" t="str">
        <f t="shared" ref="G880:G887" si="1768">IF(J880&lt;&gt;0, IFERROR(IF( $F880=2,  MROUND($AH880*J880,1),    IF( OR($F880="",$F880=1),   MROUND($AH880*J880,2.5),  MROUND($AH880*J880, 0.1))), "" ), "")</f>
        <v/>
      </c>
      <c r="H880" s="119"/>
      <c r="I880" s="119"/>
      <c r="J880" s="120"/>
      <c r="K880" s="118" t="str">
        <f t="shared" ref="K880:K887" si="1769">IF(N880&lt;&gt;0, IFERROR(IF( $F880=2,  MROUND($AH880*N880,1),    IF( OR($F880="",$F880=1),   MROUND($AH880*N880,2.5),  MROUND($AH880*N880, 0.1))), "" ), "")</f>
        <v/>
      </c>
      <c r="L880" s="119"/>
      <c r="M880" s="119"/>
      <c r="N880" s="120"/>
      <c r="O880" s="118" t="str">
        <f t="shared" ref="O880:O887" si="1770">IF(R880&lt;&gt;0, IFERROR(IF( $F880=2,  MROUND($AH880*R880,1),    IF( OR($F880="",$F880=1),   MROUND($AH880*R880,2.5),  MROUND($AH880*R880, 0.1))), "" ), "")</f>
        <v/>
      </c>
      <c r="P880" s="119"/>
      <c r="Q880" s="119"/>
      <c r="R880" s="120"/>
      <c r="S880" s="118" t="str">
        <f t="shared" ref="S880:S887" si="1771">IF(V880&lt;&gt;0, IFERROR(IF( $F880=2,  MROUND($AH880*V880,1),    IF( OR($F880="",$F880=1),   MROUND($AH880*V880,2.5),  MROUND($AH880*V880, 0.1))), "" ), "")</f>
        <v/>
      </c>
      <c r="T880" s="119"/>
      <c r="U880" s="119"/>
      <c r="V880" s="120"/>
      <c r="W880" s="118" t="str">
        <f t="shared" ref="W880:W887" si="1772">IF(Z880&lt;&gt;0, IFERROR(IF( $F880=2,  MROUND($AH880*Z880,1),    IF( OR($F880="",$F880=1),   MROUND($AH880*Z880,2.5),  MROUND($AH880*Z880, 0.1))), "" ), "")</f>
        <v/>
      </c>
      <c r="X880" s="119"/>
      <c r="Y880" s="119"/>
      <c r="Z880" s="120"/>
      <c r="AA880" s="118" t="str">
        <f t="shared" ref="AA880:AA887" si="1773">IF(AD880&lt;&gt;0, IFERROR(IF( $F880=2,  MROUND($AH880*AD880,1),    IF( OR($F880="",$F880=1),   MROUND($AH880*AD880,2.5),  MROUND($AH880*AD880, 0.1))), "" ), "")</f>
        <v/>
      </c>
      <c r="AB880" s="119"/>
      <c r="AC880" s="119"/>
      <c r="AD880" s="120"/>
      <c r="AE880" s="121">
        <f t="shared" ref="AE880:AE887" si="1774">(IF(ISNUMBER(G880),G880,0)*H880*I880+IF(ISNUMBER(K880),K880,1)*L880*M880+IF(ISNUMBER(O880),O880,1)*P880*Q880+IF(ISNUMBER(S880),S880,1)*T880*U880+IF(ISNUMBER(W880),W880,1)*X880*Y880+IF(ISNUMBER(AA880),AA880,1)*AB880*AC880)*IF(ISNUMBER(F880),F880,1)</f>
        <v>0</v>
      </c>
      <c r="AF880" s="122">
        <f t="shared" si="1698"/>
        <v>0</v>
      </c>
      <c r="AG880" s="200">
        <f t="shared" ref="AG880:AG887" si="1775">IFERROR((AF880/(AH880*IF(ISNUMBER(F880),F880,1))),0)</f>
        <v>0</v>
      </c>
      <c r="AH880" s="169" t="str">
        <f t="shared" ref="AH880:AH887" si="1776">IF(ISNUMBER(AH824), AH824+(AH824*$AH$842),"")</f>
        <v/>
      </c>
      <c r="AI880" s="122">
        <f> ( IF(ISNUMBER(G880), VLOOKUP(G880/$AH880,F!$A1:$B101,2,1)*G880*$H880*$I880,0)+IF(ISNUMBER(K880), VLOOKUP(K880/$AH880,F!$A1:$B101,2,1)*K880*$L880*$M880,0)+IF(ISNUMBER(O880), VLOOKUP(O880/$AH880,F!$A1:$B101,2,1)*O880*$P880*$Q880,0)+IF(ISNUMBER(S880), VLOOKUP(S880/$AH880,F!$A1:$B101,2,1)*S880*$T880*$U880,0)+IF(ISNUMBER(W880), VLOOKUP(W880/$AH880,F!$A1:$B101,2,1)*W880*$X880*$Y880,0)+IF(ISNUMBER(AA880), VLOOKUP(AA880/$AH880,F!$A1:$B101,2,1)*AA880*$AB880*$AC880,0))*IF(ISNUMBER(F880),F880,1)*IF(ISNUMBER(E880),E880,1)</f>
        <v>0</v>
      </c>
      <c r="AJ880" s="119">
        <f t="shared" ref="AJ880:AJ887" si="1777">H880*I880+L880*M880+P880*Q880+T880*U880+X880*Y880+AB880*AC880</f>
        <v>0</v>
      </c>
      <c r="AK880" s="125">
        <f t="array" ref="AK880">IFERROR(I880*INDEX(F!$P$21:$AB$33, MATCH(G880/$AH880, F!$O$21:$O$33,1), MATCH(E880, F!$P$20:$AB$20,1)), 0 ) +IFERROR( M880*INDEX(F!$P$21:$AB$33, MATCH(K880/$AH880, F!$O$21:$O$33,1), MATCH(E880, F!$P$20:$AB$20,1)),0) +  IFERROR( Q880*INDEX(F!$P$21:$AB$33, MATCH(O880/$AH880, F!$O$21:$O$33,1), MATCH(E880, F!$P$20:$AB$20,1)), 0) + IFERROR( U880*INDEX(F!$P$21:$AB$33, MATCH(S880/$AH880, F!$O$21:$O$33,1), MATCH(E880, F!$P$20:$AB$20,1)),0)  + IFERROR(Y880*INDEX(F!$P$21:$AB$33, MATCH(W880/$AH880, F!$O$21:$O$33,1), MATCH(E880, F!$P$20:$AB$20,1)),0)  + IFERROR( AC880*INDEX(F!$P$21:$AB$33, MATCH(AA880/$AH880, F!$O$21:$O$33,1), MATCH(E880, F!$P$20:$AB$20,1)),)</f>
        <v>0</v>
      </c>
      <c r="AL880" s="42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 ht="15.75" hidden="1" customHeight="1">
      <c r="A881" s="44">
        <f>A825+A786</f>
        <v>43891</v>
      </c>
      <c r="B881" s="126" t="str">
        <f t="shared" ref="B881:F881" si="1767">IF(B825="","",B825)</f>
        <v/>
      </c>
      <c r="C881" s="127" t="str">
        <f t="shared" si="1767"/>
        <v/>
      </c>
      <c r="D881" s="128" t="str">
        <f t="shared" si="1767"/>
        <v/>
      </c>
      <c r="E881" s="48" t="str">
        <f t="shared" si="1767"/>
        <v/>
      </c>
      <c r="F881" s="129" t="str">
        <f t="shared" si="1767"/>
        <v/>
      </c>
      <c r="G881" s="130" t="str">
        <f t="shared" si="1768"/>
        <v/>
      </c>
      <c r="H881" s="34"/>
      <c r="I881" s="34"/>
      <c r="J881" s="65"/>
      <c r="K881" s="130" t="str">
        <f t="shared" si="1769"/>
        <v/>
      </c>
      <c r="L881" s="34"/>
      <c r="M881" s="34"/>
      <c r="N881" s="65"/>
      <c r="O881" s="130" t="str">
        <f t="shared" si="1770"/>
        <v/>
      </c>
      <c r="P881" s="34"/>
      <c r="Q881" s="34"/>
      <c r="R881" s="65"/>
      <c r="S881" s="130" t="str">
        <f t="shared" si="1771"/>
        <v/>
      </c>
      <c r="T881" s="34"/>
      <c r="U881" s="34"/>
      <c r="V881" s="65"/>
      <c r="W881" s="130" t="str">
        <f t="shared" si="1772"/>
        <v/>
      </c>
      <c r="X881" s="34"/>
      <c r="Y881" s="34"/>
      <c r="Z881" s="65"/>
      <c r="AA881" s="130" t="str">
        <f t="shared" si="1773"/>
        <v/>
      </c>
      <c r="AB881" s="34"/>
      <c r="AC881" s="34"/>
      <c r="AD881" s="65"/>
      <c r="AE881" s="131">
        <f t="shared" si="1774"/>
        <v>0</v>
      </c>
      <c r="AF881" s="132">
        <f t="shared" si="1698"/>
        <v>0</v>
      </c>
      <c r="AG881" s="133">
        <f t="shared" si="1775"/>
        <v>0</v>
      </c>
      <c r="AH881" s="76" t="str">
        <f t="shared" si="1776"/>
        <v/>
      </c>
      <c r="AI881" s="132">
        <f> ( IF(ISNUMBER(G881), VLOOKUP(G881/$AH881,F!$A1:$B101,2,1)*G881*$H881*$I881,0)+IF(ISNUMBER(K881), VLOOKUP(K881/$AH881,F!$A1:$B101,2,1)*K881*$L881*$M881,0)+IF(ISNUMBER(O881), VLOOKUP(O881/$AH881,F!$A1:$B101,2,1)*O881*$P881*$Q881,0)+IF(ISNUMBER(S881), VLOOKUP(S881/$AH881,F!$A1:$B101,2,1)*S881*$T881*$U881,0)+IF(ISNUMBER(W881), VLOOKUP(W881/$AH881,F!$A1:$B101,2,1)*W881*$X881*$Y881,0)+IF(ISNUMBER(AA881), VLOOKUP(AA881/$AH881,F!$A1:$B101,2,1)*AA881*$AB881*$AC881,0))*IF(ISNUMBER(F881),F881,1)*IF(ISNUMBER(E881),E881,1)</f>
        <v>0</v>
      </c>
      <c r="AJ881" s="34">
        <f t="shared" si="1777"/>
        <v>0</v>
      </c>
      <c r="AK881" s="134">
        <f t="array" ref="AK881">IFERROR(I881*INDEX(F!$P$21:$AB$33, MATCH(G881/$AH881, F!$O$21:$O$33,1), MATCH(E881, F!$P$20:$AB$20,1)), 0 ) +IFERROR( M881*INDEX(F!$P$21:$AB$33, MATCH(K881/$AH881, F!$O$21:$O$33,1), MATCH(E881, F!$P$20:$AB$20,1)),0) +  IFERROR( Q881*INDEX(F!$P$21:$AB$33, MATCH(O881/$AH881, F!$O$21:$O$33,1), MATCH(E881, F!$P$20:$AB$20,1)), 0) + IFERROR( U881*INDEX(F!$P$21:$AB$33, MATCH(S881/$AH881, F!$O$21:$O$33,1), MATCH(E881, F!$P$20:$AB$20,1)),0)  + IFERROR(Y881*INDEX(F!$P$21:$AB$33, MATCH(W881/$AH881, F!$O$21:$O$33,1), MATCH(E881, F!$P$20:$AB$20,1)),0)  + IFERROR( AC881*INDEX(F!$P$21:$AB$33, MATCH(AA881/$AH881, F!$O$21:$O$33,1), MATCH(E881, F!$P$20:$AB$20,1)),)</f>
        <v>0</v>
      </c>
      <c r="AL881" s="59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 ht="15.75" hidden="1" customHeight="1">
      <c r="A882" s="59"/>
      <c r="B882" s="135" t="str">
        <f t="shared" ref="B882:F882" si="1778">IF(B826="","",B826)</f>
        <v/>
      </c>
      <c r="C882" s="136" t="str">
        <f t="shared" si="1778"/>
        <v/>
      </c>
      <c r="D882" s="137" t="str">
        <f t="shared" si="1778"/>
        <v/>
      </c>
      <c r="E882" s="48" t="str">
        <f t="shared" si="1778"/>
        <v/>
      </c>
      <c r="F882" s="138" t="str">
        <f t="shared" si="1778"/>
        <v/>
      </c>
      <c r="G882" s="139" t="str">
        <f t="shared" si="1768"/>
        <v/>
      </c>
      <c r="H882" s="140"/>
      <c r="I882" s="140"/>
      <c r="J882" s="141"/>
      <c r="K882" s="139" t="str">
        <f t="shared" si="1769"/>
        <v/>
      </c>
      <c r="L882" s="140"/>
      <c r="M882" s="140"/>
      <c r="N882" s="141"/>
      <c r="O882" s="139" t="str">
        <f t="shared" si="1770"/>
        <v/>
      </c>
      <c r="P882" s="140"/>
      <c r="Q882" s="140"/>
      <c r="R882" s="141"/>
      <c r="S882" s="139" t="str">
        <f t="shared" si="1771"/>
        <v/>
      </c>
      <c r="T882" s="140"/>
      <c r="U882" s="140"/>
      <c r="V882" s="141"/>
      <c r="W882" s="139" t="str">
        <f t="shared" si="1772"/>
        <v/>
      </c>
      <c r="X882" s="140"/>
      <c r="Y882" s="140"/>
      <c r="Z882" s="141"/>
      <c r="AA882" s="139" t="str">
        <f t="shared" si="1773"/>
        <v/>
      </c>
      <c r="AB882" s="140"/>
      <c r="AC882" s="140"/>
      <c r="AD882" s="141"/>
      <c r="AE882" s="142">
        <f t="shared" si="1774"/>
        <v>0</v>
      </c>
      <c r="AF882" s="143">
        <f t="shared" si="1698"/>
        <v>0</v>
      </c>
      <c r="AG882" s="144">
        <f t="shared" si="1775"/>
        <v>0</v>
      </c>
      <c r="AH882" s="76" t="str">
        <f t="shared" si="1776"/>
        <v/>
      </c>
      <c r="AI882" s="143">
        <f> ( IF(ISNUMBER(G882), VLOOKUP(G882/$AH882,F!$A1:$B101,2,1)*G882*$H882*$I882,0)+IF(ISNUMBER(K882), VLOOKUP(K882/$AH882,F!$A1:$B101,2,1)*K882*$L882*$M882,0)+IF(ISNUMBER(O882), VLOOKUP(O882/$AH882,F!$A1:$B101,2,1)*O882*$P882*$Q882,0)+IF(ISNUMBER(S882), VLOOKUP(S882/$AH882,F!$A1:$B101,2,1)*S882*$T882*$U882,0)+IF(ISNUMBER(W882), VLOOKUP(W882/$AH882,F!$A1:$B101,2,1)*W882*$X882*$Y882,0)+IF(ISNUMBER(AA882), VLOOKUP(AA882/$AH882,F!$A1:$B101,2,1)*AA882*$AB882*$AC882,0))*IF(ISNUMBER(F882),F882,1)*IF(ISNUMBER(E882),E882,1)</f>
        <v>0</v>
      </c>
      <c r="AJ882" s="140">
        <f t="shared" si="1777"/>
        <v>0</v>
      </c>
      <c r="AK882" s="145">
        <f t="array" ref="AK882">IFERROR(I882*INDEX(F!$P$21:$AB$33, MATCH(G882/$AH882, F!$O$21:$O$33,1), MATCH(E882, F!$P$20:$AB$20,1)), 0 ) +IFERROR( M882*INDEX(F!$P$21:$AB$33, MATCH(K882/$AH882, F!$O$21:$O$33,1), MATCH(E882, F!$P$20:$AB$20,1)),0) +  IFERROR( Q882*INDEX(F!$P$21:$AB$33, MATCH(O882/$AH882, F!$O$21:$O$33,1), MATCH(E882, F!$P$20:$AB$20,1)), 0) + IFERROR( U882*INDEX(F!$P$21:$AB$33, MATCH(S882/$AH882, F!$O$21:$O$33,1), MATCH(E882, F!$P$20:$AB$20,1)),0)  + IFERROR(Y882*INDEX(F!$P$21:$AB$33, MATCH(W882/$AH882, F!$O$21:$O$33,1), MATCH(E882, F!$P$20:$AB$20,1)),0)  + IFERROR( AC882*INDEX(F!$P$21:$AB$33, MATCH(AA882/$AH882, F!$O$21:$O$33,1), MATCH(E882, F!$P$20:$AB$20,1)),)</f>
        <v>0</v>
      </c>
      <c r="AL882" s="59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 ht="15.75" hidden="1" customHeight="1">
      <c r="A883" s="59"/>
      <c r="B883" s="126" t="str">
        <f t="shared" ref="B883:F883" si="1779">IF(B827="","",B827)</f>
        <v/>
      </c>
      <c r="C883" s="127" t="str">
        <f t="shared" si="1779"/>
        <v/>
      </c>
      <c r="D883" s="128" t="str">
        <f t="shared" si="1779"/>
        <v/>
      </c>
      <c r="E883" s="48" t="str">
        <f t="shared" si="1779"/>
        <v/>
      </c>
      <c r="F883" s="129" t="str">
        <f t="shared" si="1779"/>
        <v/>
      </c>
      <c r="G883" s="130" t="str">
        <f t="shared" si="1768"/>
        <v/>
      </c>
      <c r="H883" s="34"/>
      <c r="I883" s="34"/>
      <c r="J883" s="65"/>
      <c r="K883" s="130" t="str">
        <f t="shared" si="1769"/>
        <v/>
      </c>
      <c r="L883" s="34"/>
      <c r="M883" s="34"/>
      <c r="N883" s="65"/>
      <c r="O883" s="130" t="str">
        <f t="shared" si="1770"/>
        <v/>
      </c>
      <c r="P883" s="34"/>
      <c r="Q883" s="34"/>
      <c r="R883" s="65"/>
      <c r="S883" s="130" t="str">
        <f t="shared" si="1771"/>
        <v/>
      </c>
      <c r="T883" s="34"/>
      <c r="U883" s="34"/>
      <c r="V883" s="65"/>
      <c r="W883" s="130" t="str">
        <f t="shared" si="1772"/>
        <v/>
      </c>
      <c r="X883" s="34"/>
      <c r="Y883" s="34"/>
      <c r="Z883" s="65"/>
      <c r="AA883" s="130" t="str">
        <f t="shared" si="1773"/>
        <v/>
      </c>
      <c r="AB883" s="34"/>
      <c r="AC883" s="34"/>
      <c r="AD883" s="65"/>
      <c r="AE883" s="131">
        <f t="shared" si="1774"/>
        <v>0</v>
      </c>
      <c r="AF883" s="132">
        <f t="shared" si="1698"/>
        <v>0</v>
      </c>
      <c r="AG883" s="133">
        <f t="shared" si="1775"/>
        <v>0</v>
      </c>
      <c r="AH883" s="76" t="str">
        <f t="shared" si="1776"/>
        <v/>
      </c>
      <c r="AI883" s="132">
        <f> ( IF(ISNUMBER(G883), VLOOKUP(G883/$AH883,F!$A1:$B101,2,1)*G883*$H883*$I883,0)+IF(ISNUMBER(K883), VLOOKUP(K883/$AH883,F!$A1:$B101,2,1)*K883*$L883*$M883,0)+IF(ISNUMBER(O883), VLOOKUP(O883/$AH883,F!$A1:$B101,2,1)*O883*$P883*$Q883,0)+IF(ISNUMBER(S883), VLOOKUP(S883/$AH883,F!$A1:$B101,2,1)*S883*$T883*$U883,0)+IF(ISNUMBER(W883), VLOOKUP(W883/$AH883,F!$A1:$B101,2,1)*W883*$X883*$Y883,0)+IF(ISNUMBER(AA883), VLOOKUP(AA883/$AH883,F!$A1:$B101,2,1)*AA883*$AB883*$AC883,0))*IF(ISNUMBER(F883),F883,1)*IF(ISNUMBER(E883),E883,1)</f>
        <v>0</v>
      </c>
      <c r="AJ883" s="34">
        <f t="shared" si="1777"/>
        <v>0</v>
      </c>
      <c r="AK883" s="134">
        <f t="array" ref="AK883">IFERROR(I883*INDEX(F!$P$21:$AB$33, MATCH(G883/$AH883, F!$O$21:$O$33,1), MATCH(E883, F!$P$20:$AB$20,1)), 0 ) +IFERROR( M883*INDEX(F!$P$21:$AB$33, MATCH(K883/$AH883, F!$O$21:$O$33,1), MATCH(E883, F!$P$20:$AB$20,1)),0) +  IFERROR( Q883*INDEX(F!$P$21:$AB$33, MATCH(O883/$AH883, F!$O$21:$O$33,1), MATCH(E883, F!$P$20:$AB$20,1)), 0) + IFERROR( U883*INDEX(F!$P$21:$AB$33, MATCH(S883/$AH883, F!$O$21:$O$33,1), MATCH(E883, F!$P$20:$AB$20,1)),0)  + IFERROR(Y883*INDEX(F!$P$21:$AB$33, MATCH(W883/$AH883, F!$O$21:$O$33,1), MATCH(E883, F!$P$20:$AB$20,1)),0)  + IFERROR( AC883*INDEX(F!$P$21:$AB$33, MATCH(AA883/$AH883, F!$O$21:$O$33,1), MATCH(E883, F!$P$20:$AB$20,1)),)</f>
        <v>0</v>
      </c>
      <c r="AL883" s="59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 ht="15.75" hidden="1" customHeight="1">
      <c r="A884" s="59"/>
      <c r="B884" s="135" t="str">
        <f t="shared" ref="B884:F884" si="1780">IF(B828="","",B828)</f>
        <v/>
      </c>
      <c r="C884" s="136" t="str">
        <f t="shared" si="1780"/>
        <v/>
      </c>
      <c r="D884" s="137" t="str">
        <f t="shared" si="1780"/>
        <v/>
      </c>
      <c r="E884" s="48" t="str">
        <f t="shared" si="1780"/>
        <v/>
      </c>
      <c r="F884" s="138" t="str">
        <f t="shared" si="1780"/>
        <v/>
      </c>
      <c r="G884" s="139" t="str">
        <f t="shared" si="1768"/>
        <v/>
      </c>
      <c r="H884" s="140"/>
      <c r="I884" s="140"/>
      <c r="J884" s="141"/>
      <c r="K884" s="139" t="str">
        <f t="shared" si="1769"/>
        <v/>
      </c>
      <c r="L884" s="140"/>
      <c r="M884" s="140"/>
      <c r="N884" s="141"/>
      <c r="O884" s="139" t="str">
        <f t="shared" si="1770"/>
        <v/>
      </c>
      <c r="P884" s="140"/>
      <c r="Q884" s="140"/>
      <c r="R884" s="141"/>
      <c r="S884" s="139" t="str">
        <f t="shared" si="1771"/>
        <v/>
      </c>
      <c r="T884" s="140"/>
      <c r="U884" s="140"/>
      <c r="V884" s="141"/>
      <c r="W884" s="139" t="str">
        <f t="shared" si="1772"/>
        <v/>
      </c>
      <c r="X884" s="140"/>
      <c r="Y884" s="140"/>
      <c r="Z884" s="141"/>
      <c r="AA884" s="139" t="str">
        <f t="shared" si="1773"/>
        <v/>
      </c>
      <c r="AB884" s="140"/>
      <c r="AC884" s="140"/>
      <c r="AD884" s="141"/>
      <c r="AE884" s="142">
        <f t="shared" si="1774"/>
        <v>0</v>
      </c>
      <c r="AF884" s="143">
        <f t="shared" si="1698"/>
        <v>0</v>
      </c>
      <c r="AG884" s="144">
        <f t="shared" si="1775"/>
        <v>0</v>
      </c>
      <c r="AH884" s="76" t="str">
        <f t="shared" si="1776"/>
        <v/>
      </c>
      <c r="AI884" s="143">
        <f> ( IF(ISNUMBER(G884), VLOOKUP(G884/$AH884,F!$A1:$B101,2,1)*G884*$H884*$I884,0)+IF(ISNUMBER(K884), VLOOKUP(K884/$AH884,F!$A1:$B101,2,1)*K884*$L884*$M884,0)+IF(ISNUMBER(O884), VLOOKUP(O884/$AH884,F!$A1:$B101,2,1)*O884*$P884*$Q884,0)+IF(ISNUMBER(S884), VLOOKUP(S884/$AH884,F!$A1:$B101,2,1)*S884*$T884*$U884,0)+IF(ISNUMBER(W884), VLOOKUP(W884/$AH884,F!$A1:$B101,2,1)*W884*$X884*$Y884,0)+IF(ISNUMBER(AA884), VLOOKUP(AA884/$AH884,F!$A1:$B101,2,1)*AA884*$AB884*$AC884,0))*IF(ISNUMBER(F884),F884,1)*IF(ISNUMBER(E884),E884,1)</f>
        <v>0</v>
      </c>
      <c r="AJ884" s="140">
        <f t="shared" si="1777"/>
        <v>0</v>
      </c>
      <c r="AK884" s="145">
        <f t="array" ref="AK884">IFERROR(I884*INDEX(F!$P$21:$AB$33, MATCH(G884/$AH884, F!$O$21:$O$33,1), MATCH(E884, F!$P$20:$AB$20,1)), 0 ) +IFERROR( M884*INDEX(F!$P$21:$AB$33, MATCH(K884/$AH884, F!$O$21:$O$33,1), MATCH(E884, F!$P$20:$AB$20,1)),0) +  IFERROR( Q884*INDEX(F!$P$21:$AB$33, MATCH(O884/$AH884, F!$O$21:$O$33,1), MATCH(E884, F!$P$20:$AB$20,1)), 0) + IFERROR( U884*INDEX(F!$P$21:$AB$33, MATCH(S884/$AH884, F!$O$21:$O$33,1), MATCH(E884, F!$P$20:$AB$20,1)),0)  + IFERROR(Y884*INDEX(F!$P$21:$AB$33, MATCH(W884/$AH884, F!$O$21:$O$33,1), MATCH(E884, F!$P$20:$AB$20,1)),0)  + IFERROR( AC884*INDEX(F!$P$21:$AB$33, MATCH(AA884/$AH884, F!$O$21:$O$33,1), MATCH(E884, F!$P$20:$AB$20,1)),)</f>
        <v>0</v>
      </c>
      <c r="AL884" s="59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 ht="15.75" hidden="1" customHeight="1">
      <c r="A885" s="59"/>
      <c r="B885" s="126" t="str">
        <f t="shared" ref="B885:F885" si="1781">IF(B829="","",B829)</f>
        <v/>
      </c>
      <c r="C885" s="127" t="str">
        <f t="shared" si="1781"/>
        <v/>
      </c>
      <c r="D885" s="128" t="str">
        <f t="shared" si="1781"/>
        <v/>
      </c>
      <c r="E885" s="48" t="str">
        <f t="shared" si="1781"/>
        <v/>
      </c>
      <c r="F885" s="129" t="str">
        <f t="shared" si="1781"/>
        <v/>
      </c>
      <c r="G885" s="130" t="str">
        <f t="shared" si="1768"/>
        <v/>
      </c>
      <c r="H885" s="34"/>
      <c r="I885" s="34"/>
      <c r="J885" s="65"/>
      <c r="K885" s="130" t="str">
        <f t="shared" si="1769"/>
        <v/>
      </c>
      <c r="L885" s="34"/>
      <c r="M885" s="34"/>
      <c r="N885" s="65"/>
      <c r="O885" s="130" t="str">
        <f t="shared" si="1770"/>
        <v/>
      </c>
      <c r="P885" s="34"/>
      <c r="Q885" s="34"/>
      <c r="R885" s="65"/>
      <c r="S885" s="130" t="str">
        <f t="shared" si="1771"/>
        <v/>
      </c>
      <c r="T885" s="34"/>
      <c r="U885" s="34"/>
      <c r="V885" s="65"/>
      <c r="W885" s="130" t="str">
        <f t="shared" si="1772"/>
        <v/>
      </c>
      <c r="X885" s="34"/>
      <c r="Y885" s="34"/>
      <c r="Z885" s="65"/>
      <c r="AA885" s="130" t="str">
        <f t="shared" si="1773"/>
        <v/>
      </c>
      <c r="AB885" s="34"/>
      <c r="AC885" s="34"/>
      <c r="AD885" s="65"/>
      <c r="AE885" s="131">
        <f t="shared" si="1774"/>
        <v>0</v>
      </c>
      <c r="AF885" s="132">
        <f t="shared" si="1698"/>
        <v>0</v>
      </c>
      <c r="AG885" s="133">
        <f t="shared" si="1775"/>
        <v>0</v>
      </c>
      <c r="AH885" s="76" t="str">
        <f t="shared" si="1776"/>
        <v/>
      </c>
      <c r="AI885" s="132">
        <f> ( IF(ISNUMBER(G885), VLOOKUP(G885/$AH885,F!$A1:$B101,2,1)*G885*$H885*$I885,0)+IF(ISNUMBER(K885), VLOOKUP(K885/$AH885,F!$A1:$B101,2,1)*K885*$L885*$M885,0)+IF(ISNUMBER(O885), VLOOKUP(O885/$AH885,F!$A1:$B101,2,1)*O885*$P885*$Q885,0)+IF(ISNUMBER(S885), VLOOKUP(S885/$AH885,F!$A1:$B101,2,1)*S885*$T885*$U885,0)+IF(ISNUMBER(W885), VLOOKUP(W885/$AH885,F!$A1:$B101,2,1)*W885*$X885*$Y885,0)+IF(ISNUMBER(AA885), VLOOKUP(AA885/$AH885,F!$A1:$B101,2,1)*AA885*$AB885*$AC885,0))*IF(ISNUMBER(F885),F885,1)*IF(ISNUMBER(E885),E885,1)</f>
        <v>0</v>
      </c>
      <c r="AJ885" s="34">
        <f t="shared" si="1777"/>
        <v>0</v>
      </c>
      <c r="AK885" s="134">
        <f t="array" ref="AK885">IFERROR(I885*INDEX(F!$P$21:$AB$33, MATCH(G885/$AH885, F!$O$21:$O$33,1), MATCH(E885, F!$P$20:$AB$20,1)), 0 ) +IFERROR( M885*INDEX(F!$P$21:$AB$33, MATCH(K885/$AH885, F!$O$21:$O$33,1), MATCH(E885, F!$P$20:$AB$20,1)),0) +  IFERROR( Q885*INDEX(F!$P$21:$AB$33, MATCH(O885/$AH885, F!$O$21:$O$33,1), MATCH(E885, F!$P$20:$AB$20,1)), 0) + IFERROR( U885*INDEX(F!$P$21:$AB$33, MATCH(S885/$AH885, F!$O$21:$O$33,1), MATCH(E885, F!$P$20:$AB$20,1)),0)  + IFERROR(Y885*INDEX(F!$P$21:$AB$33, MATCH(W885/$AH885, F!$O$21:$O$33,1), MATCH(E885, F!$P$20:$AB$20,1)),0)  + IFERROR( AC885*INDEX(F!$P$21:$AB$33, MATCH(AA885/$AH885, F!$O$21:$O$33,1), MATCH(E885, F!$P$20:$AB$20,1)),)</f>
        <v>0</v>
      </c>
      <c r="AL885" s="59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 ht="15.75" hidden="1" customHeight="1">
      <c r="A886" s="59"/>
      <c r="B886" s="135" t="str">
        <f t="shared" ref="B886:F886" si="1782">IF(B830="","",B830)</f>
        <v/>
      </c>
      <c r="C886" s="136" t="str">
        <f t="shared" si="1782"/>
        <v/>
      </c>
      <c r="D886" s="137" t="str">
        <f t="shared" si="1782"/>
        <v/>
      </c>
      <c r="E886" s="48" t="str">
        <f t="shared" si="1782"/>
        <v/>
      </c>
      <c r="F886" s="138" t="str">
        <f t="shared" si="1782"/>
        <v/>
      </c>
      <c r="G886" s="139" t="str">
        <f t="shared" si="1768"/>
        <v/>
      </c>
      <c r="H886" s="140"/>
      <c r="I886" s="140"/>
      <c r="J886" s="141"/>
      <c r="K886" s="139" t="str">
        <f t="shared" si="1769"/>
        <v/>
      </c>
      <c r="L886" s="140"/>
      <c r="M886" s="140"/>
      <c r="N886" s="141"/>
      <c r="O886" s="139" t="str">
        <f t="shared" si="1770"/>
        <v/>
      </c>
      <c r="P886" s="140"/>
      <c r="Q886" s="140"/>
      <c r="R886" s="141"/>
      <c r="S886" s="139" t="str">
        <f t="shared" si="1771"/>
        <v/>
      </c>
      <c r="T886" s="140"/>
      <c r="U886" s="140"/>
      <c r="V886" s="141"/>
      <c r="W886" s="139" t="str">
        <f t="shared" si="1772"/>
        <v/>
      </c>
      <c r="X886" s="140"/>
      <c r="Y886" s="140"/>
      <c r="Z886" s="141"/>
      <c r="AA886" s="139" t="str">
        <f t="shared" si="1773"/>
        <v/>
      </c>
      <c r="AB886" s="140"/>
      <c r="AC886" s="140"/>
      <c r="AD886" s="141"/>
      <c r="AE886" s="142">
        <f t="shared" si="1774"/>
        <v>0</v>
      </c>
      <c r="AF886" s="143">
        <f t="shared" si="1698"/>
        <v>0</v>
      </c>
      <c r="AG886" s="144">
        <f t="shared" si="1775"/>
        <v>0</v>
      </c>
      <c r="AH886" s="76" t="str">
        <f t="shared" si="1776"/>
        <v/>
      </c>
      <c r="AI886" s="143">
        <f> ( IF(ISNUMBER(G886), VLOOKUP(G886/$AH886,F!$A1:$B101,2,1)*G886*$H886*$I886,0)+IF(ISNUMBER(K886), VLOOKUP(K886/$AH886,F!$A1:$B101,2,1)*K886*$L886*$M886,0)+IF(ISNUMBER(O886), VLOOKUP(O886/$AH886,F!$A1:$B101,2,1)*O886*$P886*$Q886,0)+IF(ISNUMBER(S886), VLOOKUP(S886/$AH886,F!$A1:$B101,2,1)*S886*$T886*$U886,0)+IF(ISNUMBER(W886), VLOOKUP(W886/$AH886,F!$A1:$B101,2,1)*W886*$X886*$Y886,0)+IF(ISNUMBER(AA886), VLOOKUP(AA886/$AH886,F!$A1:$B101,2,1)*AA886*$AB886*$AC886,0))*IF(ISNUMBER(F886),F886,1)*IF(ISNUMBER(E886),E886,1)</f>
        <v>0</v>
      </c>
      <c r="AJ886" s="140">
        <f t="shared" si="1777"/>
        <v>0</v>
      </c>
      <c r="AK886" s="145">
        <f t="array" ref="AK886">IFERROR(I886*INDEX(F!$P$21:$AB$33, MATCH(G886/$AH886, F!$O$21:$O$33,1), MATCH(E886, F!$P$20:$AB$20,1)), 0 ) +IFERROR( M886*INDEX(F!$P$21:$AB$33, MATCH(K886/$AH886, F!$O$21:$O$33,1), MATCH(E886, F!$P$20:$AB$20,1)),0) +  IFERROR( Q886*INDEX(F!$P$21:$AB$33, MATCH(O886/$AH886, F!$O$21:$O$33,1), MATCH(E886, F!$P$20:$AB$20,1)), 0) + IFERROR( U886*INDEX(F!$P$21:$AB$33, MATCH(S886/$AH886, F!$O$21:$O$33,1), MATCH(E886, F!$P$20:$AB$20,1)),0)  + IFERROR(Y886*INDEX(F!$P$21:$AB$33, MATCH(W886/$AH886, F!$O$21:$O$33,1), MATCH(E886, F!$P$20:$AB$20,1)),0)  + IFERROR( AC886*INDEX(F!$P$21:$AB$33, MATCH(AA886/$AH886, F!$O$21:$O$33,1), MATCH(E886, F!$P$20:$AB$20,1)),)</f>
        <v>0</v>
      </c>
      <c r="AL886" s="59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 ht="15.75" hidden="1" customHeight="1">
      <c r="A887" s="59"/>
      <c r="B887" s="126" t="str">
        <f t="shared" ref="B887:F887" si="1783">IF(B831="","",B831)</f>
        <v/>
      </c>
      <c r="C887" s="127" t="str">
        <f t="shared" si="1783"/>
        <v/>
      </c>
      <c r="D887" s="128" t="str">
        <f t="shared" si="1783"/>
        <v/>
      </c>
      <c r="E887" s="48" t="str">
        <f t="shared" si="1783"/>
        <v/>
      </c>
      <c r="F887" s="129" t="str">
        <f t="shared" si="1783"/>
        <v/>
      </c>
      <c r="G887" s="130" t="str">
        <f t="shared" si="1768"/>
        <v/>
      </c>
      <c r="H887" s="34"/>
      <c r="I887" s="34"/>
      <c r="J887" s="65"/>
      <c r="K887" s="130" t="str">
        <f t="shared" si="1769"/>
        <v/>
      </c>
      <c r="L887" s="34"/>
      <c r="M887" s="34"/>
      <c r="N887" s="65"/>
      <c r="O887" s="130" t="str">
        <f t="shared" si="1770"/>
        <v/>
      </c>
      <c r="P887" s="34"/>
      <c r="Q887" s="34"/>
      <c r="R887" s="65"/>
      <c r="S887" s="130" t="str">
        <f t="shared" si="1771"/>
        <v/>
      </c>
      <c r="T887" s="34"/>
      <c r="U887" s="34"/>
      <c r="V887" s="65"/>
      <c r="W887" s="130" t="str">
        <f t="shared" si="1772"/>
        <v/>
      </c>
      <c r="X887" s="34"/>
      <c r="Y887" s="34"/>
      <c r="Z887" s="65"/>
      <c r="AA887" s="130" t="str">
        <f t="shared" si="1773"/>
        <v/>
      </c>
      <c r="AB887" s="34"/>
      <c r="AC887" s="34"/>
      <c r="AD887" s="65"/>
      <c r="AE887" s="131">
        <f t="shared" si="1774"/>
        <v>0</v>
      </c>
      <c r="AF887" s="132">
        <f t="shared" si="1698"/>
        <v>0</v>
      </c>
      <c r="AG887" s="133">
        <f t="shared" si="1775"/>
        <v>0</v>
      </c>
      <c r="AH887" s="76" t="str">
        <f t="shared" si="1776"/>
        <v/>
      </c>
      <c r="AI887" s="132">
        <f> ( IF(ISNUMBER(G887), VLOOKUP(G887/$AH887,F!$A1:$B101,2,1)*G887*$H887*$I887,0)+IF(ISNUMBER(K887), VLOOKUP(K887/$AH887,F!$A1:$B101,2,1)*K887*$L887*$M887,0)+IF(ISNUMBER(O887), VLOOKUP(O887/$AH887,F!$A1:$B101,2,1)*O887*$P887*$Q887,0)+IF(ISNUMBER(S887), VLOOKUP(S887/$AH887,F!$A1:$B101,2,1)*S887*$T887*$U887,0)+IF(ISNUMBER(W887), VLOOKUP(W887/$AH887,F!$A1:$B101,2,1)*W887*$X887*$Y887,0)+IF(ISNUMBER(AA887), VLOOKUP(AA887/$AH887,F!$A1:$B101,2,1)*AA887*$AB887*$AC887,0))*IF(ISNUMBER(F887),F887,1)*IF(ISNUMBER(E887),E887,1)</f>
        <v>0</v>
      </c>
      <c r="AJ887" s="34">
        <f t="shared" si="1777"/>
        <v>0</v>
      </c>
      <c r="AK887" s="134">
        <f t="array" ref="AK887">IFERROR(I887*INDEX(F!$P$21:$AB$33, MATCH(G887/$AH887, F!$O$21:$O$33,1), MATCH(E887, F!$P$20:$AB$20,1)), 0 ) +IFERROR( M887*INDEX(F!$P$21:$AB$33, MATCH(K887/$AH887, F!$O$21:$O$33,1), MATCH(E887, F!$P$20:$AB$20,1)),0) +  IFERROR( Q887*INDEX(F!$P$21:$AB$33, MATCH(O887/$AH887, F!$O$21:$O$33,1), MATCH(E887, F!$P$20:$AB$20,1)), 0) + IFERROR( U887*INDEX(F!$P$21:$AB$33, MATCH(S887/$AH887, F!$O$21:$O$33,1), MATCH(E887, F!$P$20:$AB$20,1)),0)  + IFERROR(Y887*INDEX(F!$P$21:$AB$33, MATCH(W887/$AH887, F!$O$21:$O$33,1), MATCH(E887, F!$P$20:$AB$20,1)),0)  + IFERROR( AC887*INDEX(F!$P$21:$AB$33, MATCH(AA887/$AH887, F!$O$21:$O$33,1), MATCH(E887, F!$P$20:$AB$20,1)),)</f>
        <v>0</v>
      </c>
      <c r="AL887" s="59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 ht="15.75" hidden="1" customHeight="1">
      <c r="A888" s="98"/>
      <c r="B888" s="150"/>
      <c r="C888" s="151"/>
      <c r="D888" s="152"/>
      <c r="E888" s="102">
        <f>ROUND(IFERROR(SUMPRODUCT(AJ880:AJ887,E880:E887)/AJ888,0),3)</f>
        <v>0</v>
      </c>
      <c r="F888" s="153"/>
      <c r="G888" s="154"/>
      <c r="H888" s="155"/>
      <c r="I888" s="155"/>
      <c r="J888" s="156"/>
      <c r="K888" s="154"/>
      <c r="L888" s="155"/>
      <c r="M888" s="155"/>
      <c r="N888" s="156"/>
      <c r="O888" s="154"/>
      <c r="P888" s="155"/>
      <c r="Q888" s="155"/>
      <c r="R888" s="156"/>
      <c r="S888" s="154"/>
      <c r="T888" s="155"/>
      <c r="U888" s="155"/>
      <c r="V888" s="156"/>
      <c r="W888" s="154"/>
      <c r="X888" s="155"/>
      <c r="Y888" s="155"/>
      <c r="Z888" s="156"/>
      <c r="AA888" s="154"/>
      <c r="AB888" s="155"/>
      <c r="AC888" s="155"/>
      <c r="AD888" s="156"/>
      <c r="AE888" s="107">
        <f>SUM(AE880:AE887)</f>
        <v>0</v>
      </c>
      <c r="AF888" s="108">
        <f t="shared" si="1698"/>
        <v>0</v>
      </c>
      <c r="AG888" s="109">
        <f>IFERROR(  SUMPRODUCT(AG880:AG887,AJ880:AJ887)/AJ888,0)</f>
        <v>0</v>
      </c>
      <c r="AH888" s="157"/>
      <c r="AI888" s="111">
        <f t="shared" ref="AI888:AJ888" si="1784">SUM(AI880:AI887)</f>
        <v>0</v>
      </c>
      <c r="AJ888" s="111">
        <f t="shared" si="1784"/>
        <v>0</v>
      </c>
      <c r="AK888" s="112">
        <f>IF(SUM(AK880:AK887)=0,TIME(,0,),TIME(,SUM(AK880:AK887)+F!$V$37,))</f>
        <v>0</v>
      </c>
      <c r="AL888" s="98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 ht="15.75" hidden="1" customHeight="1">
      <c r="A889" s="158">
        <f>A890</f>
        <v>43892</v>
      </c>
      <c r="B889" s="159" t="str">
        <f t="shared" ref="B889:F889" si="1785">IF(B833="","",B833)</f>
        <v/>
      </c>
      <c r="C889" s="160" t="str">
        <f t="shared" si="1785"/>
        <v/>
      </c>
      <c r="D889" s="161" t="str">
        <f t="shared" si="1785"/>
        <v/>
      </c>
      <c r="E889" s="29" t="str">
        <f t="shared" si="1785"/>
        <v/>
      </c>
      <c r="F889" s="162" t="str">
        <f t="shared" si="1785"/>
        <v/>
      </c>
      <c r="G889" s="163" t="str">
        <f t="shared" ref="G889:G896" si="1787">IF(J889&lt;&gt;0, IFERROR(IF( $F889=2,  MROUND($AH889*J889,1),    IF( OR($F889="",$F889=1),   MROUND($AH889*J889,2.5),  MROUND($AH889*J889, 0.1))), "" ), "")</f>
        <v/>
      </c>
      <c r="H889" s="164"/>
      <c r="I889" s="164"/>
      <c r="J889" s="165"/>
      <c r="K889" s="163" t="str">
        <f t="shared" ref="K889:K896" si="1788">IF(N889&lt;&gt;0, IFERROR(IF( $F889=2,  MROUND($AH889*N889,1),    IF( OR($F889="",$F889=1),   MROUND($AH889*N889,2.5),  MROUND($AH889*N889, 0.1))), "" ), "")</f>
        <v/>
      </c>
      <c r="L889" s="164"/>
      <c r="M889" s="164"/>
      <c r="N889" s="165"/>
      <c r="O889" s="163" t="str">
        <f t="shared" ref="O889:O896" si="1789">IF(R889&lt;&gt;0, IFERROR(IF( $F889=2,  MROUND($AH889*R889,1),    IF( OR($F889="",$F889=1),   MROUND($AH889*R889,2.5),  MROUND($AH889*R889, 0.1))), "" ), "")</f>
        <v/>
      </c>
      <c r="P889" s="164"/>
      <c r="Q889" s="164"/>
      <c r="R889" s="165"/>
      <c r="S889" s="163" t="str">
        <f t="shared" ref="S889:S896" si="1790">IF(V889&lt;&gt;0, IFERROR(IF( $F889=2,  MROUND($AH889*V889,1),    IF( OR($F889="",$F889=1),   MROUND($AH889*V889,2.5),  MROUND($AH889*V889, 0.1))), "" ), "")</f>
        <v/>
      </c>
      <c r="T889" s="164"/>
      <c r="U889" s="164"/>
      <c r="V889" s="165"/>
      <c r="W889" s="163" t="str">
        <f t="shared" ref="W889:W896" si="1791">IF(Z889&lt;&gt;0, IFERROR(IF( $F889=2,  MROUND($AH889*Z889,1),    IF( OR($F889="",$F889=1),   MROUND($AH889*Z889,2.5),  MROUND($AH889*Z889, 0.1))), "" ), "")</f>
        <v/>
      </c>
      <c r="X889" s="164"/>
      <c r="Y889" s="164"/>
      <c r="Z889" s="165"/>
      <c r="AA889" s="163" t="str">
        <f t="shared" ref="AA889:AA896" si="1792">IF(AD889&lt;&gt;0, IFERROR(IF( $F889=2,  MROUND($AH889*AD889,1),    IF( OR($F889="",$F889=1),   MROUND($AH889*AD889,2.5),  MROUND($AH889*AD889, 0.1))), "" ), "")</f>
        <v/>
      </c>
      <c r="AB889" s="164"/>
      <c r="AC889" s="164"/>
      <c r="AD889" s="165"/>
      <c r="AE889" s="166">
        <f t="shared" ref="AE889:AE896" si="1793">(IF(ISNUMBER(G889),G889,0)*H889*I889+IF(ISNUMBER(K889),K889,1)*L889*M889+IF(ISNUMBER(O889),O889,1)*P889*Q889+IF(ISNUMBER(S889),S889,1)*T889*U889+IF(ISNUMBER(W889),W889,1)*X889*Y889+IF(ISNUMBER(AA889),AA889,1)*AB889*AC889)*IF(ISNUMBER(F889),F889,1)</f>
        <v>0</v>
      </c>
      <c r="AF889" s="167">
        <f t="shared" si="1698"/>
        <v>0</v>
      </c>
      <c r="AG889" s="168">
        <f t="shared" ref="AG889:AG896" si="1794">IFERROR((AF889/(AH889*IF(ISNUMBER(F889),F889,1))),0)</f>
        <v>0</v>
      </c>
      <c r="AH889" s="169" t="str">
        <f t="shared" ref="AH889:AH896" si="1795">IF(ISNUMBER(AH833), AH833+(AH833*$AH$842),"")</f>
        <v/>
      </c>
      <c r="AI889" s="167">
        <f> ( IF(ISNUMBER(G889), VLOOKUP(G889/$AH889,F!$A1:$B101,2,1)*G889*$H889*$I889,0)+IF(ISNUMBER(K889), VLOOKUP(K889/$AH889,F!$A1:$B101,2,1)*K889*$L889*$M889,0)+IF(ISNUMBER(O889), VLOOKUP(O889/$AH889,F!$A1:$B101,2,1)*O889*$P889*$Q889,0)+IF(ISNUMBER(S889), VLOOKUP(S889/$AH889,F!$A1:$B101,2,1)*S889*$T889*$U889,0)+IF(ISNUMBER(W889), VLOOKUP(W889/$AH889,F!$A1:$B101,2,1)*W889*$X889*$Y889,0)+IF(ISNUMBER(AA889), VLOOKUP(AA889/$AH889,F!$A1:$B101,2,1)*AA889*$AB889*$AC889,0))*IF(ISNUMBER(F889),F889,1)*IF(ISNUMBER(E889),E889,1)</f>
        <v>0</v>
      </c>
      <c r="AJ889" s="164">
        <f t="shared" ref="AJ889:AJ896" si="1796">H889*I889+L889*M889+P889*Q889+T889*U889+X889*Y889+AB889*AC889</f>
        <v>0</v>
      </c>
      <c r="AK889" s="170">
        <f t="array" ref="AK889">IFERROR(I889*INDEX(F!$P$21:$AB$33, MATCH(G889/$AH889, F!$O$21:$O$33,1), MATCH(E889, F!$P$20:$AB$20,1)), 0 ) +IFERROR( M889*INDEX(F!$P$21:$AB$33, MATCH(K889/$AH889, F!$O$21:$O$33,1), MATCH(E889, F!$P$20:$AB$20,1)),0) +  IFERROR( Q889*INDEX(F!$P$21:$AB$33, MATCH(O889/$AH889, F!$O$21:$O$33,1), MATCH(E889, F!$P$20:$AB$20,1)), 0) + IFERROR( U889*INDEX(F!$P$21:$AB$33, MATCH(S889/$AH889, F!$O$21:$O$33,1), MATCH(E889, F!$P$20:$AB$20,1)),0)  + IFERROR(Y889*INDEX(F!$P$21:$AB$33, MATCH(W889/$AH889, F!$O$21:$O$33,1), MATCH(E889, F!$P$20:$AB$20,1)),0)  + IFERROR( AC889*INDEX(F!$P$21:$AB$33, MATCH(AA889/$AH889, F!$O$21:$O$33,1), MATCH(E889, F!$P$20:$AB$20,1)),)</f>
        <v>0</v>
      </c>
      <c r="AL889" s="42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 ht="15.75" hidden="1" customHeight="1">
      <c r="A890" s="44">
        <f>A834+A786</f>
        <v>43892</v>
      </c>
      <c r="B890" s="135" t="str">
        <f t="shared" ref="B890:F890" si="1786">IF(B834="","",B834)</f>
        <v/>
      </c>
      <c r="C890" s="136" t="str">
        <f t="shared" si="1786"/>
        <v/>
      </c>
      <c r="D890" s="137" t="str">
        <f t="shared" si="1786"/>
        <v/>
      </c>
      <c r="E890" s="48" t="str">
        <f t="shared" si="1786"/>
        <v/>
      </c>
      <c r="F890" s="138" t="str">
        <f t="shared" si="1786"/>
        <v/>
      </c>
      <c r="G890" s="139" t="str">
        <f t="shared" si="1787"/>
        <v/>
      </c>
      <c r="H890" s="140"/>
      <c r="I890" s="140"/>
      <c r="J890" s="141"/>
      <c r="K890" s="139" t="str">
        <f t="shared" si="1788"/>
        <v/>
      </c>
      <c r="L890" s="140"/>
      <c r="M890" s="140"/>
      <c r="N890" s="141"/>
      <c r="O890" s="139" t="str">
        <f t="shared" si="1789"/>
        <v/>
      </c>
      <c r="P890" s="140"/>
      <c r="Q890" s="140"/>
      <c r="R890" s="141"/>
      <c r="S890" s="139" t="str">
        <f t="shared" si="1790"/>
        <v/>
      </c>
      <c r="T890" s="140"/>
      <c r="U890" s="140"/>
      <c r="V890" s="141"/>
      <c r="W890" s="139" t="str">
        <f t="shared" si="1791"/>
        <v/>
      </c>
      <c r="X890" s="140"/>
      <c r="Y890" s="140"/>
      <c r="Z890" s="141"/>
      <c r="AA890" s="139" t="str">
        <f t="shared" si="1792"/>
        <v/>
      </c>
      <c r="AB890" s="140"/>
      <c r="AC890" s="140"/>
      <c r="AD890" s="141"/>
      <c r="AE890" s="142">
        <f t="shared" si="1793"/>
        <v>0</v>
      </c>
      <c r="AF890" s="143">
        <f t="shared" si="1698"/>
        <v>0</v>
      </c>
      <c r="AG890" s="144">
        <f t="shared" si="1794"/>
        <v>0</v>
      </c>
      <c r="AH890" s="76" t="str">
        <f t="shared" si="1795"/>
        <v/>
      </c>
      <c r="AI890" s="143">
        <f> ( IF(ISNUMBER(G890), VLOOKUP(G890/$AH890,F!$A1:$B101,2,1)*G890*$H890*$I890,0)+IF(ISNUMBER(K890), VLOOKUP(K890/$AH890,F!$A1:$B101,2,1)*K890*$L890*$M890,0)+IF(ISNUMBER(O890), VLOOKUP(O890/$AH890,F!$A1:$B101,2,1)*O890*$P890*$Q890,0)+IF(ISNUMBER(S890), VLOOKUP(S890/$AH890,F!$A1:$B101,2,1)*S890*$T890*$U890,0)+IF(ISNUMBER(W890), VLOOKUP(W890/$AH890,F!$A1:$B101,2,1)*W890*$X890*$Y890,0)+IF(ISNUMBER(AA890), VLOOKUP(AA890/$AH890,F!$A1:$B101,2,1)*AA890*$AB890*$AC890,0))*IF(ISNUMBER(F890),F890,1)*IF(ISNUMBER(E890),E890,1)</f>
        <v>0</v>
      </c>
      <c r="AJ890" s="140">
        <f t="shared" si="1796"/>
        <v>0</v>
      </c>
      <c r="AK890" s="145">
        <f t="array" ref="AK890">IFERROR(I890*INDEX(F!$P$21:$AB$33, MATCH(G890/$AH890, F!$O$21:$O$33,1), MATCH(E890, F!$P$20:$AB$20,1)), 0 ) +IFERROR( M890*INDEX(F!$P$21:$AB$33, MATCH(K890/$AH890, F!$O$21:$O$33,1), MATCH(E890, F!$P$20:$AB$20,1)),0) +  IFERROR( Q890*INDEX(F!$P$21:$AB$33, MATCH(O890/$AH890, F!$O$21:$O$33,1), MATCH(E890, F!$P$20:$AB$20,1)), 0) + IFERROR( U890*INDEX(F!$P$21:$AB$33, MATCH(S890/$AH890, F!$O$21:$O$33,1), MATCH(E890, F!$P$20:$AB$20,1)),0)  + IFERROR(Y890*INDEX(F!$P$21:$AB$33, MATCH(W890/$AH890, F!$O$21:$O$33,1), MATCH(E890, F!$P$20:$AB$20,1)),0)  + IFERROR( AC890*INDEX(F!$P$21:$AB$33, MATCH(AA890/$AH890, F!$O$21:$O$33,1), MATCH(E890, F!$P$20:$AB$20,1)),)</f>
        <v>0</v>
      </c>
      <c r="AL890" s="59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 ht="15.75" hidden="1" customHeight="1">
      <c r="A891" s="59"/>
      <c r="B891" s="173" t="str">
        <f t="shared" ref="B891:F891" si="1797">IF(B835="","",B835)</f>
        <v/>
      </c>
      <c r="C891" s="174" t="str">
        <f t="shared" si="1797"/>
        <v/>
      </c>
      <c r="D891" s="175" t="str">
        <f t="shared" si="1797"/>
        <v/>
      </c>
      <c r="E891" s="48" t="str">
        <f t="shared" si="1797"/>
        <v/>
      </c>
      <c r="F891" s="176" t="str">
        <f t="shared" si="1797"/>
        <v/>
      </c>
      <c r="G891" s="177" t="str">
        <f t="shared" si="1787"/>
        <v/>
      </c>
      <c r="H891" s="178"/>
      <c r="I891" s="178"/>
      <c r="J891" s="179"/>
      <c r="K891" s="177" t="str">
        <f t="shared" si="1788"/>
        <v/>
      </c>
      <c r="L891" s="178"/>
      <c r="M891" s="178"/>
      <c r="N891" s="179"/>
      <c r="O891" s="177" t="str">
        <f t="shared" si="1789"/>
        <v/>
      </c>
      <c r="P891" s="178"/>
      <c r="Q891" s="178"/>
      <c r="R891" s="179"/>
      <c r="S891" s="177" t="str">
        <f t="shared" si="1790"/>
        <v/>
      </c>
      <c r="T891" s="178"/>
      <c r="U891" s="178"/>
      <c r="V891" s="179"/>
      <c r="W891" s="177" t="str">
        <f t="shared" si="1791"/>
        <v/>
      </c>
      <c r="X891" s="178"/>
      <c r="Y891" s="178"/>
      <c r="Z891" s="179"/>
      <c r="AA891" s="177" t="str">
        <f t="shared" si="1792"/>
        <v/>
      </c>
      <c r="AB891" s="178"/>
      <c r="AC891" s="178"/>
      <c r="AD891" s="179"/>
      <c r="AE891" s="180">
        <f t="shared" si="1793"/>
        <v>0</v>
      </c>
      <c r="AF891" s="181">
        <f t="shared" si="1698"/>
        <v>0</v>
      </c>
      <c r="AG891" s="182">
        <f t="shared" si="1794"/>
        <v>0</v>
      </c>
      <c r="AH891" s="76" t="str">
        <f t="shared" si="1795"/>
        <v/>
      </c>
      <c r="AI891" s="181">
        <f> ( IF(ISNUMBER(G891), VLOOKUP(G891/$AH891,F!$A1:$B101,2,1)*G891*$H891*$I891,0)+IF(ISNUMBER(K891), VLOOKUP(K891/$AH891,F!$A1:$B101,2,1)*K891*$L891*$M891,0)+IF(ISNUMBER(O891), VLOOKUP(O891/$AH891,F!$A1:$B101,2,1)*O891*$P891*$Q891,0)+IF(ISNUMBER(S891), VLOOKUP(S891/$AH891,F!$A1:$B101,2,1)*S891*$T891*$U891,0)+IF(ISNUMBER(W891), VLOOKUP(W891/$AH891,F!$A1:$B101,2,1)*W891*$X891*$Y891,0)+IF(ISNUMBER(AA891), VLOOKUP(AA891/$AH891,F!$A1:$B101,2,1)*AA891*$AB891*$AC891,0))*IF(ISNUMBER(F891),F891,1)*IF(ISNUMBER(E891),E891,1)</f>
        <v>0</v>
      </c>
      <c r="AJ891" s="178">
        <f t="shared" si="1796"/>
        <v>0</v>
      </c>
      <c r="AK891" s="183">
        <f t="array" ref="AK891">IFERROR(I891*INDEX(F!$P$21:$AB$33, MATCH(G891/$AH891, F!$O$21:$O$33,1), MATCH(E891, F!$P$20:$AB$20,1)), 0 ) +IFERROR( M891*INDEX(F!$P$21:$AB$33, MATCH(K891/$AH891, F!$O$21:$O$33,1), MATCH(E891, F!$P$20:$AB$20,1)),0) +  IFERROR( Q891*INDEX(F!$P$21:$AB$33, MATCH(O891/$AH891, F!$O$21:$O$33,1), MATCH(E891, F!$P$20:$AB$20,1)), 0) + IFERROR( U891*INDEX(F!$P$21:$AB$33, MATCH(S891/$AH891, F!$O$21:$O$33,1), MATCH(E891, F!$P$20:$AB$20,1)),0)  + IFERROR(Y891*INDEX(F!$P$21:$AB$33, MATCH(W891/$AH891, F!$O$21:$O$33,1), MATCH(E891, F!$P$20:$AB$20,1)),0)  + IFERROR( AC891*INDEX(F!$P$21:$AB$33, MATCH(AA891/$AH891, F!$O$21:$O$33,1), MATCH(E891, F!$P$20:$AB$20,1)),)</f>
        <v>0</v>
      </c>
      <c r="AL891" s="59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 ht="15.75" hidden="1" customHeight="1">
      <c r="A892" s="59"/>
      <c r="B892" s="135" t="str">
        <f t="shared" ref="B892:F892" si="1798">IF(B836="","",B836)</f>
        <v/>
      </c>
      <c r="C892" s="136" t="str">
        <f t="shared" si="1798"/>
        <v/>
      </c>
      <c r="D892" s="137" t="str">
        <f t="shared" si="1798"/>
        <v/>
      </c>
      <c r="E892" s="48" t="str">
        <f t="shared" si="1798"/>
        <v/>
      </c>
      <c r="F892" s="138" t="str">
        <f t="shared" si="1798"/>
        <v/>
      </c>
      <c r="G892" s="139" t="str">
        <f t="shared" si="1787"/>
        <v/>
      </c>
      <c r="H892" s="140"/>
      <c r="I892" s="140"/>
      <c r="J892" s="141"/>
      <c r="K892" s="139" t="str">
        <f t="shared" si="1788"/>
        <v/>
      </c>
      <c r="L892" s="140"/>
      <c r="M892" s="140"/>
      <c r="N892" s="141"/>
      <c r="O892" s="139" t="str">
        <f t="shared" si="1789"/>
        <v/>
      </c>
      <c r="P892" s="140"/>
      <c r="Q892" s="140"/>
      <c r="R892" s="141"/>
      <c r="S892" s="139" t="str">
        <f t="shared" si="1790"/>
        <v/>
      </c>
      <c r="T892" s="140"/>
      <c r="U892" s="140"/>
      <c r="V892" s="141"/>
      <c r="W892" s="139" t="str">
        <f t="shared" si="1791"/>
        <v/>
      </c>
      <c r="X892" s="140"/>
      <c r="Y892" s="140"/>
      <c r="Z892" s="141"/>
      <c r="AA892" s="139" t="str">
        <f t="shared" si="1792"/>
        <v/>
      </c>
      <c r="AB892" s="140"/>
      <c r="AC892" s="140"/>
      <c r="AD892" s="141"/>
      <c r="AE892" s="142">
        <f t="shared" si="1793"/>
        <v>0</v>
      </c>
      <c r="AF892" s="143">
        <f t="shared" si="1698"/>
        <v>0</v>
      </c>
      <c r="AG892" s="144">
        <f t="shared" si="1794"/>
        <v>0</v>
      </c>
      <c r="AH892" s="76" t="str">
        <f t="shared" si="1795"/>
        <v/>
      </c>
      <c r="AI892" s="143">
        <f> ( IF(ISNUMBER(G892), VLOOKUP(G892/$AH892,F!$A1:$B101,2,1)*G892*$H892*$I892,0)+IF(ISNUMBER(K892), VLOOKUP(K892/$AH892,F!$A1:$B101,2,1)*K892*$L892*$M892,0)+IF(ISNUMBER(O892), VLOOKUP(O892/$AH892,F!$A1:$B101,2,1)*O892*$P892*$Q892,0)+IF(ISNUMBER(S892), VLOOKUP(S892/$AH892,F!$A1:$B101,2,1)*S892*$T892*$U892,0)+IF(ISNUMBER(W892), VLOOKUP(W892/$AH892,F!$A1:$B101,2,1)*W892*$X892*$Y892,0)+IF(ISNUMBER(AA892), VLOOKUP(AA892/$AH892,F!$A1:$B101,2,1)*AA892*$AB892*$AC892,0))*IF(ISNUMBER(F892),F892,1)*IF(ISNUMBER(E892),E892,1)</f>
        <v>0</v>
      </c>
      <c r="AJ892" s="140">
        <f t="shared" si="1796"/>
        <v>0</v>
      </c>
      <c r="AK892" s="145">
        <f t="array" ref="AK892">IFERROR(I892*INDEX(F!$P$21:$AB$33, MATCH(G892/$AH892, F!$O$21:$O$33,1), MATCH(E892, F!$P$20:$AB$20,1)), 0 ) +IFERROR( M892*INDEX(F!$P$21:$AB$33, MATCH(K892/$AH892, F!$O$21:$O$33,1), MATCH(E892, F!$P$20:$AB$20,1)),0) +  IFERROR( Q892*INDEX(F!$P$21:$AB$33, MATCH(O892/$AH892, F!$O$21:$O$33,1), MATCH(E892, F!$P$20:$AB$20,1)), 0) + IFERROR( U892*INDEX(F!$P$21:$AB$33, MATCH(S892/$AH892, F!$O$21:$O$33,1), MATCH(E892, F!$P$20:$AB$20,1)),0)  + IFERROR(Y892*INDEX(F!$P$21:$AB$33, MATCH(W892/$AH892, F!$O$21:$O$33,1), MATCH(E892, F!$P$20:$AB$20,1)),0)  + IFERROR( AC892*INDEX(F!$P$21:$AB$33, MATCH(AA892/$AH892, F!$O$21:$O$33,1), MATCH(E892, F!$P$20:$AB$20,1)),)</f>
        <v>0</v>
      </c>
      <c r="AL892" s="59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 ht="15.75" hidden="1" customHeight="1">
      <c r="A893" s="59"/>
      <c r="B893" s="173" t="str">
        <f t="shared" ref="B893:F893" si="1799">IF(B837="","",B837)</f>
        <v/>
      </c>
      <c r="C893" s="174" t="str">
        <f t="shared" si="1799"/>
        <v/>
      </c>
      <c r="D893" s="175" t="str">
        <f t="shared" si="1799"/>
        <v/>
      </c>
      <c r="E893" s="48" t="str">
        <f t="shared" si="1799"/>
        <v/>
      </c>
      <c r="F893" s="176" t="str">
        <f t="shared" si="1799"/>
        <v/>
      </c>
      <c r="G893" s="177" t="str">
        <f t="shared" si="1787"/>
        <v/>
      </c>
      <c r="H893" s="178"/>
      <c r="I893" s="178"/>
      <c r="J893" s="179"/>
      <c r="K893" s="177" t="str">
        <f t="shared" si="1788"/>
        <v/>
      </c>
      <c r="L893" s="178"/>
      <c r="M893" s="178"/>
      <c r="N893" s="179"/>
      <c r="O893" s="177" t="str">
        <f t="shared" si="1789"/>
        <v/>
      </c>
      <c r="P893" s="178"/>
      <c r="Q893" s="178"/>
      <c r="R893" s="179"/>
      <c r="S893" s="177" t="str">
        <f t="shared" si="1790"/>
        <v/>
      </c>
      <c r="T893" s="178"/>
      <c r="U893" s="178"/>
      <c r="V893" s="179"/>
      <c r="W893" s="177" t="str">
        <f t="shared" si="1791"/>
        <v/>
      </c>
      <c r="X893" s="178"/>
      <c r="Y893" s="178"/>
      <c r="Z893" s="179"/>
      <c r="AA893" s="177" t="str">
        <f t="shared" si="1792"/>
        <v/>
      </c>
      <c r="AB893" s="178"/>
      <c r="AC893" s="178"/>
      <c r="AD893" s="179"/>
      <c r="AE893" s="180">
        <f t="shared" si="1793"/>
        <v>0</v>
      </c>
      <c r="AF893" s="181">
        <f t="shared" si="1698"/>
        <v>0</v>
      </c>
      <c r="AG893" s="182">
        <f t="shared" si="1794"/>
        <v>0</v>
      </c>
      <c r="AH893" s="76" t="str">
        <f t="shared" si="1795"/>
        <v/>
      </c>
      <c r="AI893" s="181">
        <f> ( IF(ISNUMBER(G893), VLOOKUP(G893/$AH893,F!$A1:$B101,2,1)*G893*$H893*$I893,0)+IF(ISNUMBER(K893), VLOOKUP(K893/$AH893,F!$A1:$B101,2,1)*K893*$L893*$M893,0)+IF(ISNUMBER(O893), VLOOKUP(O893/$AH893,F!$A1:$B101,2,1)*O893*$P893*$Q893,0)+IF(ISNUMBER(S893), VLOOKUP(S893/$AH893,F!$A1:$B101,2,1)*S893*$T893*$U893,0)+IF(ISNUMBER(W893), VLOOKUP(W893/$AH893,F!$A1:$B101,2,1)*W893*$X893*$Y893,0)+IF(ISNUMBER(AA893), VLOOKUP(AA893/$AH893,F!$A1:$B101,2,1)*AA893*$AB893*$AC893,0))*IF(ISNUMBER(F893),F893,1)*IF(ISNUMBER(E893),E893,1)</f>
        <v>0</v>
      </c>
      <c r="AJ893" s="178">
        <f t="shared" si="1796"/>
        <v>0</v>
      </c>
      <c r="AK893" s="183">
        <f t="array" ref="AK893">IFERROR(I893*INDEX(F!$P$21:$AB$33, MATCH(G893/$AH893, F!$O$21:$O$33,1), MATCH(E893, F!$P$20:$AB$20,1)), 0 ) +IFERROR( M893*INDEX(F!$P$21:$AB$33, MATCH(K893/$AH893, F!$O$21:$O$33,1), MATCH(E893, F!$P$20:$AB$20,1)),0) +  IFERROR( Q893*INDEX(F!$P$21:$AB$33, MATCH(O893/$AH893, F!$O$21:$O$33,1), MATCH(E893, F!$P$20:$AB$20,1)), 0) + IFERROR( U893*INDEX(F!$P$21:$AB$33, MATCH(S893/$AH893, F!$O$21:$O$33,1), MATCH(E893, F!$P$20:$AB$20,1)),0)  + IFERROR(Y893*INDEX(F!$P$21:$AB$33, MATCH(W893/$AH893, F!$O$21:$O$33,1), MATCH(E893, F!$P$20:$AB$20,1)),0)  + IFERROR( AC893*INDEX(F!$P$21:$AB$33, MATCH(AA893/$AH893, F!$O$21:$O$33,1), MATCH(E893, F!$P$20:$AB$20,1)),)</f>
        <v>0</v>
      </c>
      <c r="AL893" s="59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 ht="15.75" hidden="1" customHeight="1">
      <c r="A894" s="59"/>
      <c r="B894" s="135" t="str">
        <f t="shared" ref="B894:F894" si="1800">IF(B838="","",B838)</f>
        <v/>
      </c>
      <c r="C894" s="136" t="str">
        <f t="shared" si="1800"/>
        <v/>
      </c>
      <c r="D894" s="137" t="str">
        <f t="shared" si="1800"/>
        <v/>
      </c>
      <c r="E894" s="48" t="str">
        <f t="shared" si="1800"/>
        <v/>
      </c>
      <c r="F894" s="138" t="str">
        <f t="shared" si="1800"/>
        <v/>
      </c>
      <c r="G894" s="139" t="str">
        <f t="shared" si="1787"/>
        <v/>
      </c>
      <c r="H894" s="140"/>
      <c r="I894" s="140"/>
      <c r="J894" s="141"/>
      <c r="K894" s="139" t="str">
        <f t="shared" si="1788"/>
        <v/>
      </c>
      <c r="L894" s="140"/>
      <c r="M894" s="140"/>
      <c r="N894" s="141"/>
      <c r="O894" s="139" t="str">
        <f t="shared" si="1789"/>
        <v/>
      </c>
      <c r="P894" s="140"/>
      <c r="Q894" s="140"/>
      <c r="R894" s="141"/>
      <c r="S894" s="139" t="str">
        <f t="shared" si="1790"/>
        <v/>
      </c>
      <c r="T894" s="140"/>
      <c r="U894" s="140"/>
      <c r="V894" s="141"/>
      <c r="W894" s="139" t="str">
        <f t="shared" si="1791"/>
        <v/>
      </c>
      <c r="X894" s="140"/>
      <c r="Y894" s="140"/>
      <c r="Z894" s="141"/>
      <c r="AA894" s="139" t="str">
        <f t="shared" si="1792"/>
        <v/>
      </c>
      <c r="AB894" s="140"/>
      <c r="AC894" s="140"/>
      <c r="AD894" s="141"/>
      <c r="AE894" s="142">
        <f t="shared" si="1793"/>
        <v>0</v>
      </c>
      <c r="AF894" s="143">
        <f t="shared" si="1698"/>
        <v>0</v>
      </c>
      <c r="AG894" s="144">
        <f t="shared" si="1794"/>
        <v>0</v>
      </c>
      <c r="AH894" s="76" t="str">
        <f t="shared" si="1795"/>
        <v/>
      </c>
      <c r="AI894" s="143">
        <f> ( IF(ISNUMBER(G894), VLOOKUP(G894/$AH894,F!$A1:$B101,2,1)*G894*$H894*$I894,0)+IF(ISNUMBER(K894), VLOOKUP(K894/$AH894,F!$A1:$B101,2,1)*K894*$L894*$M894,0)+IF(ISNUMBER(O894), VLOOKUP(O894/$AH894,F!$A1:$B101,2,1)*O894*$P894*$Q894,0)+IF(ISNUMBER(S894), VLOOKUP(S894/$AH894,F!$A1:$B101,2,1)*S894*$T894*$U894,0)+IF(ISNUMBER(W894), VLOOKUP(W894/$AH894,F!$A1:$B101,2,1)*W894*$X894*$Y894,0)+IF(ISNUMBER(AA894), VLOOKUP(AA894/$AH894,F!$A1:$B101,2,1)*AA894*$AB894*$AC894,0))*IF(ISNUMBER(F894),F894,1)*IF(ISNUMBER(E894),E894,1)</f>
        <v>0</v>
      </c>
      <c r="AJ894" s="140">
        <f t="shared" si="1796"/>
        <v>0</v>
      </c>
      <c r="AK894" s="145">
        <f t="array" ref="AK894">IFERROR(I894*INDEX(F!$P$21:$AB$33, MATCH(G894/$AH894, F!$O$21:$O$33,1), MATCH(E894, F!$P$20:$AB$20,1)), 0 ) +IFERROR( M894*INDEX(F!$P$21:$AB$33, MATCH(K894/$AH894, F!$O$21:$O$33,1), MATCH(E894, F!$P$20:$AB$20,1)),0) +  IFERROR( Q894*INDEX(F!$P$21:$AB$33, MATCH(O894/$AH894, F!$O$21:$O$33,1), MATCH(E894, F!$P$20:$AB$20,1)), 0) + IFERROR( U894*INDEX(F!$P$21:$AB$33, MATCH(S894/$AH894, F!$O$21:$O$33,1), MATCH(E894, F!$P$20:$AB$20,1)),0)  + IFERROR(Y894*INDEX(F!$P$21:$AB$33, MATCH(W894/$AH894, F!$O$21:$O$33,1), MATCH(E894, F!$P$20:$AB$20,1)),0)  + IFERROR( AC894*INDEX(F!$P$21:$AB$33, MATCH(AA894/$AH894, F!$O$21:$O$33,1), MATCH(E894, F!$P$20:$AB$20,1)),)</f>
        <v>0</v>
      </c>
      <c r="AL894" s="59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 ht="15.75" hidden="1" customHeight="1">
      <c r="A895" s="59"/>
      <c r="B895" s="173" t="str">
        <f t="shared" ref="B895:F895" si="1801">IF(B839="","",B839)</f>
        <v/>
      </c>
      <c r="C895" s="174" t="str">
        <f t="shared" si="1801"/>
        <v/>
      </c>
      <c r="D895" s="175" t="str">
        <f t="shared" si="1801"/>
        <v/>
      </c>
      <c r="E895" s="48" t="str">
        <f t="shared" si="1801"/>
        <v/>
      </c>
      <c r="F895" s="176" t="str">
        <f t="shared" si="1801"/>
        <v/>
      </c>
      <c r="G895" s="177" t="str">
        <f t="shared" si="1787"/>
        <v/>
      </c>
      <c r="H895" s="178"/>
      <c r="I895" s="178"/>
      <c r="J895" s="179"/>
      <c r="K895" s="177" t="str">
        <f t="shared" si="1788"/>
        <v/>
      </c>
      <c r="L895" s="178"/>
      <c r="M895" s="178"/>
      <c r="N895" s="179"/>
      <c r="O895" s="177" t="str">
        <f t="shared" si="1789"/>
        <v/>
      </c>
      <c r="P895" s="178"/>
      <c r="Q895" s="178"/>
      <c r="R895" s="179"/>
      <c r="S895" s="177" t="str">
        <f t="shared" si="1790"/>
        <v/>
      </c>
      <c r="T895" s="178"/>
      <c r="U895" s="178"/>
      <c r="V895" s="179"/>
      <c r="W895" s="177" t="str">
        <f t="shared" si="1791"/>
        <v/>
      </c>
      <c r="X895" s="178"/>
      <c r="Y895" s="178"/>
      <c r="Z895" s="179"/>
      <c r="AA895" s="177" t="str">
        <f t="shared" si="1792"/>
        <v/>
      </c>
      <c r="AB895" s="178"/>
      <c r="AC895" s="178"/>
      <c r="AD895" s="179"/>
      <c r="AE895" s="180">
        <f t="shared" si="1793"/>
        <v>0</v>
      </c>
      <c r="AF895" s="181">
        <f t="shared" si="1698"/>
        <v>0</v>
      </c>
      <c r="AG895" s="182">
        <f t="shared" si="1794"/>
        <v>0</v>
      </c>
      <c r="AH895" s="76" t="str">
        <f t="shared" si="1795"/>
        <v/>
      </c>
      <c r="AI895" s="181">
        <f> ( IF(ISNUMBER(G895), VLOOKUP(G895/$AH895,F!$A1:$B101,2,1)*G895*$H895*$I895,0)+IF(ISNUMBER(K895), VLOOKUP(K895/$AH895,F!$A1:$B101,2,1)*K895*$L895*$M895,0)+IF(ISNUMBER(O895), VLOOKUP(O895/$AH895,F!$A1:$B101,2,1)*O895*$P895*$Q895,0)+IF(ISNUMBER(S895), VLOOKUP(S895/$AH895,F!$A1:$B101,2,1)*S895*$T895*$U895,0)+IF(ISNUMBER(W895), VLOOKUP(W895/$AH895,F!$A1:$B101,2,1)*W895*$X895*$Y895,0)+IF(ISNUMBER(AA895), VLOOKUP(AA895/$AH895,F!$A1:$B101,2,1)*AA895*$AB895*$AC895,0))*IF(ISNUMBER(F895),F895,1)*IF(ISNUMBER(E895),E895,1)</f>
        <v>0</v>
      </c>
      <c r="AJ895" s="178">
        <f t="shared" si="1796"/>
        <v>0</v>
      </c>
      <c r="AK895" s="183">
        <f t="array" ref="AK895">IFERROR(I895*INDEX(F!$P$21:$AB$33, MATCH(G895/$AH895, F!$O$21:$O$33,1), MATCH(E895, F!$P$20:$AB$20,1)), 0 ) +IFERROR( M895*INDEX(F!$P$21:$AB$33, MATCH(K895/$AH895, F!$O$21:$O$33,1), MATCH(E895, F!$P$20:$AB$20,1)),0) +  IFERROR( Q895*INDEX(F!$P$21:$AB$33, MATCH(O895/$AH895, F!$O$21:$O$33,1), MATCH(E895, F!$P$20:$AB$20,1)), 0) + IFERROR( U895*INDEX(F!$P$21:$AB$33, MATCH(S895/$AH895, F!$O$21:$O$33,1), MATCH(E895, F!$P$20:$AB$20,1)),0)  + IFERROR(Y895*INDEX(F!$P$21:$AB$33, MATCH(W895/$AH895, F!$O$21:$O$33,1), MATCH(E895, F!$P$20:$AB$20,1)),0)  + IFERROR( AC895*INDEX(F!$P$21:$AB$33, MATCH(AA895/$AH895, F!$O$21:$O$33,1), MATCH(E895, F!$P$20:$AB$20,1)),)</f>
        <v>0</v>
      </c>
      <c r="AL895" s="59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 ht="15.75" hidden="1" customHeight="1">
      <c r="A896" s="59"/>
      <c r="B896" s="135" t="str">
        <f t="shared" ref="B896:F896" si="1802">IF(B840="","",B840)</f>
        <v/>
      </c>
      <c r="C896" s="136" t="str">
        <f t="shared" si="1802"/>
        <v/>
      </c>
      <c r="D896" s="137" t="str">
        <f t="shared" si="1802"/>
        <v/>
      </c>
      <c r="E896" s="48" t="str">
        <f t="shared" si="1802"/>
        <v/>
      </c>
      <c r="F896" s="138" t="str">
        <f t="shared" si="1802"/>
        <v/>
      </c>
      <c r="G896" s="139" t="str">
        <f t="shared" si="1787"/>
        <v/>
      </c>
      <c r="H896" s="140"/>
      <c r="I896" s="140"/>
      <c r="J896" s="141"/>
      <c r="K896" s="139" t="str">
        <f t="shared" si="1788"/>
        <v/>
      </c>
      <c r="L896" s="140"/>
      <c r="M896" s="140"/>
      <c r="N896" s="141"/>
      <c r="O896" s="139" t="str">
        <f t="shared" si="1789"/>
        <v/>
      </c>
      <c r="P896" s="140"/>
      <c r="Q896" s="140"/>
      <c r="R896" s="141"/>
      <c r="S896" s="139" t="str">
        <f t="shared" si="1790"/>
        <v/>
      </c>
      <c r="T896" s="140"/>
      <c r="U896" s="140"/>
      <c r="V896" s="141"/>
      <c r="W896" s="139" t="str">
        <f t="shared" si="1791"/>
        <v/>
      </c>
      <c r="X896" s="140"/>
      <c r="Y896" s="140"/>
      <c r="Z896" s="141"/>
      <c r="AA896" s="139" t="str">
        <f t="shared" si="1792"/>
        <v/>
      </c>
      <c r="AB896" s="140"/>
      <c r="AC896" s="140"/>
      <c r="AD896" s="141"/>
      <c r="AE896" s="142">
        <f t="shared" si="1793"/>
        <v>0</v>
      </c>
      <c r="AF896" s="143">
        <f t="shared" si="1698"/>
        <v>0</v>
      </c>
      <c r="AG896" s="144">
        <f t="shared" si="1794"/>
        <v>0</v>
      </c>
      <c r="AH896" s="76" t="str">
        <f t="shared" si="1795"/>
        <v/>
      </c>
      <c r="AI896" s="143">
        <f> ( IF(ISNUMBER(G896), VLOOKUP(G896/$AH896,F!$A1:$B101,2,1)*G896*$H896*$I896,0)+IF(ISNUMBER(K896), VLOOKUP(K896/$AH896,F!$A1:$B101,2,1)*K896*$L896*$M896,0)+IF(ISNUMBER(O896), VLOOKUP(O896/$AH896,F!$A1:$B101,2,1)*O896*$P896*$Q896,0)+IF(ISNUMBER(S896), VLOOKUP(S896/$AH896,F!$A1:$B101,2,1)*S896*$T896*$U896,0)+IF(ISNUMBER(W896), VLOOKUP(W896/$AH896,F!$A1:$B101,2,1)*W896*$X896*$Y896,0)+IF(ISNUMBER(AA896), VLOOKUP(AA896/$AH896,F!$A1:$B101,2,1)*AA896*$AB896*$AC896,0))*IF(ISNUMBER(F896),F896,1)*IF(ISNUMBER(E896),E896,1)</f>
        <v>0</v>
      </c>
      <c r="AJ896" s="140">
        <f t="shared" si="1796"/>
        <v>0</v>
      </c>
      <c r="AK896" s="145">
        <f t="array" ref="AK896">IFERROR(I896*INDEX(F!$P$21:$AB$33, MATCH(G896/$AH896, F!$O$21:$O$33,1), MATCH(E896, F!$P$20:$AB$20,1)), 0 ) +IFERROR( M896*INDEX(F!$P$21:$AB$33, MATCH(K896/$AH896, F!$O$21:$O$33,1), MATCH(E896, F!$P$20:$AB$20,1)),0) +  IFERROR( Q896*INDEX(F!$P$21:$AB$33, MATCH(O896/$AH896, F!$O$21:$O$33,1), MATCH(E896, F!$P$20:$AB$20,1)), 0) + IFERROR( U896*INDEX(F!$P$21:$AB$33, MATCH(S896/$AH896, F!$O$21:$O$33,1), MATCH(E896, F!$P$20:$AB$20,1)),0)  + IFERROR(Y896*INDEX(F!$P$21:$AB$33, MATCH(W896/$AH896, F!$O$21:$O$33,1), MATCH(E896, F!$P$20:$AB$20,1)),0)  + IFERROR( AC896*INDEX(F!$P$21:$AB$33, MATCH(AA896/$AH896, F!$O$21:$O$33,1), MATCH(E896, F!$P$20:$AB$20,1)),)</f>
        <v>0</v>
      </c>
      <c r="AL896" s="59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 ht="15.75" hidden="1" customHeight="1">
      <c r="A897" s="98"/>
      <c r="B897" s="188"/>
      <c r="C897" s="189"/>
      <c r="D897" s="190"/>
      <c r="E897" s="102">
        <f>ROUND(IFERROR(SUMPRODUCT(AJ889:AJ896,E889:E896)/AJ897,0),3)</f>
        <v>0</v>
      </c>
      <c r="F897" s="191"/>
      <c r="G897" s="201"/>
      <c r="H897" s="193"/>
      <c r="I897" s="193"/>
      <c r="J897" s="194"/>
      <c r="K897" s="201"/>
      <c r="L897" s="193"/>
      <c r="M897" s="193"/>
      <c r="N897" s="194"/>
      <c r="O897" s="201"/>
      <c r="P897" s="193"/>
      <c r="Q897" s="193"/>
      <c r="R897" s="194"/>
      <c r="S897" s="201"/>
      <c r="T897" s="193"/>
      <c r="U897" s="193"/>
      <c r="V897" s="194"/>
      <c r="W897" s="201"/>
      <c r="X897" s="193"/>
      <c r="Y897" s="193"/>
      <c r="Z897" s="194"/>
      <c r="AA897" s="201"/>
      <c r="AB897" s="193"/>
      <c r="AC897" s="193"/>
      <c r="AD897" s="194"/>
      <c r="AE897" s="107">
        <f>SUM(AE889:AE896)</f>
        <v>0</v>
      </c>
      <c r="AF897" s="108">
        <f t="shared" si="1698"/>
        <v>0</v>
      </c>
      <c r="AG897" s="109">
        <f>IFERROR(  SUMPRODUCT(AG889:AG896,AJ889:AJ896)/AJ897,0)</f>
        <v>0</v>
      </c>
      <c r="AH897" s="157"/>
      <c r="AI897" s="111">
        <f t="shared" ref="AI897:AJ897" si="1803">SUM(AI889:AI896)</f>
        <v>0</v>
      </c>
      <c r="AJ897" s="111">
        <f t="shared" si="1803"/>
        <v>0</v>
      </c>
      <c r="AK897" s="112">
        <f>IF(SUM(AK889:AK896)=0,TIME(,0,),TIME(,SUM(AK889:AK896)+F!$V$37,))</f>
        <v>0</v>
      </c>
      <c r="AL897" s="98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 ht="15.75" hidden="1" customHeight="1">
      <c r="A898" s="5">
        <f>A842</f>
        <v>7</v>
      </c>
      <c r="B898" s="6"/>
      <c r="C898" s="6"/>
      <c r="D898" s="6"/>
      <c r="E898" s="7">
        <f>IF(AJ898=0,0,(E908*AJ908 + E917*AJ917 + E926*AJ926 + E935*AJ935 + E944*AJ944 + E953*AJ953   ) /AJ898 )</f>
        <v>0</v>
      </c>
      <c r="F898" s="8" t="s">
        <v>0</v>
      </c>
      <c r="G898" s="9"/>
      <c r="H898" s="9"/>
      <c r="I898" s="9"/>
      <c r="J898" s="9"/>
      <c r="K898" s="9"/>
      <c r="L898" s="9"/>
      <c r="M898" s="10"/>
      <c r="N898" s="228">
        <f>N842+1</f>
        <v>17</v>
      </c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  <c r="AA898" s="222"/>
      <c r="AB898" s="222"/>
      <c r="AC898" s="222"/>
      <c r="AD898" s="223"/>
      <c r="AE898" s="5">
        <f>AE908+AE917+AE926+AE935+AE944+AE953</f>
        <v>0</v>
      </c>
      <c r="AF898" s="229">
        <f t="shared" si="1698"/>
        <v>0</v>
      </c>
      <c r="AG898" s="230">
        <f>IF(AJ898=0,0,(AG908*AJ908 + AG917*AJ917 + AG926*AJ926 + AG935*AJ935 + AG944*AJ944 + AG953*AJ953   ) /AJ898 )</f>
        <v>0</v>
      </c>
      <c r="AH898" s="210">
        <f>AH842</f>
        <v>0.02</v>
      </c>
      <c r="AI898" s="5">
        <f t="shared" ref="AI898:AK898" si="1804">AI908+AI917+AI926+AI935+AI944+AI953</f>
        <v>0</v>
      </c>
      <c r="AJ898" s="5">
        <f t="shared" si="1804"/>
        <v>0</v>
      </c>
      <c r="AK898" s="231">
        <f t="shared" si="1804"/>
        <v>0</v>
      </c>
      <c r="AL898" s="218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 ht="15.75" hidden="1" customHeight="1">
      <c r="A899" s="19" t="s">
        <v>1</v>
      </c>
      <c r="B899" s="20" t="s">
        <v>2</v>
      </c>
      <c r="C899" s="20" t="s">
        <v>3</v>
      </c>
      <c r="D899" s="20" t="s">
        <v>4</v>
      </c>
      <c r="E899" s="20" t="s">
        <v>5</v>
      </c>
      <c r="F899" s="20" t="s">
        <v>6</v>
      </c>
      <c r="G899" s="20" t="s">
        <v>7</v>
      </c>
      <c r="H899" s="20" t="s">
        <v>8</v>
      </c>
      <c r="I899" s="20" t="s">
        <v>9</v>
      </c>
      <c r="J899" s="20" t="s">
        <v>10</v>
      </c>
      <c r="K899" s="20" t="s">
        <v>7</v>
      </c>
      <c r="L899" s="20" t="s">
        <v>8</v>
      </c>
      <c r="M899" s="20" t="s">
        <v>9</v>
      </c>
      <c r="N899" s="20" t="s">
        <v>10</v>
      </c>
      <c r="O899" s="20" t="s">
        <v>7</v>
      </c>
      <c r="P899" s="20" t="s">
        <v>8</v>
      </c>
      <c r="Q899" s="20" t="s">
        <v>9</v>
      </c>
      <c r="R899" s="20" t="s">
        <v>10</v>
      </c>
      <c r="S899" s="20" t="s">
        <v>7</v>
      </c>
      <c r="T899" s="20" t="s">
        <v>8</v>
      </c>
      <c r="U899" s="20" t="s">
        <v>9</v>
      </c>
      <c r="V899" s="20" t="s">
        <v>10</v>
      </c>
      <c r="W899" s="20" t="s">
        <v>7</v>
      </c>
      <c r="X899" s="20" t="s">
        <v>8</v>
      </c>
      <c r="Y899" s="20" t="s">
        <v>9</v>
      </c>
      <c r="Z899" s="20" t="s">
        <v>10</v>
      </c>
      <c r="AA899" s="20" t="s">
        <v>7</v>
      </c>
      <c r="AB899" s="20" t="s">
        <v>8</v>
      </c>
      <c r="AC899" s="20" t="s">
        <v>9</v>
      </c>
      <c r="AD899" s="21" t="s">
        <v>10</v>
      </c>
      <c r="AE899" s="20" t="s">
        <v>11</v>
      </c>
      <c r="AF899" s="20" t="s">
        <v>12</v>
      </c>
      <c r="AG899" s="20" t="s">
        <v>13</v>
      </c>
      <c r="AH899" s="213" t="s">
        <v>14</v>
      </c>
      <c r="AI899" s="23" t="s">
        <v>15</v>
      </c>
      <c r="AJ899" s="20" t="s">
        <v>16</v>
      </c>
      <c r="AK899" s="21" t="s">
        <v>17</v>
      </c>
      <c r="AL899" s="214" t="s">
        <v>18</v>
      </c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 ht="15.75" hidden="1" customHeight="1">
      <c r="A900" s="25">
        <f>A901</f>
        <v>43892</v>
      </c>
      <c r="B900" s="26" t="str">
        <f t="shared" ref="B900:F900" si="1805">IF(B844="","",B844)</f>
        <v>Средняя</v>
      </c>
      <c r="C900" s="27" t="str">
        <f t="shared" si="1805"/>
        <v>ПР</v>
      </c>
      <c r="D900" s="28" t="str">
        <f t="shared" si="1805"/>
        <v>Присед</v>
      </c>
      <c r="E900" s="29">
        <f t="shared" si="1805"/>
        <v>1.2</v>
      </c>
      <c r="F900" s="30" t="str">
        <f t="shared" si="1805"/>
        <v/>
      </c>
      <c r="G900" s="31" t="str">
        <f t="shared" ref="G900:G907" si="1807">IF(J900&lt;&gt;0, IFERROR(IF( $F900=2,  MROUND($AH900*J900,1),    IF( OR($F900="",$F900=1),   MROUND($AH900*J900,2.5),  MROUND($AH900*J900, 0.1))), "" ), "")</f>
        <v/>
      </c>
      <c r="H900" s="32"/>
      <c r="I900" s="32"/>
      <c r="J900" s="33"/>
      <c r="K900" s="31" t="str">
        <f t="shared" ref="K900:K907" si="1808">IF(N900&lt;&gt;0, IFERROR(IF( $F900=2,  MROUND($AH900*N900,1),    IF( OR($F900="",$F900=1),   MROUND($AH900*N900,2.5),  MROUND($AH900*N900, 0.1))), "" ), "")</f>
        <v/>
      </c>
      <c r="L900" s="32"/>
      <c r="M900" s="32"/>
      <c r="N900" s="33"/>
      <c r="O900" s="31" t="str">
        <f t="shared" ref="O900:O907" si="1809">IF(R900&lt;&gt;0, IFERROR(IF( $F900=2,  MROUND($AH900*R900,1),    IF( OR($F900="",$F900=1),   MROUND($AH900*R900,2.5),  MROUND($AH900*R900, 0.1))), "" ), "")</f>
        <v/>
      </c>
      <c r="P900" s="32"/>
      <c r="Q900" s="32"/>
      <c r="R900" s="33"/>
      <c r="S900" s="31" t="str">
        <f t="shared" ref="S900:S907" si="1810">IF(V900&lt;&gt;0, IFERROR(IF( $F900=2,  MROUND($AH900*V900,1),    IF( OR($F900="",$F900=1),   MROUND($AH900*V900,2.5),  MROUND($AH900*V900, 0.1))), "" ), "")</f>
        <v/>
      </c>
      <c r="T900" s="32"/>
      <c r="U900" s="32"/>
      <c r="V900" s="33"/>
      <c r="W900" s="31" t="str">
        <f t="shared" ref="W900:W907" si="1811">IF(Z900&lt;&gt;0, IFERROR(IF( $F900=2,  MROUND($AH900*Z900,1),    IF( OR($F900="",$F900=1),   MROUND($AH900*Z900,2.5),  MROUND($AH900*Z900, 0.1))), "" ), "")</f>
        <v/>
      </c>
      <c r="X900" s="32"/>
      <c r="Y900" s="32"/>
      <c r="Z900" s="33"/>
      <c r="AA900" s="31" t="str">
        <f t="shared" ref="AA900:AA907" si="1812">IF(AD900&lt;&gt;0, IFERROR(IF( $F900=2,  MROUND($AH900*AD900,1),    IF( OR($F900="",$F900=1),   MROUND($AH900*AD900,2.5),  MROUND($AH900*AD900, 0.1))), "" ), "")</f>
        <v/>
      </c>
      <c r="AB900" s="32"/>
      <c r="AC900" s="32"/>
      <c r="AD900" s="33"/>
      <c r="AE900" s="35">
        <f t="shared" ref="AE900:AE907" si="1813">(IF(ISNUMBER(G900),G900,0)*H900*I900+IF(ISNUMBER(K900),K900,1)*L900*M900+IF(ISNUMBER(O900),O900,1)*P900*Q900+IF(ISNUMBER(S900),S900,1)*T900*U900+IF(ISNUMBER(W900),W900,1)*X900*Y900+IF(ISNUMBER(AA900),AA900,1)*AB900*AC900)*IF(ISNUMBER(F900),F900,1)</f>
        <v>0</v>
      </c>
      <c r="AF900" s="36">
        <f t="shared" ref="AF900:AF954" si="1814">IFERROR(AE900/AJ900,0)</f>
        <v>0</v>
      </c>
      <c r="AG900" s="195">
        <f t="shared" ref="AG900:AG907" si="1815">IFERROR((AF900/(AH900*IF(ISNUMBER(F900),F900,1))),0)</f>
        <v>0</v>
      </c>
      <c r="AH900" s="169">
        <f t="shared" ref="AH900:AH907" si="1816">IF(ISNUMBER(AH844), AH844+(AH844*$AH$898),"")</f>
        <v>185.3260702</v>
      </c>
      <c r="AI900" s="70">
        <f> ( IF(ISNUMBER(G900), VLOOKUP(G900/$AH900,F!$A1:$B101,2,1)*G900*$H900*$I900,0)+IF(ISNUMBER(K900), VLOOKUP(K900/$AH900,F!$A1:$B101,2,1)*K900*$L900*$M900,0)+IF(ISNUMBER(O900), VLOOKUP(O900/$AH900,F!$A1:$B101,2,1)*O900*$P900*$Q900,0)+IF(ISNUMBER(S900), VLOOKUP(S900/$AH900,F!$A1:$B101,2,1)*S900*$T900*$U900,0)+IF(ISNUMBER(W900), VLOOKUP(W900/$AH900,F!$A1:$B101,2,1)*W900*$X900*$Y900,0)+IF(ISNUMBER(AA900), VLOOKUP(AA900/$AH900,F!$A1:$B101,2,1)*AA900*$AB900*$AC900,0))*IF(ISNUMBER(F900),F900,1)*IF(ISNUMBER(E900),E900,1)</f>
        <v>0</v>
      </c>
      <c r="AJ900" s="40">
        <f t="shared" ref="AJ900:AJ907" si="1817">H900*I900+L900*M900+P900*Q900+T900*U900+X900*Y900+AB900*AC900</f>
        <v>0</v>
      </c>
      <c r="AK900" s="41">
        <f t="array" ref="AK900">IFERROR(I900*INDEX(F!$P$21:$AB$33, MATCH(G900/$AH900, F!$O$21:$O$33,1), MATCH(E900, F!$P$20:$AB$20,1)), 0 ) +IFERROR( M900*INDEX(F!$P$21:$AB$33, MATCH(K900/$AH900, F!$O$21:$O$33,1), MATCH(E900, F!$P$20:$AB$20,1)),0) +  IFERROR( Q900*INDEX(F!$P$21:$AB$33, MATCH(O900/$AH900, F!$O$21:$O$33,1), MATCH(E900, F!$P$20:$AB$20,1)), 0) + IFERROR( U900*INDEX(F!$P$21:$AB$33, MATCH(S900/$AH900, F!$O$21:$O$33,1), MATCH(E900, F!$P$20:$AB$20,1)),0)  + IFERROR(Y900*INDEX(F!$P$21:$AB$33, MATCH(W900/$AH900, F!$O$21:$O$33,1), MATCH(E900, F!$P$20:$AB$20,1)),0)  + IFERROR( AC900*INDEX(F!$P$21:$AB$33, MATCH(AA900/$AH900, F!$O$21:$O$33,1), MATCH(E900, F!$P$20:$AB$20,1)),)</f>
        <v>0</v>
      </c>
      <c r="AL900" s="42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 ht="15.75" hidden="1" customHeight="1">
      <c r="A901" s="44">
        <f>A845+A842</f>
        <v>43892</v>
      </c>
      <c r="B901" s="45" t="str">
        <f t="shared" ref="B901:F901" si="1806">IF(B845="","",B845)</f>
        <v>Средняя</v>
      </c>
      <c r="C901" s="46" t="str">
        <f t="shared" si="1806"/>
        <v>ЖМ</v>
      </c>
      <c r="D901" s="47" t="str">
        <f t="shared" si="1806"/>
        <v>Жим лежа</v>
      </c>
      <c r="E901" s="48">
        <f t="shared" si="1806"/>
        <v>1</v>
      </c>
      <c r="F901" s="49" t="str">
        <f t="shared" si="1806"/>
        <v/>
      </c>
      <c r="G901" s="50" t="str">
        <f t="shared" si="1807"/>
        <v/>
      </c>
      <c r="H901" s="51"/>
      <c r="I901" s="51"/>
      <c r="J901" s="52"/>
      <c r="K901" s="50" t="str">
        <f t="shared" si="1808"/>
        <v/>
      </c>
      <c r="L901" s="51"/>
      <c r="M901" s="51"/>
      <c r="N901" s="52"/>
      <c r="O901" s="50" t="str">
        <f t="shared" si="1809"/>
        <v/>
      </c>
      <c r="P901" s="51"/>
      <c r="Q901" s="51"/>
      <c r="R901" s="52"/>
      <c r="S901" s="50" t="str">
        <f t="shared" si="1810"/>
        <v/>
      </c>
      <c r="T901" s="51"/>
      <c r="U901" s="51"/>
      <c r="V901" s="52"/>
      <c r="W901" s="50" t="str">
        <f t="shared" si="1811"/>
        <v/>
      </c>
      <c r="X901" s="51"/>
      <c r="Y901" s="51"/>
      <c r="Z901" s="52"/>
      <c r="AA901" s="50" t="str">
        <f t="shared" si="1812"/>
        <v/>
      </c>
      <c r="AB901" s="51"/>
      <c r="AC901" s="51"/>
      <c r="AD901" s="52"/>
      <c r="AE901" s="53">
        <f t="shared" si="1813"/>
        <v>0</v>
      </c>
      <c r="AF901" s="54">
        <f t="shared" si="1814"/>
        <v>0</v>
      </c>
      <c r="AG901" s="75">
        <f t="shared" si="1815"/>
        <v>0</v>
      </c>
      <c r="AH901" s="76">
        <f t="shared" si="1816"/>
        <v>130.414642</v>
      </c>
      <c r="AI901" s="77">
        <f> ( IF(ISNUMBER(G901), VLOOKUP(G901/$AH901,F!$A1:$B101,2,1)*G901*$H901*$I901,0)+IF(ISNUMBER(K901), VLOOKUP(K901/$AH901,F!$A1:$B101,2,1)*K901*$L901*$M901,0)+IF(ISNUMBER(O901), VLOOKUP(O901/$AH901,F!$A1:$B101,2,1)*O901*$P901*$Q901,0)+IF(ISNUMBER(S901), VLOOKUP(S901/$AH901,F!$A1:$B101,2,1)*S901*$T901*$U901,0)+IF(ISNUMBER(W901), VLOOKUP(W901/$AH901,F!$A1:$B101,2,1)*W901*$X901*$Y901,0)+IF(ISNUMBER(AA901), VLOOKUP(AA901/$AH901,F!$A1:$B101,2,1)*AA901*$AB901*$AC901,0))*IF(ISNUMBER(F901),F901,1)*IF(ISNUMBER(E901),E901,1)</f>
        <v>0</v>
      </c>
      <c r="AJ901" s="57">
        <f t="shared" si="1817"/>
        <v>0</v>
      </c>
      <c r="AK901" s="58">
        <f t="array" ref="AK901">IFERROR(I901*INDEX(F!$P$21:$AB$33, MATCH(G901/$AH901, F!$O$21:$O$33,1), MATCH(E901, F!$P$20:$AB$20,1)), 0 ) +IFERROR( M901*INDEX(F!$P$21:$AB$33, MATCH(K901/$AH901, F!$O$21:$O$33,1), MATCH(E901, F!$P$20:$AB$20,1)),0) +  IFERROR( Q901*INDEX(F!$P$21:$AB$33, MATCH(O901/$AH901, F!$O$21:$O$33,1), MATCH(E901, F!$P$20:$AB$20,1)), 0) + IFERROR( U901*INDEX(F!$P$21:$AB$33, MATCH(S901/$AH901, F!$O$21:$O$33,1), MATCH(E901, F!$P$20:$AB$20,1)),0)  + IFERROR(Y901*INDEX(F!$P$21:$AB$33, MATCH(W901/$AH901, F!$O$21:$O$33,1), MATCH(E901, F!$P$20:$AB$20,1)),0)  + IFERROR( AC901*INDEX(F!$P$21:$AB$33, MATCH(AA901/$AH901, F!$O$21:$O$33,1), MATCH(E901, F!$P$20:$AB$20,1)),)</f>
        <v>0</v>
      </c>
      <c r="AL901" s="59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 ht="15.75" hidden="1" customHeight="1">
      <c r="A902" s="59"/>
      <c r="B902" s="60" t="str">
        <f t="shared" ref="B902:F902" si="1818">IF(B846="","",B846)</f>
        <v>Тяжелая</v>
      </c>
      <c r="C902" s="61" t="str">
        <f t="shared" si="1818"/>
        <v>ПР</v>
      </c>
      <c r="D902" s="62" t="str">
        <f t="shared" si="1818"/>
        <v>Присед</v>
      </c>
      <c r="E902" s="48">
        <f t="shared" si="1818"/>
        <v>1.2</v>
      </c>
      <c r="F902" s="63" t="str">
        <f t="shared" si="1818"/>
        <v/>
      </c>
      <c r="G902" s="64" t="str">
        <f t="shared" si="1807"/>
        <v/>
      </c>
      <c r="H902" s="34"/>
      <c r="I902" s="34"/>
      <c r="J902" s="65"/>
      <c r="K902" s="64" t="str">
        <f t="shared" si="1808"/>
        <v/>
      </c>
      <c r="L902" s="34"/>
      <c r="M902" s="34"/>
      <c r="N902" s="65"/>
      <c r="O902" s="64" t="str">
        <f t="shared" si="1809"/>
        <v/>
      </c>
      <c r="P902" s="34"/>
      <c r="Q902" s="34"/>
      <c r="R902" s="65"/>
      <c r="S902" s="64" t="str">
        <f t="shared" si="1810"/>
        <v/>
      </c>
      <c r="T902" s="34"/>
      <c r="U902" s="34"/>
      <c r="V902" s="65"/>
      <c r="W902" s="64" t="str">
        <f t="shared" si="1811"/>
        <v/>
      </c>
      <c r="X902" s="34"/>
      <c r="Y902" s="34"/>
      <c r="Z902" s="65"/>
      <c r="AA902" s="64" t="str">
        <f t="shared" si="1812"/>
        <v/>
      </c>
      <c r="AB902" s="34"/>
      <c r="AC902" s="34"/>
      <c r="AD902" s="65"/>
      <c r="AE902" s="66">
        <f t="shared" si="1813"/>
        <v>0</v>
      </c>
      <c r="AF902" s="67">
        <f t="shared" si="1814"/>
        <v>0</v>
      </c>
      <c r="AG902" s="68">
        <f t="shared" si="1815"/>
        <v>0</v>
      </c>
      <c r="AH902" s="76">
        <f t="shared" si="1816"/>
        <v>185.3260702</v>
      </c>
      <c r="AI902" s="70">
        <f> ( IF(ISNUMBER(G902), VLOOKUP(G902/$AH902,F!$A1:$B101,2,1)*G902*$H902*$I902,0)+IF(ISNUMBER(K902), VLOOKUP(K902/$AH902,F!$A1:$B101,2,1)*K902*$L902*$M902,0)+IF(ISNUMBER(O902), VLOOKUP(O902/$AH902,F!$A1:$B101,2,1)*O902*$P902*$Q902,0)+IF(ISNUMBER(S902), VLOOKUP(S902/$AH902,F!$A1:$B101,2,1)*S902*$T902*$U902,0)+IF(ISNUMBER(W902), VLOOKUP(W902/$AH902,F!$A1:$B101,2,1)*W902*$X902*$Y902,0)+IF(ISNUMBER(AA902), VLOOKUP(AA902/$AH902,F!$A1:$B101,2,1)*AA902*$AB902*$AC902,0))*IF(ISNUMBER(F902),F902,1)*IF(ISNUMBER(E902),E902,1)</f>
        <v>0</v>
      </c>
      <c r="AJ902" s="71">
        <f t="shared" si="1817"/>
        <v>0</v>
      </c>
      <c r="AK902" s="72">
        <f t="array" ref="AK902">IFERROR(I902*INDEX(F!$P$21:$AB$33, MATCH(G902/$AH902, F!$O$21:$O$33,1), MATCH(E902, F!$P$20:$AB$20,1)), 0 ) +IFERROR( M902*INDEX(F!$P$21:$AB$33, MATCH(K902/$AH902, F!$O$21:$O$33,1), MATCH(E902, F!$P$20:$AB$20,1)),0) +  IFERROR( Q902*INDEX(F!$P$21:$AB$33, MATCH(O902/$AH902, F!$O$21:$O$33,1), MATCH(E902, F!$P$20:$AB$20,1)), 0) + IFERROR( U902*INDEX(F!$P$21:$AB$33, MATCH(S902/$AH902, F!$O$21:$O$33,1), MATCH(E902, F!$P$20:$AB$20,1)),0)  + IFERROR(Y902*INDEX(F!$P$21:$AB$33, MATCH(W902/$AH902, F!$O$21:$O$33,1), MATCH(E902, F!$P$20:$AB$20,1)),0)  + IFERROR( AC902*INDEX(F!$P$21:$AB$33, MATCH(AA902/$AH902, F!$O$21:$O$33,1), MATCH(E902, F!$P$20:$AB$20,1)),)</f>
        <v>0</v>
      </c>
      <c r="AL902" s="59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 ht="15.75" hidden="1" customHeight="1">
      <c r="A903" s="59"/>
      <c r="B903" s="215" t="str">
        <f t="shared" ref="B903:F903" si="1819">IF(B847="","",B847)</f>
        <v>Средняя</v>
      </c>
      <c r="C903" s="73" t="str">
        <f t="shared" si="1819"/>
        <v>ЖМ</v>
      </c>
      <c r="D903" s="47" t="str">
        <f t="shared" si="1819"/>
        <v>Жим гантелей</v>
      </c>
      <c r="E903" s="48">
        <f t="shared" si="1819"/>
        <v>1</v>
      </c>
      <c r="F903" s="74">
        <f t="shared" si="1819"/>
        <v>2</v>
      </c>
      <c r="G903" s="50" t="str">
        <f t="shared" si="1807"/>
        <v/>
      </c>
      <c r="H903" s="51"/>
      <c r="I903" s="51"/>
      <c r="J903" s="52"/>
      <c r="K903" s="50" t="str">
        <f t="shared" si="1808"/>
        <v/>
      </c>
      <c r="L903" s="51"/>
      <c r="M903" s="51"/>
      <c r="N903" s="52"/>
      <c r="O903" s="50" t="str">
        <f t="shared" si="1809"/>
        <v/>
      </c>
      <c r="P903" s="51"/>
      <c r="Q903" s="51"/>
      <c r="R903" s="52"/>
      <c r="S903" s="50" t="str">
        <f t="shared" si="1810"/>
        <v/>
      </c>
      <c r="T903" s="51"/>
      <c r="U903" s="51"/>
      <c r="V903" s="52"/>
      <c r="W903" s="50" t="str">
        <f t="shared" si="1811"/>
        <v/>
      </c>
      <c r="X903" s="51"/>
      <c r="Y903" s="51"/>
      <c r="Z903" s="52"/>
      <c r="AA903" s="50" t="str">
        <f t="shared" si="1812"/>
        <v/>
      </c>
      <c r="AB903" s="51"/>
      <c r="AC903" s="51"/>
      <c r="AD903" s="52"/>
      <c r="AE903" s="53">
        <f t="shared" si="1813"/>
        <v>0</v>
      </c>
      <c r="AF903" s="54">
        <f t="shared" si="1814"/>
        <v>0</v>
      </c>
      <c r="AG903" s="75">
        <f t="shared" si="1815"/>
        <v>0</v>
      </c>
      <c r="AH903" s="76">
        <f t="shared" si="1816"/>
        <v>41.73268543</v>
      </c>
      <c r="AI903" s="77">
        <f> ( IF(ISNUMBER(G903), VLOOKUP(G903/$AH903,F!$A1:$B101,2,1)*G903*$H903*$I903,0)+IF(ISNUMBER(K903), VLOOKUP(K903/$AH903,F!$A1:$B101,2,1)*K903*$L903*$M903,0)+IF(ISNUMBER(O903), VLOOKUP(O903/$AH903,F!$A1:$B101,2,1)*O903*$P903*$Q903,0)+IF(ISNUMBER(S903), VLOOKUP(S903/$AH903,F!$A1:$B101,2,1)*S903*$T903*$U903,0)+IF(ISNUMBER(W903), VLOOKUP(W903/$AH903,F!$A1:$B101,2,1)*W903*$X903*$Y903,0)+IF(ISNUMBER(AA903), VLOOKUP(AA903/$AH903,F!$A1:$B101,2,1)*AA903*$AB903*$AC903,0))*IF(ISNUMBER(F903),F903,1)*IF(ISNUMBER(E903),E903,1)</f>
        <v>0</v>
      </c>
      <c r="AJ903" s="57">
        <f t="shared" si="1817"/>
        <v>0</v>
      </c>
      <c r="AK903" s="58">
        <f t="array" ref="AK903">IFERROR(I903*INDEX(F!$P$21:$AB$33, MATCH(G903/$AH903, F!$O$21:$O$33,1), MATCH(E903, F!$P$20:$AB$20,1)), 0 ) +IFERROR( M903*INDEX(F!$P$21:$AB$33, MATCH(K903/$AH903, F!$O$21:$O$33,1), MATCH(E903, F!$P$20:$AB$20,1)),0) +  IFERROR( Q903*INDEX(F!$P$21:$AB$33, MATCH(O903/$AH903, F!$O$21:$O$33,1), MATCH(E903, F!$P$20:$AB$20,1)), 0) + IFERROR( U903*INDEX(F!$P$21:$AB$33, MATCH(S903/$AH903, F!$O$21:$O$33,1), MATCH(E903, F!$P$20:$AB$20,1)),0)  + IFERROR(Y903*INDEX(F!$P$21:$AB$33, MATCH(W903/$AH903, F!$O$21:$O$33,1), MATCH(E903, F!$P$20:$AB$20,1)),0)  + IFERROR( AC903*INDEX(F!$P$21:$AB$33, MATCH(AA903/$AH903, F!$O$21:$O$33,1), MATCH(E903, F!$P$20:$AB$20,1)),)</f>
        <v>0</v>
      </c>
      <c r="AL903" s="59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 ht="15.75" hidden="1" customHeight="1">
      <c r="A904" s="59"/>
      <c r="B904" s="216" t="str">
        <f t="shared" ref="B904:F904" si="1820">IF(B848="","",B848)</f>
        <v>Средняя</v>
      </c>
      <c r="C904" s="78" t="str">
        <f t="shared" si="1820"/>
        <v>ОФП</v>
      </c>
      <c r="D904" s="62" t="str">
        <f t="shared" si="1820"/>
        <v>Французский жим</v>
      </c>
      <c r="E904" s="48">
        <f t="shared" si="1820"/>
        <v>0.4</v>
      </c>
      <c r="F904" s="79" t="str">
        <f t="shared" si="1820"/>
        <v/>
      </c>
      <c r="G904" s="64" t="str">
        <f t="shared" si="1807"/>
        <v/>
      </c>
      <c r="H904" s="34"/>
      <c r="I904" s="34"/>
      <c r="J904" s="65"/>
      <c r="K904" s="64" t="str">
        <f t="shared" si="1808"/>
        <v/>
      </c>
      <c r="L904" s="34"/>
      <c r="M904" s="34"/>
      <c r="N904" s="65"/>
      <c r="O904" s="64" t="str">
        <f t="shared" si="1809"/>
        <v/>
      </c>
      <c r="P904" s="34"/>
      <c r="Q904" s="34"/>
      <c r="R904" s="65"/>
      <c r="S904" s="64" t="str">
        <f t="shared" si="1810"/>
        <v/>
      </c>
      <c r="T904" s="34"/>
      <c r="U904" s="34"/>
      <c r="V904" s="65"/>
      <c r="W904" s="64" t="str">
        <f t="shared" si="1811"/>
        <v/>
      </c>
      <c r="X904" s="34"/>
      <c r="Y904" s="34"/>
      <c r="Z904" s="65"/>
      <c r="AA904" s="64" t="str">
        <f t="shared" si="1812"/>
        <v/>
      </c>
      <c r="AB904" s="34"/>
      <c r="AC904" s="34"/>
      <c r="AD904" s="65"/>
      <c r="AE904" s="66">
        <f t="shared" si="1813"/>
        <v>0</v>
      </c>
      <c r="AF904" s="67">
        <f t="shared" si="1814"/>
        <v>0</v>
      </c>
      <c r="AG904" s="68">
        <f t="shared" si="1815"/>
        <v>0</v>
      </c>
      <c r="AH904" s="76">
        <f t="shared" si="1816"/>
        <v>59.99073531</v>
      </c>
      <c r="AI904" s="70">
        <f> ( IF(ISNUMBER(G904), VLOOKUP(G904/$AH904,F!$A1:$B101,2,1)*G904*$H904*$I904,0)+IF(ISNUMBER(K904), VLOOKUP(K904/$AH904,F!$A1:$B101,2,1)*K904*$L904*$M904,0)+IF(ISNUMBER(O904), VLOOKUP(O904/$AH904,F!$A1:$B101,2,1)*O904*$P904*$Q904,0)+IF(ISNUMBER(S904), VLOOKUP(S904/$AH904,F!$A1:$B101,2,1)*S904*$T904*$U904,0)+IF(ISNUMBER(W904), VLOOKUP(W904/$AH904,F!$A1:$B101,2,1)*W904*$X904*$Y904,0)+IF(ISNUMBER(AA904), VLOOKUP(AA904/$AH904,F!$A1:$B101,2,1)*AA904*$AB904*$AC904,0))*IF(ISNUMBER(F904),F904,1)*IF(ISNUMBER(E904),E904,1)</f>
        <v>0</v>
      </c>
      <c r="AJ904" s="71">
        <f t="shared" si="1817"/>
        <v>0</v>
      </c>
      <c r="AK904" s="72">
        <f t="array" ref="AK904">IFERROR(I904*INDEX(F!$P$21:$AB$33, MATCH(G904/$AH904, F!$O$21:$O$33,1), MATCH(E904, F!$P$20:$AB$20,1)), 0 ) +IFERROR( M904*INDEX(F!$P$21:$AB$33, MATCH(K904/$AH904, F!$O$21:$O$33,1), MATCH(E904, F!$P$20:$AB$20,1)),0) +  IFERROR( Q904*INDEX(F!$P$21:$AB$33, MATCH(O904/$AH904, F!$O$21:$O$33,1), MATCH(E904, F!$P$20:$AB$20,1)), 0) + IFERROR( U904*INDEX(F!$P$21:$AB$33, MATCH(S904/$AH904, F!$O$21:$O$33,1), MATCH(E904, F!$P$20:$AB$20,1)),0)  + IFERROR(Y904*INDEX(F!$P$21:$AB$33, MATCH(W904/$AH904, F!$O$21:$O$33,1), MATCH(E904, F!$P$20:$AB$20,1)),0)  + IFERROR( AC904*INDEX(F!$P$21:$AB$33, MATCH(AA904/$AH904, F!$O$21:$O$33,1), MATCH(E904, F!$P$20:$AB$20,1)),)</f>
        <v>0</v>
      </c>
      <c r="AL904" s="59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 ht="15.75" hidden="1" customHeight="1">
      <c r="A905" s="59"/>
      <c r="B905" s="45" t="str">
        <f t="shared" ref="B905:F905" si="1821">IF(B849="","",B849)</f>
        <v/>
      </c>
      <c r="C905" s="46" t="str">
        <f t="shared" si="1821"/>
        <v/>
      </c>
      <c r="D905" s="197" t="str">
        <f t="shared" si="1821"/>
        <v/>
      </c>
      <c r="E905" s="48" t="str">
        <f t="shared" si="1821"/>
        <v/>
      </c>
      <c r="F905" s="83" t="str">
        <f t="shared" si="1821"/>
        <v/>
      </c>
      <c r="G905" s="50" t="str">
        <f t="shared" si="1807"/>
        <v/>
      </c>
      <c r="H905" s="51"/>
      <c r="I905" s="51"/>
      <c r="J905" s="52"/>
      <c r="K905" s="50" t="str">
        <f t="shared" si="1808"/>
        <v/>
      </c>
      <c r="L905" s="51"/>
      <c r="M905" s="51"/>
      <c r="N905" s="52"/>
      <c r="O905" s="50" t="str">
        <f t="shared" si="1809"/>
        <v/>
      </c>
      <c r="P905" s="51"/>
      <c r="Q905" s="51"/>
      <c r="R905" s="52"/>
      <c r="S905" s="50" t="str">
        <f t="shared" si="1810"/>
        <v/>
      </c>
      <c r="T905" s="51"/>
      <c r="U905" s="51"/>
      <c r="V905" s="52"/>
      <c r="W905" s="50" t="str">
        <f t="shared" si="1811"/>
        <v/>
      </c>
      <c r="X905" s="51"/>
      <c r="Y905" s="51"/>
      <c r="Z905" s="52"/>
      <c r="AA905" s="50" t="str">
        <f t="shared" si="1812"/>
        <v/>
      </c>
      <c r="AB905" s="51"/>
      <c r="AC905" s="51"/>
      <c r="AD905" s="52"/>
      <c r="AE905" s="53">
        <f t="shared" si="1813"/>
        <v>0</v>
      </c>
      <c r="AF905" s="54">
        <f t="shared" si="1814"/>
        <v>0</v>
      </c>
      <c r="AG905" s="75">
        <f t="shared" si="1815"/>
        <v>0</v>
      </c>
      <c r="AH905" s="76" t="str">
        <f t="shared" si="1816"/>
        <v/>
      </c>
      <c r="AI905" s="77">
        <f> ( IF(ISNUMBER(G905), VLOOKUP(G905/$AH905,F!$A1:$B101,2,1)*G905*$H905*$I905,0)+IF(ISNUMBER(K905), VLOOKUP(K905/$AH905,F!$A1:$B101,2,1)*K905*$L905*$M905,0)+IF(ISNUMBER(O905), VLOOKUP(O905/$AH905,F!$A1:$B101,2,1)*O905*$P905*$Q905,0)+IF(ISNUMBER(S905), VLOOKUP(S905/$AH905,F!$A1:$B101,2,1)*S905*$T905*$U905,0)+IF(ISNUMBER(W905), VLOOKUP(W905/$AH905,F!$A1:$B101,2,1)*W905*$X905*$Y905,0)+IF(ISNUMBER(AA905), VLOOKUP(AA905/$AH905,F!$A1:$B101,2,1)*AA905*$AB905*$AC905,0))*IF(ISNUMBER(F905),F905,1)*IF(ISNUMBER(E905),E905,1)</f>
        <v>0</v>
      </c>
      <c r="AJ905" s="86">
        <f t="shared" si="1817"/>
        <v>0</v>
      </c>
      <c r="AK905" s="58">
        <f t="array" ref="AK905">IFERROR(I905*INDEX(F!$P$21:$AB$33, MATCH(G905/$AH905, F!$O$21:$O$33,1), MATCH(E905, F!$P$20:$AB$20,1)), 0 ) +IFERROR( M905*INDEX(F!$P$21:$AB$33, MATCH(K905/$AH905, F!$O$21:$O$33,1), MATCH(E905, F!$P$20:$AB$20,1)),0) +  IFERROR( Q905*INDEX(F!$P$21:$AB$33, MATCH(O905/$AH905, F!$O$21:$O$33,1), MATCH(E905, F!$P$20:$AB$20,1)), 0) + IFERROR( U905*INDEX(F!$P$21:$AB$33, MATCH(S905/$AH905, F!$O$21:$O$33,1), MATCH(E905, F!$P$20:$AB$20,1)),0)  + IFERROR(Y905*INDEX(F!$P$21:$AB$33, MATCH(W905/$AH905, F!$O$21:$O$33,1), MATCH(E905, F!$P$20:$AB$20,1)),0)  + IFERROR( AC905*INDEX(F!$P$21:$AB$33, MATCH(AA905/$AH905, F!$O$21:$O$33,1), MATCH(E905, F!$P$20:$AB$20,1)),)</f>
        <v>0</v>
      </c>
      <c r="AL905" s="59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 ht="15.0" hidden="1" customHeight="1">
      <c r="A906" s="59"/>
      <c r="B906" s="60" t="str">
        <f t="shared" ref="B906:F906" si="1822">IF(B850="","",B850)</f>
        <v/>
      </c>
      <c r="C906" s="61" t="str">
        <f t="shared" si="1822"/>
        <v/>
      </c>
      <c r="D906" s="198" t="str">
        <f t="shared" si="1822"/>
        <v/>
      </c>
      <c r="E906" s="48" t="str">
        <f t="shared" si="1822"/>
        <v/>
      </c>
      <c r="F906" s="79" t="str">
        <f t="shared" si="1822"/>
        <v/>
      </c>
      <c r="G906" s="64" t="str">
        <f t="shared" si="1807"/>
        <v/>
      </c>
      <c r="H906" s="34"/>
      <c r="I906" s="34"/>
      <c r="J906" s="65"/>
      <c r="K906" s="64" t="str">
        <f t="shared" si="1808"/>
        <v/>
      </c>
      <c r="L906" s="34"/>
      <c r="M906" s="34"/>
      <c r="N906" s="65"/>
      <c r="O906" s="64" t="str">
        <f t="shared" si="1809"/>
        <v/>
      </c>
      <c r="P906" s="34"/>
      <c r="Q906" s="34"/>
      <c r="R906" s="65"/>
      <c r="S906" s="64" t="str">
        <f t="shared" si="1810"/>
        <v/>
      </c>
      <c r="T906" s="34"/>
      <c r="U906" s="34"/>
      <c r="V906" s="65"/>
      <c r="W906" s="64" t="str">
        <f t="shared" si="1811"/>
        <v/>
      </c>
      <c r="X906" s="34"/>
      <c r="Y906" s="34"/>
      <c r="Z906" s="65"/>
      <c r="AA906" s="64" t="str">
        <f t="shared" si="1812"/>
        <v/>
      </c>
      <c r="AB906" s="34"/>
      <c r="AC906" s="34"/>
      <c r="AD906" s="65"/>
      <c r="AE906" s="66">
        <f t="shared" si="1813"/>
        <v>0</v>
      </c>
      <c r="AF906" s="67">
        <f t="shared" si="1814"/>
        <v>0</v>
      </c>
      <c r="AG906" s="68">
        <f t="shared" si="1815"/>
        <v>0</v>
      </c>
      <c r="AH906" s="76" t="str">
        <f t="shared" si="1816"/>
        <v/>
      </c>
      <c r="AI906" s="90">
        <f> ( IF(ISNUMBER(G906), VLOOKUP(G906/$AH906,F!$A1:$B101,2,1)*G906*$H906*$I906,0)+IF(ISNUMBER(K906), VLOOKUP(K906/$AH906,F!$A1:$B101,2,1)*K906*$L906*$M906,0)+IF(ISNUMBER(O906), VLOOKUP(O906/$AH906,F!$A1:$B101,2,1)*O906*$P906*$Q906,0)+IF(ISNUMBER(S906), VLOOKUP(S906/$AH906,F!$A1:$B101,2,1)*S906*$T906*$U906,0)+IF(ISNUMBER(W906), VLOOKUP(W906/$AH906,F!$A1:$B101,2,1)*W906*$X906*$Y906,0)+IF(ISNUMBER(AA906), VLOOKUP(AA906/$AH906,F!$A1:$B101,2,1)*AA906*$AB906*$AC906,0))*IF(ISNUMBER(F906),F906,1)*IF(ISNUMBER(E906),E906,1)</f>
        <v>0</v>
      </c>
      <c r="AJ906" s="34">
        <f t="shared" si="1817"/>
        <v>0</v>
      </c>
      <c r="AK906" s="91">
        <f t="array" ref="AK906">IFERROR(I906*INDEX(F!$P$21:$AB$33, MATCH(G906/$AH906, F!$O$21:$O$33,1), MATCH(E906, F!$P$20:$AB$20,1)), 0 ) +IFERROR( M906*INDEX(F!$P$21:$AB$33, MATCH(K906/$AH906, F!$O$21:$O$33,1), MATCH(E906, F!$P$20:$AB$20,1)),0) +  IFERROR( Q906*INDEX(F!$P$21:$AB$33, MATCH(O906/$AH906, F!$O$21:$O$33,1), MATCH(E906, F!$P$20:$AB$20,1)), 0) + IFERROR( U906*INDEX(F!$P$21:$AB$33, MATCH(S906/$AH906, F!$O$21:$O$33,1), MATCH(E906, F!$P$20:$AB$20,1)),0)  + IFERROR(Y906*INDEX(F!$P$21:$AB$33, MATCH(W906/$AH906, F!$O$21:$O$33,1), MATCH(E906, F!$P$20:$AB$20,1)),0)  + IFERROR( AC906*INDEX(F!$P$21:$AB$33, MATCH(AA906/$AH906, F!$O$21:$O$33,1), MATCH(E906, F!$P$20:$AB$20,1)),)</f>
        <v>0</v>
      </c>
      <c r="AL906" s="59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 ht="15.0" hidden="1" customHeight="1">
      <c r="A907" s="59"/>
      <c r="B907" s="45" t="str">
        <f t="shared" ref="B907:F907" si="1823">IF(B851="","",B851)</f>
        <v/>
      </c>
      <c r="C907" s="46" t="str">
        <f t="shared" si="1823"/>
        <v/>
      </c>
      <c r="D907" s="92" t="str">
        <f t="shared" si="1823"/>
        <v/>
      </c>
      <c r="E907" s="48" t="str">
        <f t="shared" si="1823"/>
        <v/>
      </c>
      <c r="F907" s="74" t="str">
        <f t="shared" si="1823"/>
        <v/>
      </c>
      <c r="G907" s="50" t="str">
        <f t="shared" si="1807"/>
        <v/>
      </c>
      <c r="H907" s="51"/>
      <c r="I907" s="51"/>
      <c r="J907" s="52"/>
      <c r="K907" s="50" t="str">
        <f t="shared" si="1808"/>
        <v/>
      </c>
      <c r="L907" s="51"/>
      <c r="M907" s="51"/>
      <c r="N907" s="52"/>
      <c r="O907" s="50" t="str">
        <f t="shared" si="1809"/>
        <v/>
      </c>
      <c r="P907" s="51"/>
      <c r="Q907" s="51"/>
      <c r="R907" s="52"/>
      <c r="S907" s="50" t="str">
        <f t="shared" si="1810"/>
        <v/>
      </c>
      <c r="T907" s="51"/>
      <c r="U907" s="51"/>
      <c r="V907" s="52"/>
      <c r="W907" s="50" t="str">
        <f t="shared" si="1811"/>
        <v/>
      </c>
      <c r="X907" s="51"/>
      <c r="Y907" s="51"/>
      <c r="Z907" s="52"/>
      <c r="AA907" s="50" t="str">
        <f t="shared" si="1812"/>
        <v/>
      </c>
      <c r="AB907" s="51"/>
      <c r="AC907" s="51"/>
      <c r="AD907" s="52"/>
      <c r="AE907" s="53">
        <f t="shared" si="1813"/>
        <v>0</v>
      </c>
      <c r="AF907" s="93">
        <f t="shared" si="1814"/>
        <v>0</v>
      </c>
      <c r="AG907" s="94">
        <f t="shared" si="1815"/>
        <v>0</v>
      </c>
      <c r="AH907" s="76" t="str">
        <f t="shared" si="1816"/>
        <v/>
      </c>
      <c r="AI907" s="95">
        <f> ( IF(ISNUMBER(G907), VLOOKUP(G907/$AH907,F!$A1:$B101,2,1)*G907*$H907*$I907,0)+IF(ISNUMBER(K907), VLOOKUP(K907/$AH907,F!$A1:$B101,2,1)*K907*$L907*$M907,0)+IF(ISNUMBER(O907), VLOOKUP(O907/$AH907,F!$A1:$B101,2,1)*O907*$P907*$Q907,0)+IF(ISNUMBER(S907), VLOOKUP(S907/$AH907,F!$A1:$B101,2,1)*S907*$T907*$U907,0)+IF(ISNUMBER(W907), VLOOKUP(W907/$AH907,F!$A1:$B101,2,1)*W907*$X907*$Y907,0)+IF(ISNUMBER(AA907), VLOOKUP(AA907/$AH907,F!$A1:$B101,2,1)*AA907*$AB907*$AC907,0))*IF(ISNUMBER(F907),F907,1)*IF(ISNUMBER(E907),E907,1)</f>
        <v>0</v>
      </c>
      <c r="AJ907" s="96">
        <f t="shared" si="1817"/>
        <v>0</v>
      </c>
      <c r="AK907" s="97">
        <f t="array" ref="AK907">IFERROR(I907*INDEX(F!$P$21:$AB$33, MATCH(G907/$AH907, F!$O$21:$O$33,1), MATCH(E907, F!$P$20:$AB$20,1)), 0 ) +IFERROR( M907*INDEX(F!$P$21:$AB$33, MATCH(K907/$AH907, F!$O$21:$O$33,1), MATCH(E907, F!$P$20:$AB$20,1)),0) +  IFERROR( Q907*INDEX(F!$P$21:$AB$33, MATCH(O907/$AH907, F!$O$21:$O$33,1), MATCH(E907, F!$P$20:$AB$20,1)), 0) + IFERROR( U907*INDEX(F!$P$21:$AB$33, MATCH(S907/$AH907, F!$O$21:$O$33,1), MATCH(E907, F!$P$20:$AB$20,1)),0)  + IFERROR(Y907*INDEX(F!$P$21:$AB$33, MATCH(W907/$AH907, F!$O$21:$O$33,1), MATCH(E907, F!$P$20:$AB$20,1)),0)  + IFERROR( AC907*INDEX(F!$P$21:$AB$33, MATCH(AA907/$AH907, F!$O$21:$O$33,1), MATCH(E907, F!$P$20:$AB$20,1)),)</f>
        <v>0</v>
      </c>
      <c r="AL907" s="59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 ht="15.75" hidden="1" customHeight="1">
      <c r="A908" s="98"/>
      <c r="B908" s="99"/>
      <c r="C908" s="100"/>
      <c r="D908" s="101"/>
      <c r="E908" s="102">
        <f>ROUND(IFERROR(SUMPRODUCT(AJ900:AJ907,E900:E907)/AJ908,0),3)</f>
        <v>0</v>
      </c>
      <c r="F908" s="199"/>
      <c r="G908" s="104"/>
      <c r="H908" s="105"/>
      <c r="I908" s="105"/>
      <c r="J908" s="106"/>
      <c r="K908" s="104"/>
      <c r="L908" s="105"/>
      <c r="M908" s="105"/>
      <c r="N908" s="106"/>
      <c r="O908" s="104"/>
      <c r="P908" s="105"/>
      <c r="Q908" s="105"/>
      <c r="R908" s="106"/>
      <c r="S908" s="104"/>
      <c r="T908" s="105"/>
      <c r="U908" s="105"/>
      <c r="V908" s="106"/>
      <c r="W908" s="104"/>
      <c r="X908" s="105"/>
      <c r="Y908" s="105"/>
      <c r="Z908" s="106"/>
      <c r="AA908" s="104"/>
      <c r="AB908" s="105"/>
      <c r="AC908" s="105"/>
      <c r="AD908" s="106"/>
      <c r="AE908" s="107">
        <f>SUM(AE900:AE907)</f>
        <v>0</v>
      </c>
      <c r="AF908" s="108">
        <f t="shared" si="1814"/>
        <v>0</v>
      </c>
      <c r="AG908" s="109">
        <f>IFERROR(  SUMPRODUCT(AG900:AG907,AJ900:AJ907)/AJ908,0)</f>
        <v>0</v>
      </c>
      <c r="AH908" s="157"/>
      <c r="AI908" s="111">
        <f t="shared" ref="AI908:AJ908" si="1824">SUM(AI900:AI907)</f>
        <v>0</v>
      </c>
      <c r="AJ908" s="111">
        <f t="shared" si="1824"/>
        <v>0</v>
      </c>
      <c r="AK908" s="112">
        <f>IF(SUM(AK900:AK907)=0,TIME(,0,),TIME(,SUM(AK900:AK907)+F!$V$37,))</f>
        <v>0</v>
      </c>
      <c r="AL908" s="98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 ht="15.75" hidden="1" customHeight="1">
      <c r="A909" s="113">
        <f>A910</f>
        <v>43894</v>
      </c>
      <c r="B909" s="114" t="str">
        <f t="shared" ref="B909:F909" si="1825">IF(B853="","",B853)</f>
        <v>Тяжелая</v>
      </c>
      <c r="C909" s="115" t="str">
        <f t="shared" si="1825"/>
        <v>ТГ</v>
      </c>
      <c r="D909" s="116" t="str">
        <f t="shared" si="1825"/>
        <v>Становая тяга</v>
      </c>
      <c r="E909" s="29">
        <f t="shared" si="1825"/>
        <v>1.4</v>
      </c>
      <c r="F909" s="117" t="str">
        <f t="shared" si="1825"/>
        <v/>
      </c>
      <c r="G909" s="118" t="str">
        <f t="shared" ref="G909:G916" si="1827">IF(J909&lt;&gt;0, IFERROR(IF( $F909=2,  MROUND($AH909*J909,1),    IF( OR($F909="",$F909=1),   MROUND($AH909*J909,2.5),  MROUND($AH909*J909, 0.1))), "" ), "")</f>
        <v/>
      </c>
      <c r="H909" s="119"/>
      <c r="I909" s="119"/>
      <c r="J909" s="120"/>
      <c r="K909" s="118" t="str">
        <f t="shared" ref="K909:K916" si="1828">IF(N909&lt;&gt;0, IFERROR(IF( $F909=2,  MROUND($AH909*N909,1),    IF( OR($F909="",$F909=1),   MROUND($AH909*N909,2.5),  MROUND($AH909*N909, 0.1))), "" ), "")</f>
        <v/>
      </c>
      <c r="L909" s="119"/>
      <c r="M909" s="119"/>
      <c r="N909" s="120"/>
      <c r="O909" s="118" t="str">
        <f t="shared" ref="O909:O916" si="1829">IF(R909&lt;&gt;0, IFERROR(IF( $F909=2,  MROUND($AH909*R909,1),    IF( OR($F909="",$F909=1),   MROUND($AH909*R909,2.5),  MROUND($AH909*R909, 0.1))), "" ), "")</f>
        <v/>
      </c>
      <c r="P909" s="119"/>
      <c r="Q909" s="119"/>
      <c r="R909" s="120"/>
      <c r="S909" s="118" t="str">
        <f t="shared" ref="S909:S916" si="1830">IF(V909&lt;&gt;0, IFERROR(IF( $F909=2,  MROUND($AH909*V909,1),    IF( OR($F909="",$F909=1),   MROUND($AH909*V909,2.5),  MROUND($AH909*V909, 0.1))), "" ), "")</f>
        <v/>
      </c>
      <c r="T909" s="119"/>
      <c r="U909" s="119"/>
      <c r="V909" s="120"/>
      <c r="W909" s="118" t="str">
        <f t="shared" ref="W909:W916" si="1831">IF(Z909&lt;&gt;0, IFERROR(IF( $F909=2,  MROUND($AH909*Z909,1),    IF( OR($F909="",$F909=1),   MROUND($AH909*Z909,2.5),  MROUND($AH909*Z909, 0.1))), "" ), "")</f>
        <v/>
      </c>
      <c r="X909" s="119"/>
      <c r="Y909" s="119"/>
      <c r="Z909" s="120"/>
      <c r="AA909" s="118" t="str">
        <f t="shared" ref="AA909:AA916" si="1832">IF(AD909&lt;&gt;0, IFERROR(IF( $F909=2,  MROUND($AH909*AD909,1),    IF( OR($F909="",$F909=1),   MROUND($AH909*AD909,2.5),  MROUND($AH909*AD909, 0.1))), "" ), "")</f>
        <v/>
      </c>
      <c r="AB909" s="119"/>
      <c r="AC909" s="119"/>
      <c r="AD909" s="120"/>
      <c r="AE909" s="121">
        <f t="shared" ref="AE909:AE916" si="1833">(IF(ISNUMBER(G909),G909,0)*H909*I909+IF(ISNUMBER(K909),K909,1)*L909*M909+IF(ISNUMBER(O909),O909,1)*P909*Q909+IF(ISNUMBER(S909),S909,1)*T909*U909+IF(ISNUMBER(W909),W909,1)*X909*Y909+IF(ISNUMBER(AA909),AA909,1)*AB909*AC909)*IF(ISNUMBER(F909),F909,1)</f>
        <v>0</v>
      </c>
      <c r="AF909" s="122">
        <f t="shared" si="1814"/>
        <v>0</v>
      </c>
      <c r="AG909" s="200">
        <f t="shared" ref="AG909:AG916" si="1834">IFERROR((AF909/(AH909*IF(ISNUMBER(F909),F909,1))),0)</f>
        <v>0</v>
      </c>
      <c r="AH909" s="169">
        <f t="shared" ref="AH909:AH916" si="1835">IF(ISNUMBER(AH853), AH853+(AH853*$AH$898),"")</f>
        <v>253.9653554</v>
      </c>
      <c r="AI909" s="122">
        <f> ( IF(ISNUMBER(G909), VLOOKUP(G909/$AH909,F!$A1:$B101,2,1)*G909*$H909*$I909,0)+IF(ISNUMBER(K909), VLOOKUP(K909/$AH909,F!$A1:$B101,2,1)*K909*$L909*$M909,0)+IF(ISNUMBER(O909), VLOOKUP(O909/$AH909,F!$A1:$B101,2,1)*O909*$P909*$Q909,0)+IF(ISNUMBER(S909), VLOOKUP(S909/$AH909,F!$A1:$B101,2,1)*S909*$T909*$U909,0)+IF(ISNUMBER(W909), VLOOKUP(W909/$AH909,F!$A1:$B101,2,1)*W909*$X909*$Y909,0)+IF(ISNUMBER(AA909), VLOOKUP(AA909/$AH909,F!$A1:$B101,2,1)*AA909*$AB909*$AC909,0))*IF(ISNUMBER(F909),F909,1)*IF(ISNUMBER(E909),E909,1)</f>
        <v>0</v>
      </c>
      <c r="AJ909" s="119">
        <f t="shared" ref="AJ909:AJ916" si="1836">H909*I909+L909*M909+P909*Q909+T909*U909+X909*Y909+AB909*AC909</f>
        <v>0</v>
      </c>
      <c r="AK909" s="125">
        <f t="array" ref="AK909">IFERROR(I909*INDEX(F!$P$21:$AB$33, MATCH(G909/$AH909, F!$O$21:$O$33,1), MATCH(E909, F!$P$20:$AB$20,1)), 0 ) +IFERROR( M909*INDEX(F!$P$21:$AB$33, MATCH(K909/$AH909, F!$O$21:$O$33,1), MATCH(E909, F!$P$20:$AB$20,1)),0) +  IFERROR( Q909*INDEX(F!$P$21:$AB$33, MATCH(O909/$AH909, F!$O$21:$O$33,1), MATCH(E909, F!$P$20:$AB$20,1)), 0) + IFERROR( U909*INDEX(F!$P$21:$AB$33, MATCH(S909/$AH909, F!$O$21:$O$33,1), MATCH(E909, F!$P$20:$AB$20,1)),0)  + IFERROR(Y909*INDEX(F!$P$21:$AB$33, MATCH(W909/$AH909, F!$O$21:$O$33,1), MATCH(E909, F!$P$20:$AB$20,1)),0)  + IFERROR( AC909*INDEX(F!$P$21:$AB$33, MATCH(AA909/$AH909, F!$O$21:$O$33,1), MATCH(E909, F!$P$20:$AB$20,1)),)</f>
        <v>0</v>
      </c>
      <c r="AL909" s="42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 ht="15.75" hidden="1" customHeight="1">
      <c r="A910" s="44">
        <f>A854+A842</f>
        <v>43894</v>
      </c>
      <c r="B910" s="126" t="str">
        <f t="shared" ref="B910:F910" si="1826">IF(B854="","",B854)</f>
        <v>Средняя</v>
      </c>
      <c r="C910" s="127" t="str">
        <f t="shared" si="1826"/>
        <v>ЖМ</v>
      </c>
      <c r="D910" s="128" t="str">
        <f t="shared" si="1826"/>
        <v>Жим лежа</v>
      </c>
      <c r="E910" s="48">
        <f t="shared" si="1826"/>
        <v>1</v>
      </c>
      <c r="F910" s="129" t="str">
        <f t="shared" si="1826"/>
        <v/>
      </c>
      <c r="G910" s="130" t="str">
        <f t="shared" si="1827"/>
        <v/>
      </c>
      <c r="H910" s="34"/>
      <c r="I910" s="34"/>
      <c r="J910" s="65"/>
      <c r="K910" s="130" t="str">
        <f t="shared" si="1828"/>
        <v/>
      </c>
      <c r="L910" s="34"/>
      <c r="M910" s="34"/>
      <c r="N910" s="65"/>
      <c r="O910" s="130" t="str">
        <f t="shared" si="1829"/>
        <v/>
      </c>
      <c r="P910" s="34"/>
      <c r="Q910" s="34"/>
      <c r="R910" s="65"/>
      <c r="S910" s="130" t="str">
        <f t="shared" si="1830"/>
        <v/>
      </c>
      <c r="T910" s="34"/>
      <c r="U910" s="34"/>
      <c r="V910" s="65"/>
      <c r="W910" s="130" t="str">
        <f t="shared" si="1831"/>
        <v/>
      </c>
      <c r="X910" s="34"/>
      <c r="Y910" s="34"/>
      <c r="Z910" s="65"/>
      <c r="AA910" s="130" t="str">
        <f t="shared" si="1832"/>
        <v/>
      </c>
      <c r="AB910" s="34"/>
      <c r="AC910" s="34"/>
      <c r="AD910" s="65"/>
      <c r="AE910" s="131">
        <f t="shared" si="1833"/>
        <v>0</v>
      </c>
      <c r="AF910" s="132">
        <f t="shared" si="1814"/>
        <v>0</v>
      </c>
      <c r="AG910" s="133">
        <f t="shared" si="1834"/>
        <v>0</v>
      </c>
      <c r="AH910" s="76">
        <f t="shared" si="1835"/>
        <v>130.414642</v>
      </c>
      <c r="AI910" s="132">
        <f> ( IF(ISNUMBER(G910), VLOOKUP(G910/$AH910,F!$A1:$B101,2,1)*G910*$H910*$I910,0)+IF(ISNUMBER(K910), VLOOKUP(K910/$AH910,F!$A1:$B101,2,1)*K910*$L910*$M910,0)+IF(ISNUMBER(O910), VLOOKUP(O910/$AH910,F!$A1:$B101,2,1)*O910*$P910*$Q910,0)+IF(ISNUMBER(S910), VLOOKUP(S910/$AH910,F!$A1:$B101,2,1)*S910*$T910*$U910,0)+IF(ISNUMBER(W910), VLOOKUP(W910/$AH910,F!$A1:$B101,2,1)*W910*$X910*$Y910,0)+IF(ISNUMBER(AA910), VLOOKUP(AA910/$AH910,F!$A1:$B101,2,1)*AA910*$AB910*$AC910,0))*IF(ISNUMBER(F910),F910,1)*IF(ISNUMBER(E910),E910,1)</f>
        <v>0</v>
      </c>
      <c r="AJ910" s="34">
        <f t="shared" si="1836"/>
        <v>0</v>
      </c>
      <c r="AK910" s="134">
        <f t="array" ref="AK910">IFERROR(I910*INDEX(F!$P$21:$AB$33, MATCH(G910/$AH910, F!$O$21:$O$33,1), MATCH(E910, F!$P$20:$AB$20,1)), 0 ) +IFERROR( M910*INDEX(F!$P$21:$AB$33, MATCH(K910/$AH910, F!$O$21:$O$33,1), MATCH(E910, F!$P$20:$AB$20,1)),0) +  IFERROR( Q910*INDEX(F!$P$21:$AB$33, MATCH(O910/$AH910, F!$O$21:$O$33,1), MATCH(E910, F!$P$20:$AB$20,1)), 0) + IFERROR( U910*INDEX(F!$P$21:$AB$33, MATCH(S910/$AH910, F!$O$21:$O$33,1), MATCH(E910, F!$P$20:$AB$20,1)),0)  + IFERROR(Y910*INDEX(F!$P$21:$AB$33, MATCH(W910/$AH910, F!$O$21:$O$33,1), MATCH(E910, F!$P$20:$AB$20,1)),0)  + IFERROR( AC910*INDEX(F!$P$21:$AB$33, MATCH(AA910/$AH910, F!$O$21:$O$33,1), MATCH(E910, F!$P$20:$AB$20,1)),)</f>
        <v>0</v>
      </c>
      <c r="AL910" s="59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 ht="15.75" hidden="1" customHeight="1">
      <c r="A911" s="59"/>
      <c r="B911" s="135" t="str">
        <f t="shared" ref="B911:F911" si="1837">IF(B855="","",B855)</f>
        <v>Легкая</v>
      </c>
      <c r="C911" s="136" t="str">
        <f t="shared" si="1837"/>
        <v>ОФП</v>
      </c>
      <c r="D911" s="137" t="str">
        <f t="shared" si="1837"/>
        <v>Наклоны со штангой</v>
      </c>
      <c r="E911" s="48">
        <f t="shared" si="1837"/>
        <v>0.8</v>
      </c>
      <c r="F911" s="138" t="str">
        <f t="shared" si="1837"/>
        <v/>
      </c>
      <c r="G911" s="139" t="str">
        <f t="shared" si="1827"/>
        <v/>
      </c>
      <c r="H911" s="140"/>
      <c r="I911" s="140"/>
      <c r="J911" s="141"/>
      <c r="K911" s="139" t="str">
        <f t="shared" si="1828"/>
        <v/>
      </c>
      <c r="L911" s="140"/>
      <c r="M911" s="140"/>
      <c r="N911" s="141"/>
      <c r="O911" s="139" t="str">
        <f t="shared" si="1829"/>
        <v/>
      </c>
      <c r="P911" s="140"/>
      <c r="Q911" s="140"/>
      <c r="R911" s="141"/>
      <c r="S911" s="139" t="str">
        <f t="shared" si="1830"/>
        <v/>
      </c>
      <c r="T911" s="140"/>
      <c r="U911" s="140"/>
      <c r="V911" s="141"/>
      <c r="W911" s="139" t="str">
        <f t="shared" si="1831"/>
        <v/>
      </c>
      <c r="X911" s="140"/>
      <c r="Y911" s="140"/>
      <c r="Z911" s="141"/>
      <c r="AA911" s="139" t="str">
        <f t="shared" si="1832"/>
        <v/>
      </c>
      <c r="AB911" s="140"/>
      <c r="AC911" s="140"/>
      <c r="AD911" s="141"/>
      <c r="AE911" s="142">
        <f t="shared" si="1833"/>
        <v>0</v>
      </c>
      <c r="AF911" s="143">
        <f t="shared" si="1814"/>
        <v>0</v>
      </c>
      <c r="AG911" s="144">
        <f t="shared" si="1834"/>
        <v>0</v>
      </c>
      <c r="AH911" s="76">
        <f t="shared" si="1835"/>
        <v>139.6809455</v>
      </c>
      <c r="AI911" s="143">
        <f> ( IF(ISNUMBER(G911), VLOOKUP(G911/$AH911,F!$A1:$B101,2,1)*G911*$H911*$I911,0)+IF(ISNUMBER(K911), VLOOKUP(K911/$AH911,F!$A1:$B101,2,1)*K911*$L911*$M911,0)+IF(ISNUMBER(O911), VLOOKUP(O911/$AH911,F!$A1:$B101,2,1)*O911*$P911*$Q911,0)+IF(ISNUMBER(S911), VLOOKUP(S911/$AH911,F!$A1:$B101,2,1)*S911*$T911*$U911,0)+IF(ISNUMBER(W911), VLOOKUP(W911/$AH911,F!$A1:$B101,2,1)*W911*$X911*$Y911,0)+IF(ISNUMBER(AA911), VLOOKUP(AA911/$AH911,F!$A1:$B101,2,1)*AA911*$AB911*$AC911,0))*IF(ISNUMBER(F911),F911,1)*IF(ISNUMBER(E911),E911,1)</f>
        <v>0</v>
      </c>
      <c r="AJ911" s="140">
        <f t="shared" si="1836"/>
        <v>0</v>
      </c>
      <c r="AK911" s="145">
        <f t="array" ref="AK911">IFERROR(I911*INDEX(F!$P$21:$AB$33, MATCH(G911/$AH911, F!$O$21:$O$33,1), MATCH(E911, F!$P$20:$AB$20,1)), 0 ) +IFERROR( M911*INDEX(F!$P$21:$AB$33, MATCH(K911/$AH911, F!$O$21:$O$33,1), MATCH(E911, F!$P$20:$AB$20,1)),0) +  IFERROR( Q911*INDEX(F!$P$21:$AB$33, MATCH(O911/$AH911, F!$O$21:$O$33,1), MATCH(E911, F!$P$20:$AB$20,1)), 0) + IFERROR( U911*INDEX(F!$P$21:$AB$33, MATCH(S911/$AH911, F!$O$21:$O$33,1), MATCH(E911, F!$P$20:$AB$20,1)),0)  + IFERROR(Y911*INDEX(F!$P$21:$AB$33, MATCH(W911/$AH911, F!$O$21:$O$33,1), MATCH(E911, F!$P$20:$AB$20,1)),0)  + IFERROR( AC911*INDEX(F!$P$21:$AB$33, MATCH(AA911/$AH911, F!$O$21:$O$33,1), MATCH(E911, F!$P$20:$AB$20,1)),)</f>
        <v>0</v>
      </c>
      <c r="AL911" s="59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 ht="15.75" hidden="1" customHeight="1">
      <c r="A912" s="59"/>
      <c r="B912" s="126" t="str">
        <f t="shared" ref="B912:F912" si="1838">IF(B856="","",B856)</f>
        <v>Средняя</v>
      </c>
      <c r="C912" s="127" t="str">
        <f t="shared" si="1838"/>
        <v>ОФП</v>
      </c>
      <c r="D912" s="128" t="str">
        <f t="shared" si="1838"/>
        <v>Жим стоя</v>
      </c>
      <c r="E912" s="48">
        <f t="shared" si="1838"/>
        <v>1</v>
      </c>
      <c r="F912" s="129" t="str">
        <f t="shared" si="1838"/>
        <v/>
      </c>
      <c r="G912" s="130" t="str">
        <f t="shared" si="1827"/>
        <v/>
      </c>
      <c r="H912" s="34"/>
      <c r="I912" s="34"/>
      <c r="J912" s="65"/>
      <c r="K912" s="130" t="str">
        <f t="shared" si="1828"/>
        <v/>
      </c>
      <c r="L912" s="34"/>
      <c r="M912" s="34"/>
      <c r="N912" s="65"/>
      <c r="O912" s="130" t="str">
        <f t="shared" si="1829"/>
        <v/>
      </c>
      <c r="P912" s="34"/>
      <c r="Q912" s="34"/>
      <c r="R912" s="65"/>
      <c r="S912" s="130" t="str">
        <f t="shared" si="1830"/>
        <v/>
      </c>
      <c r="T912" s="34"/>
      <c r="U912" s="34"/>
      <c r="V912" s="65"/>
      <c r="W912" s="130" t="str">
        <f t="shared" si="1831"/>
        <v/>
      </c>
      <c r="X912" s="34"/>
      <c r="Y912" s="34"/>
      <c r="Z912" s="65"/>
      <c r="AA912" s="130" t="str">
        <f t="shared" si="1832"/>
        <v/>
      </c>
      <c r="AB912" s="34"/>
      <c r="AC912" s="34"/>
      <c r="AD912" s="65"/>
      <c r="AE912" s="131">
        <f t="shared" si="1833"/>
        <v>0</v>
      </c>
      <c r="AF912" s="132">
        <f t="shared" si="1814"/>
        <v>0</v>
      </c>
      <c r="AG912" s="133">
        <f t="shared" si="1834"/>
        <v>0</v>
      </c>
      <c r="AH912" s="76">
        <f t="shared" si="1835"/>
        <v>78.24878519</v>
      </c>
      <c r="AI912" s="132">
        <f> ( IF(ISNUMBER(G912), VLOOKUP(G912/$AH912,F!$A1:$B101,2,1)*G912*$H912*$I912,0)+IF(ISNUMBER(K912), VLOOKUP(K912/$AH912,F!$A1:$B101,2,1)*K912*$L912*$M912,0)+IF(ISNUMBER(O912), VLOOKUP(O912/$AH912,F!$A1:$B101,2,1)*O912*$P912*$Q912,0)+IF(ISNUMBER(S912), VLOOKUP(S912/$AH912,F!$A1:$B101,2,1)*S912*$T912*$U912,0)+IF(ISNUMBER(W912), VLOOKUP(W912/$AH912,F!$A1:$B101,2,1)*W912*$X912*$Y912,0)+IF(ISNUMBER(AA912), VLOOKUP(AA912/$AH912,F!$A1:$B101,2,1)*AA912*$AB912*$AC912,0))*IF(ISNUMBER(F912),F912,1)*IF(ISNUMBER(E912),E912,1)</f>
        <v>0</v>
      </c>
      <c r="AJ912" s="34">
        <f t="shared" si="1836"/>
        <v>0</v>
      </c>
      <c r="AK912" s="134">
        <f t="array" ref="AK912">IFERROR(I912*INDEX(F!$P$21:$AB$33, MATCH(G912/$AH912, F!$O$21:$O$33,1), MATCH(E912, F!$P$20:$AB$20,1)), 0 ) +IFERROR( M912*INDEX(F!$P$21:$AB$33, MATCH(K912/$AH912, F!$O$21:$O$33,1), MATCH(E912, F!$P$20:$AB$20,1)),0) +  IFERROR( Q912*INDEX(F!$P$21:$AB$33, MATCH(O912/$AH912, F!$O$21:$O$33,1), MATCH(E912, F!$P$20:$AB$20,1)), 0) + IFERROR( U912*INDEX(F!$P$21:$AB$33, MATCH(S912/$AH912, F!$O$21:$O$33,1), MATCH(E912, F!$P$20:$AB$20,1)),0)  + IFERROR(Y912*INDEX(F!$P$21:$AB$33, MATCH(W912/$AH912, F!$O$21:$O$33,1), MATCH(E912, F!$P$20:$AB$20,1)),0)  + IFERROR( AC912*INDEX(F!$P$21:$AB$33, MATCH(AA912/$AH912, F!$O$21:$O$33,1), MATCH(E912, F!$P$20:$AB$20,1)),)</f>
        <v>0</v>
      </c>
      <c r="AL912" s="59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 ht="15.75" hidden="1" customHeight="1">
      <c r="A913" s="59"/>
      <c r="B913" s="135" t="str">
        <f t="shared" ref="B913:F913" si="1839">IF(B857="","",B857)</f>
        <v>Средняя</v>
      </c>
      <c r="C913" s="136" t="str">
        <f t="shared" si="1839"/>
        <v>ЖМ</v>
      </c>
      <c r="D913" s="137" t="str">
        <f t="shared" si="1839"/>
        <v>Жим средним хватом</v>
      </c>
      <c r="E913" s="48">
        <f t="shared" si="1839"/>
        <v>1</v>
      </c>
      <c r="F913" s="138" t="str">
        <f t="shared" si="1839"/>
        <v/>
      </c>
      <c r="G913" s="139" t="str">
        <f t="shared" si="1827"/>
        <v/>
      </c>
      <c r="H913" s="140"/>
      <c r="I913" s="140"/>
      <c r="J913" s="141"/>
      <c r="K913" s="139" t="str">
        <f t="shared" si="1828"/>
        <v/>
      </c>
      <c r="L913" s="140"/>
      <c r="M913" s="140"/>
      <c r="N913" s="141"/>
      <c r="O913" s="139" t="str">
        <f t="shared" si="1829"/>
        <v/>
      </c>
      <c r="P913" s="140"/>
      <c r="Q913" s="140"/>
      <c r="R913" s="141"/>
      <c r="S913" s="139" t="str">
        <f t="shared" si="1830"/>
        <v/>
      </c>
      <c r="T913" s="140"/>
      <c r="U913" s="140"/>
      <c r="V913" s="141"/>
      <c r="W913" s="139" t="str">
        <f t="shared" si="1831"/>
        <v/>
      </c>
      <c r="X913" s="140"/>
      <c r="Y913" s="140"/>
      <c r="Z913" s="141"/>
      <c r="AA913" s="139" t="str">
        <f t="shared" si="1832"/>
        <v/>
      </c>
      <c r="AB913" s="140"/>
      <c r="AC913" s="140"/>
      <c r="AD913" s="141"/>
      <c r="AE913" s="142">
        <f t="shared" si="1833"/>
        <v>0</v>
      </c>
      <c r="AF913" s="143">
        <f t="shared" si="1814"/>
        <v>0</v>
      </c>
      <c r="AG913" s="144">
        <f t="shared" si="1834"/>
        <v>0</v>
      </c>
      <c r="AH913" s="76">
        <f t="shared" si="1835"/>
        <v>110.8524457</v>
      </c>
      <c r="AI913" s="143">
        <f> ( IF(ISNUMBER(G913), VLOOKUP(G913/$AH913,F!$A1:$B101,2,1)*G913*$H913*$I913,0)+IF(ISNUMBER(K913), VLOOKUP(K913/$AH913,F!$A1:$B101,2,1)*K913*$L913*$M913,0)+IF(ISNUMBER(O913), VLOOKUP(O913/$AH913,F!$A1:$B101,2,1)*O913*$P913*$Q913,0)+IF(ISNUMBER(S913), VLOOKUP(S913/$AH913,F!$A1:$B101,2,1)*S913*$T913*$U913,0)+IF(ISNUMBER(W913), VLOOKUP(W913/$AH913,F!$A1:$B101,2,1)*W913*$X913*$Y913,0)+IF(ISNUMBER(AA913), VLOOKUP(AA913/$AH913,F!$A1:$B101,2,1)*AA913*$AB913*$AC913,0))*IF(ISNUMBER(F913),F913,1)*IF(ISNUMBER(E913),E913,1)</f>
        <v>0</v>
      </c>
      <c r="AJ913" s="140">
        <f t="shared" si="1836"/>
        <v>0</v>
      </c>
      <c r="AK913" s="145">
        <f t="array" ref="AK913">IFERROR(I913*INDEX(F!$P$21:$AB$33, MATCH(G913/$AH913, F!$O$21:$O$33,1), MATCH(E913, F!$P$20:$AB$20,1)), 0 ) +IFERROR( M913*INDEX(F!$P$21:$AB$33, MATCH(K913/$AH913, F!$O$21:$O$33,1), MATCH(E913, F!$P$20:$AB$20,1)),0) +  IFERROR( Q913*INDEX(F!$P$21:$AB$33, MATCH(O913/$AH913, F!$O$21:$O$33,1), MATCH(E913, F!$P$20:$AB$20,1)), 0) + IFERROR( U913*INDEX(F!$P$21:$AB$33, MATCH(S913/$AH913, F!$O$21:$O$33,1), MATCH(E913, F!$P$20:$AB$20,1)),0)  + IFERROR(Y913*INDEX(F!$P$21:$AB$33, MATCH(W913/$AH913, F!$O$21:$O$33,1), MATCH(E913, F!$P$20:$AB$20,1)),0)  + IFERROR( AC913*INDEX(F!$P$21:$AB$33, MATCH(AA913/$AH913, F!$O$21:$O$33,1), MATCH(E913, F!$P$20:$AB$20,1)),)</f>
        <v>0</v>
      </c>
      <c r="AL913" s="59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 ht="15.75" hidden="1" customHeight="1">
      <c r="A914" s="59"/>
      <c r="B914" s="126" t="str">
        <f t="shared" ref="B914:F914" si="1840">IF(B858="","",B858)</f>
        <v/>
      </c>
      <c r="C914" s="127" t="str">
        <f t="shared" si="1840"/>
        <v/>
      </c>
      <c r="D914" s="128" t="str">
        <f t="shared" si="1840"/>
        <v/>
      </c>
      <c r="E914" s="48" t="str">
        <f t="shared" si="1840"/>
        <v/>
      </c>
      <c r="F914" s="129" t="str">
        <f t="shared" si="1840"/>
        <v/>
      </c>
      <c r="G914" s="130" t="str">
        <f t="shared" si="1827"/>
        <v/>
      </c>
      <c r="H914" s="34"/>
      <c r="I914" s="34"/>
      <c r="J914" s="65"/>
      <c r="K914" s="130" t="str">
        <f t="shared" si="1828"/>
        <v/>
      </c>
      <c r="L914" s="34"/>
      <c r="M914" s="34"/>
      <c r="N914" s="65"/>
      <c r="O914" s="130" t="str">
        <f t="shared" si="1829"/>
        <v/>
      </c>
      <c r="P914" s="34"/>
      <c r="Q914" s="34"/>
      <c r="R914" s="65"/>
      <c r="S914" s="130" t="str">
        <f t="shared" si="1830"/>
        <v/>
      </c>
      <c r="T914" s="34"/>
      <c r="U914" s="34"/>
      <c r="V914" s="65"/>
      <c r="W914" s="130" t="str">
        <f t="shared" si="1831"/>
        <v/>
      </c>
      <c r="X914" s="34"/>
      <c r="Y914" s="34"/>
      <c r="Z914" s="65"/>
      <c r="AA914" s="130" t="str">
        <f t="shared" si="1832"/>
        <v/>
      </c>
      <c r="AB914" s="34"/>
      <c r="AC914" s="34"/>
      <c r="AD914" s="65"/>
      <c r="AE914" s="131">
        <f t="shared" si="1833"/>
        <v>0</v>
      </c>
      <c r="AF914" s="132">
        <f t="shared" si="1814"/>
        <v>0</v>
      </c>
      <c r="AG914" s="133">
        <f t="shared" si="1834"/>
        <v>0</v>
      </c>
      <c r="AH914" s="76" t="str">
        <f t="shared" si="1835"/>
        <v/>
      </c>
      <c r="AI914" s="132">
        <f> ( IF(ISNUMBER(G914), VLOOKUP(G914/$AH914,F!$A1:$B101,2,1)*G914*$H914*$I914,0)+IF(ISNUMBER(K914), VLOOKUP(K914/$AH914,F!$A1:$B101,2,1)*K914*$L914*$M914,0)+IF(ISNUMBER(O914), VLOOKUP(O914/$AH914,F!$A1:$B101,2,1)*O914*$P914*$Q914,0)+IF(ISNUMBER(S914), VLOOKUP(S914/$AH914,F!$A1:$B101,2,1)*S914*$T914*$U914,0)+IF(ISNUMBER(W914), VLOOKUP(W914/$AH914,F!$A1:$B101,2,1)*W914*$X914*$Y914,0)+IF(ISNUMBER(AA914), VLOOKUP(AA914/$AH914,F!$A1:$B101,2,1)*AA914*$AB914*$AC914,0))*IF(ISNUMBER(F914),F914,1)*IF(ISNUMBER(E914),E914,1)</f>
        <v>0</v>
      </c>
      <c r="AJ914" s="34">
        <f t="shared" si="1836"/>
        <v>0</v>
      </c>
      <c r="AK914" s="134">
        <f t="array" ref="AK914">IFERROR(I914*INDEX(F!$P$21:$AB$33, MATCH(G914/$AH914, F!$O$21:$O$33,1), MATCH(E914, F!$P$20:$AB$20,1)), 0 ) +IFERROR( M914*INDEX(F!$P$21:$AB$33, MATCH(K914/$AH914, F!$O$21:$O$33,1), MATCH(E914, F!$P$20:$AB$20,1)),0) +  IFERROR( Q914*INDEX(F!$P$21:$AB$33, MATCH(O914/$AH914, F!$O$21:$O$33,1), MATCH(E914, F!$P$20:$AB$20,1)), 0) + IFERROR( U914*INDEX(F!$P$21:$AB$33, MATCH(S914/$AH914, F!$O$21:$O$33,1), MATCH(E914, F!$P$20:$AB$20,1)),0)  + IFERROR(Y914*INDEX(F!$P$21:$AB$33, MATCH(W914/$AH914, F!$O$21:$O$33,1), MATCH(E914, F!$P$20:$AB$20,1)),0)  + IFERROR( AC914*INDEX(F!$P$21:$AB$33, MATCH(AA914/$AH914, F!$O$21:$O$33,1), MATCH(E914, F!$P$20:$AB$20,1)),)</f>
        <v>0</v>
      </c>
      <c r="AL914" s="59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 ht="15.75" hidden="1" customHeight="1">
      <c r="A915" s="59"/>
      <c r="B915" s="135" t="str">
        <f t="shared" ref="B915:F915" si="1841">IF(B859="","",B859)</f>
        <v/>
      </c>
      <c r="C915" s="136" t="str">
        <f t="shared" si="1841"/>
        <v/>
      </c>
      <c r="D915" s="137" t="str">
        <f t="shared" si="1841"/>
        <v/>
      </c>
      <c r="E915" s="48" t="str">
        <f t="shared" si="1841"/>
        <v/>
      </c>
      <c r="F915" s="138" t="str">
        <f t="shared" si="1841"/>
        <v/>
      </c>
      <c r="G915" s="139" t="str">
        <f t="shared" si="1827"/>
        <v/>
      </c>
      <c r="H915" s="140"/>
      <c r="I915" s="140"/>
      <c r="J915" s="141"/>
      <c r="K915" s="139" t="str">
        <f t="shared" si="1828"/>
        <v/>
      </c>
      <c r="L915" s="140"/>
      <c r="M915" s="140"/>
      <c r="N915" s="141"/>
      <c r="O915" s="139" t="str">
        <f t="shared" si="1829"/>
        <v/>
      </c>
      <c r="P915" s="140"/>
      <c r="Q915" s="140"/>
      <c r="R915" s="141"/>
      <c r="S915" s="139" t="str">
        <f t="shared" si="1830"/>
        <v/>
      </c>
      <c r="T915" s="140"/>
      <c r="U915" s="140"/>
      <c r="V915" s="141"/>
      <c r="W915" s="139" t="str">
        <f t="shared" si="1831"/>
        <v/>
      </c>
      <c r="X915" s="140"/>
      <c r="Y915" s="140"/>
      <c r="Z915" s="141"/>
      <c r="AA915" s="139" t="str">
        <f t="shared" si="1832"/>
        <v/>
      </c>
      <c r="AB915" s="140"/>
      <c r="AC915" s="140"/>
      <c r="AD915" s="141"/>
      <c r="AE915" s="142">
        <f t="shared" si="1833"/>
        <v>0</v>
      </c>
      <c r="AF915" s="143">
        <f t="shared" si="1814"/>
        <v>0</v>
      </c>
      <c r="AG915" s="144">
        <f t="shared" si="1834"/>
        <v>0</v>
      </c>
      <c r="AH915" s="76" t="str">
        <f t="shared" si="1835"/>
        <v/>
      </c>
      <c r="AI915" s="143">
        <f> ( IF(ISNUMBER(G915), VLOOKUP(G915/$AH915,F!$A1:$B101,2,1)*G915*$H915*$I915,0)+IF(ISNUMBER(K915), VLOOKUP(K915/$AH915,F!$A1:$B101,2,1)*K915*$L915*$M915,0)+IF(ISNUMBER(O915), VLOOKUP(O915/$AH915,F!$A1:$B101,2,1)*O915*$P915*$Q915,0)+IF(ISNUMBER(S915), VLOOKUP(S915/$AH915,F!$A1:$B101,2,1)*S915*$T915*$U915,0)+IF(ISNUMBER(W915), VLOOKUP(W915/$AH915,F!$A1:$B101,2,1)*W915*$X915*$Y915,0)+IF(ISNUMBER(AA915), VLOOKUP(AA915/$AH915,F!$A1:$B101,2,1)*AA915*$AB915*$AC915,0))*IF(ISNUMBER(F915),F915,1)*IF(ISNUMBER(E915),E915,1)</f>
        <v>0</v>
      </c>
      <c r="AJ915" s="140">
        <f t="shared" si="1836"/>
        <v>0</v>
      </c>
      <c r="AK915" s="145">
        <f t="array" ref="AK915">IFERROR(I915*INDEX(F!$P$21:$AB$33, MATCH(G915/$AH915, F!$O$21:$O$33,1), MATCH(E915, F!$P$20:$AB$20,1)), 0 ) +IFERROR( M915*INDEX(F!$P$21:$AB$33, MATCH(K915/$AH915, F!$O$21:$O$33,1), MATCH(E915, F!$P$20:$AB$20,1)),0) +  IFERROR( Q915*INDEX(F!$P$21:$AB$33, MATCH(O915/$AH915, F!$O$21:$O$33,1), MATCH(E915, F!$P$20:$AB$20,1)), 0) + IFERROR( U915*INDEX(F!$P$21:$AB$33, MATCH(S915/$AH915, F!$O$21:$O$33,1), MATCH(E915, F!$P$20:$AB$20,1)),0)  + IFERROR(Y915*INDEX(F!$P$21:$AB$33, MATCH(W915/$AH915, F!$O$21:$O$33,1), MATCH(E915, F!$P$20:$AB$20,1)),0)  + IFERROR( AC915*INDEX(F!$P$21:$AB$33, MATCH(AA915/$AH915, F!$O$21:$O$33,1), MATCH(E915, F!$P$20:$AB$20,1)),)</f>
        <v>0</v>
      </c>
      <c r="AL915" s="59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 ht="15.75" hidden="1" customHeight="1">
      <c r="A916" s="59"/>
      <c r="B916" s="126" t="str">
        <f t="shared" ref="B916:F916" si="1842">IF(B860="","",B860)</f>
        <v/>
      </c>
      <c r="C916" s="127" t="str">
        <f t="shared" si="1842"/>
        <v/>
      </c>
      <c r="D916" s="128" t="str">
        <f t="shared" si="1842"/>
        <v/>
      </c>
      <c r="E916" s="48" t="str">
        <f t="shared" si="1842"/>
        <v/>
      </c>
      <c r="F916" s="129" t="str">
        <f t="shared" si="1842"/>
        <v/>
      </c>
      <c r="G916" s="130" t="str">
        <f t="shared" si="1827"/>
        <v/>
      </c>
      <c r="H916" s="34"/>
      <c r="I916" s="34"/>
      <c r="J916" s="65"/>
      <c r="K916" s="130" t="str">
        <f t="shared" si="1828"/>
        <v/>
      </c>
      <c r="L916" s="34"/>
      <c r="M916" s="34"/>
      <c r="N916" s="65"/>
      <c r="O916" s="130" t="str">
        <f t="shared" si="1829"/>
        <v/>
      </c>
      <c r="P916" s="34"/>
      <c r="Q916" s="34"/>
      <c r="R916" s="65"/>
      <c r="S916" s="130" t="str">
        <f t="shared" si="1830"/>
        <v/>
      </c>
      <c r="T916" s="34"/>
      <c r="U916" s="34"/>
      <c r="V916" s="65"/>
      <c r="W916" s="130" t="str">
        <f t="shared" si="1831"/>
        <v/>
      </c>
      <c r="X916" s="34"/>
      <c r="Y916" s="34"/>
      <c r="Z916" s="65"/>
      <c r="AA916" s="130" t="str">
        <f t="shared" si="1832"/>
        <v/>
      </c>
      <c r="AB916" s="34"/>
      <c r="AC916" s="34"/>
      <c r="AD916" s="65"/>
      <c r="AE916" s="131">
        <f t="shared" si="1833"/>
        <v>0</v>
      </c>
      <c r="AF916" s="132">
        <f t="shared" si="1814"/>
        <v>0</v>
      </c>
      <c r="AG916" s="133">
        <f t="shared" si="1834"/>
        <v>0</v>
      </c>
      <c r="AH916" s="76" t="str">
        <f t="shared" si="1835"/>
        <v/>
      </c>
      <c r="AI916" s="132">
        <f> ( IF(ISNUMBER(G916), VLOOKUP(G916/$AH916,F!$A1:$B101,2,1)*G916*$H916*$I916,0)+IF(ISNUMBER(K916), VLOOKUP(K916/$AH916,F!$A1:$B101,2,1)*K916*$L916*$M916,0)+IF(ISNUMBER(O916), VLOOKUP(O916/$AH916,F!$A1:$B101,2,1)*O916*$P916*$Q916,0)+IF(ISNUMBER(S916), VLOOKUP(S916/$AH916,F!$A1:$B101,2,1)*S916*$T916*$U916,0)+IF(ISNUMBER(W916), VLOOKUP(W916/$AH916,F!$A1:$B101,2,1)*W916*$X916*$Y916,0)+IF(ISNUMBER(AA916), VLOOKUP(AA916/$AH916,F!$A1:$B101,2,1)*AA916*$AB916*$AC916,0))*IF(ISNUMBER(F916),F916,1)*IF(ISNUMBER(E916),E916,1)</f>
        <v>0</v>
      </c>
      <c r="AJ916" s="34">
        <f t="shared" si="1836"/>
        <v>0</v>
      </c>
      <c r="AK916" s="134">
        <f t="array" ref="AK916">IFERROR(I916*INDEX(F!$P$21:$AB$33, MATCH(G916/$AH916, F!$O$21:$O$33,1), MATCH(E916, F!$P$20:$AB$20,1)), 0 ) +IFERROR( M916*INDEX(F!$P$21:$AB$33, MATCH(K916/$AH916, F!$O$21:$O$33,1), MATCH(E916, F!$P$20:$AB$20,1)),0) +  IFERROR( Q916*INDEX(F!$P$21:$AB$33, MATCH(O916/$AH916, F!$O$21:$O$33,1), MATCH(E916, F!$P$20:$AB$20,1)), 0) + IFERROR( U916*INDEX(F!$P$21:$AB$33, MATCH(S916/$AH916, F!$O$21:$O$33,1), MATCH(E916, F!$P$20:$AB$20,1)),0)  + IFERROR(Y916*INDEX(F!$P$21:$AB$33, MATCH(W916/$AH916, F!$O$21:$O$33,1), MATCH(E916, F!$P$20:$AB$20,1)),0)  + IFERROR( AC916*INDEX(F!$P$21:$AB$33, MATCH(AA916/$AH916, F!$O$21:$O$33,1), MATCH(E916, F!$P$20:$AB$20,1)),)</f>
        <v>0</v>
      </c>
      <c r="AL916" s="59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 ht="15.75" hidden="1" customHeight="1">
      <c r="A917" s="98"/>
      <c r="B917" s="150"/>
      <c r="C917" s="151"/>
      <c r="D917" s="152"/>
      <c r="E917" s="102">
        <f>ROUND(IFERROR(SUMPRODUCT(AJ909:AJ916,E909:E916)/AJ917,0),3)</f>
        <v>0</v>
      </c>
      <c r="F917" s="153"/>
      <c r="G917" s="154"/>
      <c r="H917" s="155"/>
      <c r="I917" s="155"/>
      <c r="J917" s="156"/>
      <c r="K917" s="154"/>
      <c r="L917" s="155"/>
      <c r="M917" s="155"/>
      <c r="N917" s="156"/>
      <c r="O917" s="154"/>
      <c r="P917" s="155"/>
      <c r="Q917" s="155"/>
      <c r="R917" s="156"/>
      <c r="S917" s="154"/>
      <c r="T917" s="155"/>
      <c r="U917" s="155"/>
      <c r="V917" s="156"/>
      <c r="W917" s="154"/>
      <c r="X917" s="155"/>
      <c r="Y917" s="155"/>
      <c r="Z917" s="156"/>
      <c r="AA917" s="154"/>
      <c r="AB917" s="155"/>
      <c r="AC917" s="155"/>
      <c r="AD917" s="156"/>
      <c r="AE917" s="107">
        <f>SUM(AE909:AE916)</f>
        <v>0</v>
      </c>
      <c r="AF917" s="108">
        <f t="shared" si="1814"/>
        <v>0</v>
      </c>
      <c r="AG917" s="109">
        <f>IFERROR(  SUMPRODUCT(AG909:AG916,AJ909:AJ916)/AJ917,0)</f>
        <v>0</v>
      </c>
      <c r="AH917" s="157"/>
      <c r="AI917" s="111">
        <f t="shared" ref="AI917:AJ917" si="1843">SUM(AI909:AI916)</f>
        <v>0</v>
      </c>
      <c r="AJ917" s="111">
        <f t="shared" si="1843"/>
        <v>0</v>
      </c>
      <c r="AK917" s="112">
        <f>IF(SUM(AK909:AK916)=0,TIME(,0,),TIME(,SUM(AK909:AK916)+F!$V$37,))</f>
        <v>0</v>
      </c>
      <c r="AL917" s="98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 ht="15.75" hidden="1" customHeight="1">
      <c r="A918" s="158">
        <f>A919</f>
        <v>43896</v>
      </c>
      <c r="B918" s="159" t="str">
        <f t="shared" ref="B918:F918" si="1844">IF(B862="","",B862)</f>
        <v>Тяжелая</v>
      </c>
      <c r="C918" s="160" t="str">
        <f t="shared" si="1844"/>
        <v>ПР</v>
      </c>
      <c r="D918" s="161" t="str">
        <f t="shared" si="1844"/>
        <v>Присед</v>
      </c>
      <c r="E918" s="29">
        <f t="shared" si="1844"/>
        <v>1.2</v>
      </c>
      <c r="F918" s="162" t="str">
        <f t="shared" si="1844"/>
        <v/>
      </c>
      <c r="G918" s="163" t="str">
        <f t="shared" ref="G918:G925" si="1846">IF(J918&lt;&gt;0, IFERROR(IF( $F918=2,  MROUND($AH918*J918,1),    IF( OR($F918="",$F918=1),   MROUND($AH918*J918,2.5),  MROUND($AH918*J918, 0.1))), "" ), "")</f>
        <v/>
      </c>
      <c r="H918" s="164"/>
      <c r="I918" s="164"/>
      <c r="J918" s="165"/>
      <c r="K918" s="163" t="str">
        <f t="shared" ref="K918:K925" si="1847">IF(N918&lt;&gt;0, IFERROR(IF( $F918=2,  MROUND($AH918*N918,1),    IF( OR($F918="",$F918=1),   MROUND($AH918*N918,2.5),  MROUND($AH918*N918, 0.1))), "" ), "")</f>
        <v/>
      </c>
      <c r="L918" s="164"/>
      <c r="M918" s="164"/>
      <c r="N918" s="165"/>
      <c r="O918" s="163" t="str">
        <f t="shared" ref="O918:O925" si="1848">IF(R918&lt;&gt;0, IFERROR(IF( $F918=2,  MROUND($AH918*R918,1),    IF( OR($F918="",$F918=1),   MROUND($AH918*R918,2.5),  MROUND($AH918*R918, 0.1))), "" ), "")</f>
        <v/>
      </c>
      <c r="P918" s="164"/>
      <c r="Q918" s="164"/>
      <c r="R918" s="165"/>
      <c r="S918" s="163" t="str">
        <f t="shared" ref="S918:S925" si="1849">IF(V918&lt;&gt;0, IFERROR(IF( $F918=2,  MROUND($AH918*V918,1),    IF( OR($F918="",$F918=1),   MROUND($AH918*V918,2.5),  MROUND($AH918*V918, 0.1))), "" ), "")</f>
        <v/>
      </c>
      <c r="T918" s="164"/>
      <c r="U918" s="164"/>
      <c r="V918" s="165"/>
      <c r="W918" s="163" t="str">
        <f t="shared" ref="W918:W925" si="1850">IF(Z918&lt;&gt;0, IFERROR(IF( $F918=2,  MROUND($AH918*Z918,1),    IF( OR($F918="",$F918=1),   MROUND($AH918*Z918,2.5),  MROUND($AH918*Z918, 0.1))), "" ), "")</f>
        <v/>
      </c>
      <c r="X918" s="164"/>
      <c r="Y918" s="164"/>
      <c r="Z918" s="165"/>
      <c r="AA918" s="163" t="str">
        <f t="shared" ref="AA918:AA925" si="1851">IF(AD918&lt;&gt;0, IFERROR(IF( $F918=2,  MROUND($AH918*AD918,1),    IF( OR($F918="",$F918=1),   MROUND($AH918*AD918,2.5),  MROUND($AH918*AD918, 0.1))), "" ), "")</f>
        <v/>
      </c>
      <c r="AB918" s="164"/>
      <c r="AC918" s="164"/>
      <c r="AD918" s="165"/>
      <c r="AE918" s="166">
        <f t="shared" ref="AE918:AE925" si="1852">(IF(ISNUMBER(G918),G918,0)*H918*I918+IF(ISNUMBER(K918),K918,1)*L918*M918+IF(ISNUMBER(O918),O918,1)*P918*Q918+IF(ISNUMBER(S918),S918,1)*T918*U918+IF(ISNUMBER(W918),W918,1)*X918*Y918+IF(ISNUMBER(AA918),AA918,1)*AB918*AC918)*IF(ISNUMBER(F918),F918,1)</f>
        <v>0</v>
      </c>
      <c r="AF918" s="167">
        <f t="shared" si="1814"/>
        <v>0</v>
      </c>
      <c r="AG918" s="168">
        <f t="shared" ref="AG918:AG925" si="1853">IFERROR((AF918/(AH918*IF(ISNUMBER(F918),F918,1))),0)</f>
        <v>0</v>
      </c>
      <c r="AH918" s="169">
        <f t="shared" ref="AH918:AH925" si="1854">IF(ISNUMBER(AH862), AH862+(AH862*$AH$898),"")</f>
        <v>185.3260702</v>
      </c>
      <c r="AI918" s="167">
        <f> ( IF(ISNUMBER(G918), VLOOKUP(G918/$AH918,F!$A1:$B101,2,1)*G918*$H918*$I918,0)+IF(ISNUMBER(K918), VLOOKUP(K918/$AH918,F!$A1:$B101,2,1)*K918*$L918*$M918,0)+IF(ISNUMBER(O918), VLOOKUP(O918/$AH918,F!$A1:$B101,2,1)*O918*$P918*$Q918,0)+IF(ISNUMBER(S918), VLOOKUP(S918/$AH918,F!$A1:$B101,2,1)*S918*$T918*$U918,0)+IF(ISNUMBER(W918), VLOOKUP(W918/$AH918,F!$A1:$B101,2,1)*W918*$X918*$Y918,0)+IF(ISNUMBER(AA918), VLOOKUP(AA918/$AH918,F!$A1:$B101,2,1)*AA918*$AB918*$AC918,0))*IF(ISNUMBER(F918),F918,1)*IF(ISNUMBER(E918),E918,1)</f>
        <v>0</v>
      </c>
      <c r="AJ918" s="164">
        <f t="shared" ref="AJ918:AJ925" si="1855">H918*I918+L918*M918+P918*Q918+T918*U918+X918*Y918+AB918*AC918</f>
        <v>0</v>
      </c>
      <c r="AK918" s="170">
        <f t="array" ref="AK918">IFERROR(I918*INDEX(F!$P$21:$AB$33, MATCH(G918/$AH918, F!$O$21:$O$33,1), MATCH(E918, F!$P$20:$AB$20,1)), 0 ) +IFERROR( M918*INDEX(F!$P$21:$AB$33, MATCH(K918/$AH918, F!$O$21:$O$33,1), MATCH(E918, F!$P$20:$AB$20,1)),0) +  IFERROR( Q918*INDEX(F!$P$21:$AB$33, MATCH(O918/$AH918, F!$O$21:$O$33,1), MATCH(E918, F!$P$20:$AB$20,1)), 0) + IFERROR( U918*INDEX(F!$P$21:$AB$33, MATCH(S918/$AH918, F!$O$21:$O$33,1), MATCH(E918, F!$P$20:$AB$20,1)),0)  + IFERROR(Y918*INDEX(F!$P$21:$AB$33, MATCH(W918/$AH918, F!$O$21:$O$33,1), MATCH(E918, F!$P$20:$AB$20,1)),0)  + IFERROR( AC918*INDEX(F!$P$21:$AB$33, MATCH(AA918/$AH918, F!$O$21:$O$33,1), MATCH(E918, F!$P$20:$AB$20,1)),)</f>
        <v>0</v>
      </c>
      <c r="AL918" s="42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 ht="15.75" hidden="1" customHeight="1">
      <c r="A919" s="44">
        <f>A863+A842</f>
        <v>43896</v>
      </c>
      <c r="B919" s="135" t="str">
        <f t="shared" ref="B919:F919" si="1845">IF(B863="","",B863)</f>
        <v>Тяжелая</v>
      </c>
      <c r="C919" s="136" t="str">
        <f t="shared" si="1845"/>
        <v>ЖМ</v>
      </c>
      <c r="D919" s="137" t="str">
        <f t="shared" si="1845"/>
        <v>Жим лежа</v>
      </c>
      <c r="E919" s="48">
        <f t="shared" si="1845"/>
        <v>1</v>
      </c>
      <c r="F919" s="138" t="str">
        <f t="shared" si="1845"/>
        <v/>
      </c>
      <c r="G919" s="139" t="str">
        <f t="shared" si="1846"/>
        <v/>
      </c>
      <c r="H919" s="140"/>
      <c r="I919" s="140"/>
      <c r="J919" s="141"/>
      <c r="K919" s="139" t="str">
        <f t="shared" si="1847"/>
        <v/>
      </c>
      <c r="L919" s="140"/>
      <c r="M919" s="140"/>
      <c r="N919" s="141"/>
      <c r="O919" s="139" t="str">
        <f t="shared" si="1848"/>
        <v/>
      </c>
      <c r="P919" s="140"/>
      <c r="Q919" s="140"/>
      <c r="R919" s="141"/>
      <c r="S919" s="139" t="str">
        <f t="shared" si="1849"/>
        <v/>
      </c>
      <c r="T919" s="140"/>
      <c r="U919" s="140"/>
      <c r="V919" s="141"/>
      <c r="W919" s="139" t="str">
        <f t="shared" si="1850"/>
        <v/>
      </c>
      <c r="X919" s="140"/>
      <c r="Y919" s="140"/>
      <c r="Z919" s="141"/>
      <c r="AA919" s="139" t="str">
        <f t="shared" si="1851"/>
        <v/>
      </c>
      <c r="AB919" s="140"/>
      <c r="AC919" s="140"/>
      <c r="AD919" s="141"/>
      <c r="AE919" s="142">
        <f t="shared" si="1852"/>
        <v>0</v>
      </c>
      <c r="AF919" s="143">
        <f t="shared" si="1814"/>
        <v>0</v>
      </c>
      <c r="AG919" s="144">
        <f t="shared" si="1853"/>
        <v>0</v>
      </c>
      <c r="AH919" s="76">
        <f t="shared" si="1854"/>
        <v>130.414642</v>
      </c>
      <c r="AI919" s="143">
        <f> ( IF(ISNUMBER(G919), VLOOKUP(G919/$AH919,F!$A1:$B101,2,1)*G919*$H919*$I919,0)+IF(ISNUMBER(K919), VLOOKUP(K919/$AH919,F!$A1:$B101,2,1)*K919*$L919*$M919,0)+IF(ISNUMBER(O919), VLOOKUP(O919/$AH919,F!$A1:$B101,2,1)*O919*$P919*$Q919,0)+IF(ISNUMBER(S919), VLOOKUP(S919/$AH919,F!$A1:$B101,2,1)*S919*$T919*$U919,0)+IF(ISNUMBER(W919), VLOOKUP(W919/$AH919,F!$A1:$B101,2,1)*W919*$X919*$Y919,0)+IF(ISNUMBER(AA919), VLOOKUP(AA919/$AH919,F!$A1:$B101,2,1)*AA919*$AB919*$AC919,0))*IF(ISNUMBER(F919),F919,1)*IF(ISNUMBER(E919),E919,1)</f>
        <v>0</v>
      </c>
      <c r="AJ919" s="140">
        <f t="shared" si="1855"/>
        <v>0</v>
      </c>
      <c r="AK919" s="145">
        <f t="array" ref="AK919">IFERROR(I919*INDEX(F!$P$21:$AB$33, MATCH(G919/$AH919, F!$O$21:$O$33,1), MATCH(E919, F!$P$20:$AB$20,1)), 0 ) +IFERROR( M919*INDEX(F!$P$21:$AB$33, MATCH(K919/$AH919, F!$O$21:$O$33,1), MATCH(E919, F!$P$20:$AB$20,1)),0) +  IFERROR( Q919*INDEX(F!$P$21:$AB$33, MATCH(O919/$AH919, F!$O$21:$O$33,1), MATCH(E919, F!$P$20:$AB$20,1)), 0) + IFERROR( U919*INDEX(F!$P$21:$AB$33, MATCH(S919/$AH919, F!$O$21:$O$33,1), MATCH(E919, F!$P$20:$AB$20,1)),0)  + IFERROR(Y919*INDEX(F!$P$21:$AB$33, MATCH(W919/$AH919, F!$O$21:$O$33,1), MATCH(E919, F!$P$20:$AB$20,1)),0)  + IFERROR( AC919*INDEX(F!$P$21:$AB$33, MATCH(AA919/$AH919, F!$O$21:$O$33,1), MATCH(E919, F!$P$20:$AB$20,1)),)</f>
        <v>0</v>
      </c>
      <c r="AL919" s="59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 ht="15.75" hidden="1" customHeight="1">
      <c r="A920" s="59"/>
      <c r="B920" s="173" t="str">
        <f t="shared" ref="B920:F920" si="1856">IF(B864="","",B864)</f>
        <v>Средняя</v>
      </c>
      <c r="C920" s="174" t="str">
        <f t="shared" si="1856"/>
        <v>ПР</v>
      </c>
      <c r="D920" s="175" t="str">
        <f t="shared" si="1856"/>
        <v>Присед</v>
      </c>
      <c r="E920" s="48">
        <f t="shared" si="1856"/>
        <v>1.2</v>
      </c>
      <c r="F920" s="176" t="str">
        <f t="shared" si="1856"/>
        <v/>
      </c>
      <c r="G920" s="177" t="str">
        <f t="shared" si="1846"/>
        <v/>
      </c>
      <c r="H920" s="178"/>
      <c r="I920" s="178"/>
      <c r="J920" s="179"/>
      <c r="K920" s="177" t="str">
        <f t="shared" si="1847"/>
        <v/>
      </c>
      <c r="L920" s="178"/>
      <c r="M920" s="178"/>
      <c r="N920" s="179"/>
      <c r="O920" s="177" t="str">
        <f t="shared" si="1848"/>
        <v/>
      </c>
      <c r="P920" s="178"/>
      <c r="Q920" s="178"/>
      <c r="R920" s="179"/>
      <c r="S920" s="177" t="str">
        <f t="shared" si="1849"/>
        <v/>
      </c>
      <c r="T920" s="178"/>
      <c r="U920" s="178"/>
      <c r="V920" s="179"/>
      <c r="W920" s="177" t="str">
        <f t="shared" si="1850"/>
        <v/>
      </c>
      <c r="X920" s="178"/>
      <c r="Y920" s="178"/>
      <c r="Z920" s="179"/>
      <c r="AA920" s="177" t="str">
        <f t="shared" si="1851"/>
        <v/>
      </c>
      <c r="AB920" s="178"/>
      <c r="AC920" s="178"/>
      <c r="AD920" s="179"/>
      <c r="AE920" s="180">
        <f t="shared" si="1852"/>
        <v>0</v>
      </c>
      <c r="AF920" s="181">
        <f t="shared" si="1814"/>
        <v>0</v>
      </c>
      <c r="AG920" s="182">
        <f t="shared" si="1853"/>
        <v>0</v>
      </c>
      <c r="AH920" s="76">
        <f t="shared" si="1854"/>
        <v>185.3260702</v>
      </c>
      <c r="AI920" s="181">
        <f> ( IF(ISNUMBER(G920), VLOOKUP(G920/$AH920,F!$A1:$B101,2,1)*G920*$H920*$I920,0)+IF(ISNUMBER(K920), VLOOKUP(K920/$AH920,F!$A1:$B101,2,1)*K920*$L920*$M920,0)+IF(ISNUMBER(O920), VLOOKUP(O920/$AH920,F!$A1:$B101,2,1)*O920*$P920*$Q920,0)+IF(ISNUMBER(S920), VLOOKUP(S920/$AH920,F!$A1:$B101,2,1)*S920*$T920*$U920,0)+IF(ISNUMBER(W920), VLOOKUP(W920/$AH920,F!$A1:$B101,2,1)*W920*$X920*$Y920,0)+IF(ISNUMBER(AA920), VLOOKUP(AA920/$AH920,F!$A1:$B101,2,1)*AA920*$AB920*$AC920,0))*IF(ISNUMBER(F920),F920,1)*IF(ISNUMBER(E920),E920,1)</f>
        <v>0</v>
      </c>
      <c r="AJ920" s="178">
        <f t="shared" si="1855"/>
        <v>0</v>
      </c>
      <c r="AK920" s="183">
        <f t="array" ref="AK920">IFERROR(I920*INDEX(F!$P$21:$AB$33, MATCH(G920/$AH920, F!$O$21:$O$33,1), MATCH(E920, F!$P$20:$AB$20,1)), 0 ) +IFERROR( M920*INDEX(F!$P$21:$AB$33, MATCH(K920/$AH920, F!$O$21:$O$33,1), MATCH(E920, F!$P$20:$AB$20,1)),0) +  IFERROR( Q920*INDEX(F!$P$21:$AB$33, MATCH(O920/$AH920, F!$O$21:$O$33,1), MATCH(E920, F!$P$20:$AB$20,1)), 0) + IFERROR( U920*INDEX(F!$P$21:$AB$33, MATCH(S920/$AH920, F!$O$21:$O$33,1), MATCH(E920, F!$P$20:$AB$20,1)),0)  + IFERROR(Y920*INDEX(F!$P$21:$AB$33, MATCH(W920/$AH920, F!$O$21:$O$33,1), MATCH(E920, F!$P$20:$AB$20,1)),0)  + IFERROR( AC920*INDEX(F!$P$21:$AB$33, MATCH(AA920/$AH920, F!$O$21:$O$33,1), MATCH(E920, F!$P$20:$AB$20,1)),)</f>
        <v>0</v>
      </c>
      <c r="AL920" s="59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 ht="15.75" hidden="1" customHeight="1">
      <c r="A921" s="59"/>
      <c r="B921" s="135" t="str">
        <f t="shared" ref="B921:F921" si="1857">IF(B865="","",B865)</f>
        <v>Средняя</v>
      </c>
      <c r="C921" s="136" t="str">
        <f t="shared" si="1857"/>
        <v>ЖМ</v>
      </c>
      <c r="D921" s="137" t="str">
        <f t="shared" si="1857"/>
        <v>Жим на наклонной скамье</v>
      </c>
      <c r="E921" s="48">
        <f t="shared" si="1857"/>
        <v>1</v>
      </c>
      <c r="F921" s="138" t="str">
        <f t="shared" si="1857"/>
        <v/>
      </c>
      <c r="G921" s="139" t="str">
        <f t="shared" si="1846"/>
        <v/>
      </c>
      <c r="H921" s="140"/>
      <c r="I921" s="140"/>
      <c r="J921" s="141"/>
      <c r="K921" s="139" t="str">
        <f t="shared" si="1847"/>
        <v/>
      </c>
      <c r="L921" s="140"/>
      <c r="M921" s="140"/>
      <c r="N921" s="141"/>
      <c r="O921" s="139" t="str">
        <f t="shared" si="1848"/>
        <v/>
      </c>
      <c r="P921" s="140"/>
      <c r="Q921" s="140"/>
      <c r="R921" s="141"/>
      <c r="S921" s="139" t="str">
        <f t="shared" si="1849"/>
        <v/>
      </c>
      <c r="T921" s="140"/>
      <c r="U921" s="140"/>
      <c r="V921" s="141"/>
      <c r="W921" s="139" t="str">
        <f t="shared" si="1850"/>
        <v/>
      </c>
      <c r="X921" s="140"/>
      <c r="Y921" s="140"/>
      <c r="Z921" s="141"/>
      <c r="AA921" s="139" t="str">
        <f t="shared" si="1851"/>
        <v/>
      </c>
      <c r="AB921" s="140"/>
      <c r="AC921" s="140"/>
      <c r="AD921" s="141"/>
      <c r="AE921" s="142">
        <f t="shared" si="1852"/>
        <v>0</v>
      </c>
      <c r="AF921" s="143">
        <f t="shared" si="1814"/>
        <v>0</v>
      </c>
      <c r="AG921" s="144">
        <f t="shared" si="1853"/>
        <v>0</v>
      </c>
      <c r="AH921" s="76">
        <f t="shared" si="1854"/>
        <v>104.3317136</v>
      </c>
      <c r="AI921" s="143">
        <f> ( IF(ISNUMBER(G921), VLOOKUP(G921/$AH921,F!$A1:$B101,2,1)*G921*$H921*$I921,0)+IF(ISNUMBER(K921), VLOOKUP(K921/$AH921,F!$A1:$B101,2,1)*K921*$L921*$M921,0)+IF(ISNUMBER(O921), VLOOKUP(O921/$AH921,F!$A1:$B101,2,1)*O921*$P921*$Q921,0)+IF(ISNUMBER(S921), VLOOKUP(S921/$AH921,F!$A1:$B101,2,1)*S921*$T921*$U921,0)+IF(ISNUMBER(W921), VLOOKUP(W921/$AH921,F!$A1:$B101,2,1)*W921*$X921*$Y921,0)+IF(ISNUMBER(AA921), VLOOKUP(AA921/$AH921,F!$A1:$B101,2,1)*AA921*$AB921*$AC921,0))*IF(ISNUMBER(F921),F921,1)*IF(ISNUMBER(E921),E921,1)</f>
        <v>0</v>
      </c>
      <c r="AJ921" s="140">
        <f t="shared" si="1855"/>
        <v>0</v>
      </c>
      <c r="AK921" s="145">
        <f t="array" ref="AK921">IFERROR(I921*INDEX(F!$P$21:$AB$33, MATCH(G921/$AH921, F!$O$21:$O$33,1), MATCH(E921, F!$P$20:$AB$20,1)), 0 ) +IFERROR( M921*INDEX(F!$P$21:$AB$33, MATCH(K921/$AH921, F!$O$21:$O$33,1), MATCH(E921, F!$P$20:$AB$20,1)),0) +  IFERROR( Q921*INDEX(F!$P$21:$AB$33, MATCH(O921/$AH921, F!$O$21:$O$33,1), MATCH(E921, F!$P$20:$AB$20,1)), 0) + IFERROR( U921*INDEX(F!$P$21:$AB$33, MATCH(S921/$AH921, F!$O$21:$O$33,1), MATCH(E921, F!$P$20:$AB$20,1)),0)  + IFERROR(Y921*INDEX(F!$P$21:$AB$33, MATCH(W921/$AH921, F!$O$21:$O$33,1), MATCH(E921, F!$P$20:$AB$20,1)),0)  + IFERROR( AC921*INDEX(F!$P$21:$AB$33, MATCH(AA921/$AH921, F!$O$21:$O$33,1), MATCH(E921, F!$P$20:$AB$20,1)),)</f>
        <v>0</v>
      </c>
      <c r="AL921" s="59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 ht="15.75" hidden="1" customHeight="1">
      <c r="A922" s="59"/>
      <c r="B922" s="173" t="str">
        <f t="shared" ref="B922:F922" si="1858">IF(B866="","",B866)</f>
        <v>Средняя</v>
      </c>
      <c r="C922" s="174" t="str">
        <f t="shared" si="1858"/>
        <v>ОФП</v>
      </c>
      <c r="D922" s="175" t="str">
        <f t="shared" si="1858"/>
        <v>Бицепс стоя</v>
      </c>
      <c r="E922" s="48">
        <f t="shared" si="1858"/>
        <v>0.5</v>
      </c>
      <c r="F922" s="176" t="str">
        <f t="shared" si="1858"/>
        <v/>
      </c>
      <c r="G922" s="177" t="str">
        <f t="shared" si="1846"/>
        <v/>
      </c>
      <c r="H922" s="178"/>
      <c r="I922" s="178"/>
      <c r="J922" s="179"/>
      <c r="K922" s="177" t="str">
        <f t="shared" si="1847"/>
        <v/>
      </c>
      <c r="L922" s="178"/>
      <c r="M922" s="178"/>
      <c r="N922" s="179"/>
      <c r="O922" s="177" t="str">
        <f t="shared" si="1848"/>
        <v/>
      </c>
      <c r="P922" s="178"/>
      <c r="Q922" s="178"/>
      <c r="R922" s="179"/>
      <c r="S922" s="177" t="str">
        <f t="shared" si="1849"/>
        <v/>
      </c>
      <c r="T922" s="178"/>
      <c r="U922" s="178"/>
      <c r="V922" s="179"/>
      <c r="W922" s="177" t="str">
        <f t="shared" si="1850"/>
        <v/>
      </c>
      <c r="X922" s="178"/>
      <c r="Y922" s="178"/>
      <c r="Z922" s="179"/>
      <c r="AA922" s="177" t="str">
        <f t="shared" si="1851"/>
        <v/>
      </c>
      <c r="AB922" s="178"/>
      <c r="AC922" s="178"/>
      <c r="AD922" s="179"/>
      <c r="AE922" s="180">
        <f t="shared" si="1852"/>
        <v>0</v>
      </c>
      <c r="AF922" s="181">
        <f t="shared" si="1814"/>
        <v>0</v>
      </c>
      <c r="AG922" s="182">
        <f t="shared" si="1853"/>
        <v>0</v>
      </c>
      <c r="AH922" s="76" t="str">
        <f t="shared" si="1854"/>
        <v/>
      </c>
      <c r="AI922" s="181">
        <f> ( IF(ISNUMBER(G922), VLOOKUP(G922/$AH922,F!$A1:$B101,2,1)*G922*$H922*$I922,0)+IF(ISNUMBER(K922), VLOOKUP(K922/$AH922,F!$A1:$B101,2,1)*K922*$L922*$M922,0)+IF(ISNUMBER(O922), VLOOKUP(O922/$AH922,F!$A1:$B101,2,1)*O922*$P922*$Q922,0)+IF(ISNUMBER(S922), VLOOKUP(S922/$AH922,F!$A1:$B101,2,1)*S922*$T922*$U922,0)+IF(ISNUMBER(W922), VLOOKUP(W922/$AH922,F!$A1:$B101,2,1)*W922*$X922*$Y922,0)+IF(ISNUMBER(AA922), VLOOKUP(AA922/$AH922,F!$A1:$B101,2,1)*AA922*$AB922*$AC922,0))*IF(ISNUMBER(F922),F922,1)*IF(ISNUMBER(E922),E922,1)</f>
        <v>0</v>
      </c>
      <c r="AJ922" s="178">
        <f t="shared" si="1855"/>
        <v>0</v>
      </c>
      <c r="AK922" s="183">
        <f t="array" ref="AK922">IFERROR(I922*INDEX(F!$P$21:$AB$33, MATCH(G922/$AH922, F!$O$21:$O$33,1), MATCH(E922, F!$P$20:$AB$20,1)), 0 ) +IFERROR( M922*INDEX(F!$P$21:$AB$33, MATCH(K922/$AH922, F!$O$21:$O$33,1), MATCH(E922, F!$P$20:$AB$20,1)),0) +  IFERROR( Q922*INDEX(F!$P$21:$AB$33, MATCH(O922/$AH922, F!$O$21:$O$33,1), MATCH(E922, F!$P$20:$AB$20,1)), 0) + IFERROR( U922*INDEX(F!$P$21:$AB$33, MATCH(S922/$AH922, F!$O$21:$O$33,1), MATCH(E922, F!$P$20:$AB$20,1)),0)  + IFERROR(Y922*INDEX(F!$P$21:$AB$33, MATCH(W922/$AH922, F!$O$21:$O$33,1), MATCH(E922, F!$P$20:$AB$20,1)),0)  + IFERROR( AC922*INDEX(F!$P$21:$AB$33, MATCH(AA922/$AH922, F!$O$21:$O$33,1), MATCH(E922, F!$P$20:$AB$20,1)),)</f>
        <v>0</v>
      </c>
      <c r="AL922" s="59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 ht="15.75" hidden="1" customHeight="1">
      <c r="A923" s="59"/>
      <c r="B923" s="135" t="str">
        <f t="shared" ref="B923:F923" si="1859">IF(B867="","",B867)</f>
        <v/>
      </c>
      <c r="C923" s="136" t="str">
        <f t="shared" si="1859"/>
        <v/>
      </c>
      <c r="D923" s="137" t="str">
        <f t="shared" si="1859"/>
        <v/>
      </c>
      <c r="E923" s="48" t="str">
        <f t="shared" si="1859"/>
        <v/>
      </c>
      <c r="F923" s="138" t="str">
        <f t="shared" si="1859"/>
        <v/>
      </c>
      <c r="G923" s="139" t="str">
        <f t="shared" si="1846"/>
        <v/>
      </c>
      <c r="H923" s="140"/>
      <c r="I923" s="140"/>
      <c r="J923" s="141"/>
      <c r="K923" s="139" t="str">
        <f t="shared" si="1847"/>
        <v/>
      </c>
      <c r="L923" s="140"/>
      <c r="M923" s="140"/>
      <c r="N923" s="141"/>
      <c r="O923" s="139" t="str">
        <f t="shared" si="1848"/>
        <v/>
      </c>
      <c r="P923" s="140"/>
      <c r="Q923" s="140"/>
      <c r="R923" s="141"/>
      <c r="S923" s="139" t="str">
        <f t="shared" si="1849"/>
        <v/>
      </c>
      <c r="T923" s="140"/>
      <c r="U923" s="140"/>
      <c r="V923" s="141"/>
      <c r="W923" s="139" t="str">
        <f t="shared" si="1850"/>
        <v/>
      </c>
      <c r="X923" s="140"/>
      <c r="Y923" s="140"/>
      <c r="Z923" s="141"/>
      <c r="AA923" s="139" t="str">
        <f t="shared" si="1851"/>
        <v/>
      </c>
      <c r="AB923" s="140"/>
      <c r="AC923" s="140"/>
      <c r="AD923" s="141"/>
      <c r="AE923" s="142">
        <f t="shared" si="1852"/>
        <v>0</v>
      </c>
      <c r="AF923" s="143">
        <f t="shared" si="1814"/>
        <v>0</v>
      </c>
      <c r="AG923" s="144">
        <f t="shared" si="1853"/>
        <v>0</v>
      </c>
      <c r="AH923" s="76" t="str">
        <f t="shared" si="1854"/>
        <v/>
      </c>
      <c r="AI923" s="143">
        <f> ( IF(ISNUMBER(G923), VLOOKUP(G923/$AH923,F!$A1:$B101,2,1)*G923*$H923*$I923,0)+IF(ISNUMBER(K923), VLOOKUP(K923/$AH923,F!$A1:$B101,2,1)*K923*$L923*$M923,0)+IF(ISNUMBER(O923), VLOOKUP(O923/$AH923,F!$A1:$B101,2,1)*O923*$P923*$Q923,0)+IF(ISNUMBER(S923), VLOOKUP(S923/$AH923,F!$A1:$B101,2,1)*S923*$T923*$U923,0)+IF(ISNUMBER(W923), VLOOKUP(W923/$AH923,F!$A1:$B101,2,1)*W923*$X923*$Y923,0)+IF(ISNUMBER(AA923), VLOOKUP(AA923/$AH923,F!$A1:$B101,2,1)*AA923*$AB923*$AC923,0))*IF(ISNUMBER(F923),F923,1)*IF(ISNUMBER(E923),E923,1)</f>
        <v>0</v>
      </c>
      <c r="AJ923" s="140">
        <f t="shared" si="1855"/>
        <v>0</v>
      </c>
      <c r="AK923" s="145">
        <f t="array" ref="AK923">IFERROR(I923*INDEX(F!$P$21:$AB$33, MATCH(G923/$AH923, F!$O$21:$O$33,1), MATCH(E923, F!$P$20:$AB$20,1)), 0 ) +IFERROR( M923*INDEX(F!$P$21:$AB$33, MATCH(K923/$AH923, F!$O$21:$O$33,1), MATCH(E923, F!$P$20:$AB$20,1)),0) +  IFERROR( Q923*INDEX(F!$P$21:$AB$33, MATCH(O923/$AH923, F!$O$21:$O$33,1), MATCH(E923, F!$P$20:$AB$20,1)), 0) + IFERROR( U923*INDEX(F!$P$21:$AB$33, MATCH(S923/$AH923, F!$O$21:$O$33,1), MATCH(E923, F!$P$20:$AB$20,1)),0)  + IFERROR(Y923*INDEX(F!$P$21:$AB$33, MATCH(W923/$AH923, F!$O$21:$O$33,1), MATCH(E923, F!$P$20:$AB$20,1)),0)  + IFERROR( AC923*INDEX(F!$P$21:$AB$33, MATCH(AA923/$AH923, F!$O$21:$O$33,1), MATCH(E923, F!$P$20:$AB$20,1)),)</f>
        <v>0</v>
      </c>
      <c r="AL923" s="59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 ht="15.75" hidden="1" customHeight="1">
      <c r="A924" s="59"/>
      <c r="B924" s="173" t="str">
        <f t="shared" ref="B924:F924" si="1860">IF(B868="","",B868)</f>
        <v/>
      </c>
      <c r="C924" s="174" t="str">
        <f t="shared" si="1860"/>
        <v/>
      </c>
      <c r="D924" s="175" t="str">
        <f t="shared" si="1860"/>
        <v/>
      </c>
      <c r="E924" s="48" t="str">
        <f t="shared" si="1860"/>
        <v/>
      </c>
      <c r="F924" s="176" t="str">
        <f t="shared" si="1860"/>
        <v/>
      </c>
      <c r="G924" s="177" t="str">
        <f t="shared" si="1846"/>
        <v/>
      </c>
      <c r="H924" s="178"/>
      <c r="I924" s="178"/>
      <c r="J924" s="179"/>
      <c r="K924" s="177" t="str">
        <f t="shared" si="1847"/>
        <v/>
      </c>
      <c r="L924" s="178"/>
      <c r="M924" s="178"/>
      <c r="N924" s="179"/>
      <c r="O924" s="177" t="str">
        <f t="shared" si="1848"/>
        <v/>
      </c>
      <c r="P924" s="178"/>
      <c r="Q924" s="178"/>
      <c r="R924" s="179"/>
      <c r="S924" s="177" t="str">
        <f t="shared" si="1849"/>
        <v/>
      </c>
      <c r="T924" s="178"/>
      <c r="U924" s="178"/>
      <c r="V924" s="179"/>
      <c r="W924" s="177" t="str">
        <f t="shared" si="1850"/>
        <v/>
      </c>
      <c r="X924" s="178"/>
      <c r="Y924" s="178"/>
      <c r="Z924" s="179"/>
      <c r="AA924" s="177" t="str">
        <f t="shared" si="1851"/>
        <v/>
      </c>
      <c r="AB924" s="178"/>
      <c r="AC924" s="178"/>
      <c r="AD924" s="179"/>
      <c r="AE924" s="180">
        <f t="shared" si="1852"/>
        <v>0</v>
      </c>
      <c r="AF924" s="181">
        <f t="shared" si="1814"/>
        <v>0</v>
      </c>
      <c r="AG924" s="182">
        <f t="shared" si="1853"/>
        <v>0</v>
      </c>
      <c r="AH924" s="76" t="str">
        <f t="shared" si="1854"/>
        <v/>
      </c>
      <c r="AI924" s="181">
        <f> ( IF(ISNUMBER(G924), VLOOKUP(G924/$AH924,F!$A1:$B101,2,1)*G924*$H924*$I924,0)+IF(ISNUMBER(K924), VLOOKUP(K924/$AH924,F!$A1:$B101,2,1)*K924*$L924*$M924,0)+IF(ISNUMBER(O924), VLOOKUP(O924/$AH924,F!$A1:$B101,2,1)*O924*$P924*$Q924,0)+IF(ISNUMBER(S924), VLOOKUP(S924/$AH924,F!$A1:$B101,2,1)*S924*$T924*$U924,0)+IF(ISNUMBER(W924), VLOOKUP(W924/$AH924,F!$A1:$B101,2,1)*W924*$X924*$Y924,0)+IF(ISNUMBER(AA924), VLOOKUP(AA924/$AH924,F!$A1:$B101,2,1)*AA924*$AB924*$AC924,0))*IF(ISNUMBER(F924),F924,1)*IF(ISNUMBER(E924),E924,1)</f>
        <v>0</v>
      </c>
      <c r="AJ924" s="178">
        <f t="shared" si="1855"/>
        <v>0</v>
      </c>
      <c r="AK924" s="183">
        <f t="array" ref="AK924">IFERROR(I924*INDEX(F!$P$21:$AB$33, MATCH(G924/$AH924, F!$O$21:$O$33,1), MATCH(E924, F!$P$20:$AB$20,1)), 0 ) +IFERROR( M924*INDEX(F!$P$21:$AB$33, MATCH(K924/$AH924, F!$O$21:$O$33,1), MATCH(E924, F!$P$20:$AB$20,1)),0) +  IFERROR( Q924*INDEX(F!$P$21:$AB$33, MATCH(O924/$AH924, F!$O$21:$O$33,1), MATCH(E924, F!$P$20:$AB$20,1)), 0) + IFERROR( U924*INDEX(F!$P$21:$AB$33, MATCH(S924/$AH924, F!$O$21:$O$33,1), MATCH(E924, F!$P$20:$AB$20,1)),0)  + IFERROR(Y924*INDEX(F!$P$21:$AB$33, MATCH(W924/$AH924, F!$O$21:$O$33,1), MATCH(E924, F!$P$20:$AB$20,1)),0)  + IFERROR( AC924*INDEX(F!$P$21:$AB$33, MATCH(AA924/$AH924, F!$O$21:$O$33,1), MATCH(E924, F!$P$20:$AB$20,1)),)</f>
        <v>0</v>
      </c>
      <c r="AL924" s="59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 ht="15.75" hidden="1" customHeight="1">
      <c r="A925" s="59"/>
      <c r="B925" s="135" t="str">
        <f t="shared" ref="B925:F925" si="1861">IF(B869="","",B869)</f>
        <v/>
      </c>
      <c r="C925" s="136" t="str">
        <f t="shared" si="1861"/>
        <v/>
      </c>
      <c r="D925" s="137" t="str">
        <f t="shared" si="1861"/>
        <v/>
      </c>
      <c r="E925" s="48" t="str">
        <f t="shared" si="1861"/>
        <v/>
      </c>
      <c r="F925" s="138" t="str">
        <f t="shared" si="1861"/>
        <v/>
      </c>
      <c r="G925" s="139" t="str">
        <f t="shared" si="1846"/>
        <v/>
      </c>
      <c r="H925" s="140"/>
      <c r="I925" s="140"/>
      <c r="J925" s="141"/>
      <c r="K925" s="139" t="str">
        <f t="shared" si="1847"/>
        <v/>
      </c>
      <c r="L925" s="140"/>
      <c r="M925" s="140"/>
      <c r="N925" s="141"/>
      <c r="O925" s="139" t="str">
        <f t="shared" si="1848"/>
        <v/>
      </c>
      <c r="P925" s="140"/>
      <c r="Q925" s="140"/>
      <c r="R925" s="141"/>
      <c r="S925" s="139" t="str">
        <f t="shared" si="1849"/>
        <v/>
      </c>
      <c r="T925" s="140"/>
      <c r="U925" s="140"/>
      <c r="V925" s="141"/>
      <c r="W925" s="139" t="str">
        <f t="shared" si="1850"/>
        <v/>
      </c>
      <c r="X925" s="140"/>
      <c r="Y925" s="140"/>
      <c r="Z925" s="141"/>
      <c r="AA925" s="139" t="str">
        <f t="shared" si="1851"/>
        <v/>
      </c>
      <c r="AB925" s="140"/>
      <c r="AC925" s="140"/>
      <c r="AD925" s="141"/>
      <c r="AE925" s="142">
        <f t="shared" si="1852"/>
        <v>0</v>
      </c>
      <c r="AF925" s="143">
        <f t="shared" si="1814"/>
        <v>0</v>
      </c>
      <c r="AG925" s="144">
        <f t="shared" si="1853"/>
        <v>0</v>
      </c>
      <c r="AH925" s="76" t="str">
        <f t="shared" si="1854"/>
        <v/>
      </c>
      <c r="AI925" s="143">
        <f> ( IF(ISNUMBER(G925), VLOOKUP(G925/$AH925,F!$A1:$B101,2,1)*G925*$H925*$I925,0)+IF(ISNUMBER(K925), VLOOKUP(K925/$AH925,F!$A1:$B101,2,1)*K925*$L925*$M925,0)+IF(ISNUMBER(O925), VLOOKUP(O925/$AH925,F!$A1:$B101,2,1)*O925*$P925*$Q925,0)+IF(ISNUMBER(S925), VLOOKUP(S925/$AH925,F!$A1:$B101,2,1)*S925*$T925*$U925,0)+IF(ISNUMBER(W925), VLOOKUP(W925/$AH925,F!$A1:$B101,2,1)*W925*$X925*$Y925,0)+IF(ISNUMBER(AA925), VLOOKUP(AA925/$AH925,F!$A1:$B101,2,1)*AA925*$AB925*$AC925,0))*IF(ISNUMBER(F925),F925,1)*IF(ISNUMBER(E925),E925,1)</f>
        <v>0</v>
      </c>
      <c r="AJ925" s="140">
        <f t="shared" si="1855"/>
        <v>0</v>
      </c>
      <c r="AK925" s="145">
        <f t="array" ref="AK925">IFERROR(I925*INDEX(F!$P$21:$AB$33, MATCH(G925/$AH925, F!$O$21:$O$33,1), MATCH(E925, F!$P$20:$AB$20,1)), 0 ) +IFERROR( M925*INDEX(F!$P$21:$AB$33, MATCH(K925/$AH925, F!$O$21:$O$33,1), MATCH(E925, F!$P$20:$AB$20,1)),0) +  IFERROR( Q925*INDEX(F!$P$21:$AB$33, MATCH(O925/$AH925, F!$O$21:$O$33,1), MATCH(E925, F!$P$20:$AB$20,1)), 0) + IFERROR( U925*INDEX(F!$P$21:$AB$33, MATCH(S925/$AH925, F!$O$21:$O$33,1), MATCH(E925, F!$P$20:$AB$20,1)),0)  + IFERROR(Y925*INDEX(F!$P$21:$AB$33, MATCH(W925/$AH925, F!$O$21:$O$33,1), MATCH(E925, F!$P$20:$AB$20,1)),0)  + IFERROR( AC925*INDEX(F!$P$21:$AB$33, MATCH(AA925/$AH925, F!$O$21:$O$33,1), MATCH(E925, F!$P$20:$AB$20,1)),)</f>
        <v>0</v>
      </c>
      <c r="AL925" s="59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 ht="15.75" hidden="1" customHeight="1">
      <c r="A926" s="98"/>
      <c r="B926" s="188"/>
      <c r="C926" s="189"/>
      <c r="D926" s="190"/>
      <c r="E926" s="102">
        <f>ROUND(IFERROR(SUMPRODUCT(AJ918:AJ925,E918:E925)/AJ926,0),3)</f>
        <v>0</v>
      </c>
      <c r="F926" s="191"/>
      <c r="G926" s="192"/>
      <c r="H926" s="193"/>
      <c r="I926" s="193"/>
      <c r="J926" s="194"/>
      <c r="K926" s="192"/>
      <c r="L926" s="193"/>
      <c r="M926" s="193"/>
      <c r="N926" s="194"/>
      <c r="O926" s="192"/>
      <c r="P926" s="193"/>
      <c r="Q926" s="193"/>
      <c r="R926" s="194"/>
      <c r="S926" s="192"/>
      <c r="T926" s="193"/>
      <c r="U926" s="193"/>
      <c r="V926" s="194"/>
      <c r="W926" s="192"/>
      <c r="X926" s="193"/>
      <c r="Y926" s="193"/>
      <c r="Z926" s="194"/>
      <c r="AA926" s="192"/>
      <c r="AB926" s="193"/>
      <c r="AC926" s="193"/>
      <c r="AD926" s="194"/>
      <c r="AE926" s="107">
        <f>SUM(AE918:AE925)</f>
        <v>0</v>
      </c>
      <c r="AF926" s="108">
        <f t="shared" si="1814"/>
        <v>0</v>
      </c>
      <c r="AG926" s="109">
        <f>IFERROR(  SUMPRODUCT(AG918:AG925,AJ918:AJ925)/AJ926,0)</f>
        <v>0</v>
      </c>
      <c r="AH926" s="157"/>
      <c r="AI926" s="111">
        <f t="shared" ref="AI926:AJ926" si="1862">SUM(AI918:AI925)</f>
        <v>0</v>
      </c>
      <c r="AJ926" s="111">
        <f t="shared" si="1862"/>
        <v>0</v>
      </c>
      <c r="AK926" s="112">
        <f>IF(SUM(AK918:AK925)=0,TIME(,0,),TIME(,SUM(AK918:AK925)+F!$V$37,))</f>
        <v>0</v>
      </c>
      <c r="AL926" s="98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 ht="15.75" hidden="1" customHeight="1">
      <c r="A927" s="25">
        <f>A928</f>
        <v>43897</v>
      </c>
      <c r="B927" s="26" t="str">
        <f t="shared" ref="B927:F927" si="1863">IF(B871="","",B871)</f>
        <v/>
      </c>
      <c r="C927" s="27" t="str">
        <f t="shared" si="1863"/>
        <v/>
      </c>
      <c r="D927" s="28" t="str">
        <f t="shared" si="1863"/>
        <v/>
      </c>
      <c r="E927" s="29" t="str">
        <f t="shared" si="1863"/>
        <v/>
      </c>
      <c r="F927" s="30" t="str">
        <f t="shared" si="1863"/>
        <v/>
      </c>
      <c r="G927" s="31" t="str">
        <f t="shared" ref="G927:G934" si="1865">IF(J927&lt;&gt;0, IFERROR(IF( $F927=2,  MROUND($AH927*J927,1),    IF( OR($F927="",$F927=1),   MROUND($AH927*J927,2.5),  MROUND($AH927*J927, 0.1))), "" ), "")</f>
        <v/>
      </c>
      <c r="H927" s="32"/>
      <c r="I927" s="32"/>
      <c r="J927" s="33"/>
      <c r="K927" s="31" t="str">
        <f t="shared" ref="K927:K934" si="1866">IF(N927&lt;&gt;0, IFERROR(IF( $F927=2,  MROUND($AH927*N927,1),    IF( OR($F927="",$F927=1),   MROUND($AH927*N927,2.5),  MROUND($AH927*N927, 0.1))), "" ), "")</f>
        <v/>
      </c>
      <c r="L927" s="32"/>
      <c r="M927" s="32"/>
      <c r="N927" s="33"/>
      <c r="O927" s="31" t="str">
        <f t="shared" ref="O927:O934" si="1867">IF(R927&lt;&gt;0, IFERROR(IF( $F927=2,  MROUND($AH927*R927,1),    IF( OR($F927="",$F927=1),   MROUND($AH927*R927,2.5),  MROUND($AH927*R927, 0.1))), "" ), "")</f>
        <v/>
      </c>
      <c r="P927" s="32"/>
      <c r="Q927" s="32"/>
      <c r="R927" s="33"/>
      <c r="S927" s="31" t="str">
        <f t="shared" ref="S927:S934" si="1868">IF(V927&lt;&gt;0, IFERROR(IF( $F927=2,  MROUND($AH927*V927,1),    IF( OR($F927="",$F927=1),   MROUND($AH927*V927,2.5),  MROUND($AH927*V927, 0.1))), "" ), "")</f>
        <v/>
      </c>
      <c r="T927" s="32"/>
      <c r="U927" s="32"/>
      <c r="V927" s="33"/>
      <c r="W927" s="31" t="str">
        <f t="shared" ref="W927:W934" si="1869">IF(Z927&lt;&gt;0, IFERROR(IF( $F927=2,  MROUND($AH927*Z927,1),    IF( OR($F927="",$F927=1),   MROUND($AH927*Z927,2.5),  MROUND($AH927*Z927, 0.1))), "" ), "")</f>
        <v/>
      </c>
      <c r="X927" s="32"/>
      <c r="Y927" s="32"/>
      <c r="Z927" s="33"/>
      <c r="AA927" s="31" t="str">
        <f t="shared" ref="AA927:AA934" si="1870">IF(AD927&lt;&gt;0, IFERROR(IF( $F927=2,  MROUND($AH927*AD927,1),    IF( OR($F927="",$F927=1),   MROUND($AH927*AD927,2.5),  MROUND($AH927*AD927, 0.1))), "" ), "")</f>
        <v/>
      </c>
      <c r="AB927" s="32"/>
      <c r="AC927" s="32"/>
      <c r="AD927" s="33"/>
      <c r="AE927" s="35">
        <f t="shared" ref="AE927:AE934" si="1871">(IF(ISNUMBER(G927),G927,0)*H927*I927+IF(ISNUMBER(K927),K927,1)*L927*M927+IF(ISNUMBER(O927),O927,1)*P927*Q927+IF(ISNUMBER(S927),S927,1)*T927*U927+IF(ISNUMBER(W927),W927,1)*X927*Y927+IF(ISNUMBER(AA927),AA927,1)*AB927*AC927)*IF(ISNUMBER(F927),F927,1)</f>
        <v>0</v>
      </c>
      <c r="AF927" s="36">
        <f t="shared" si="1814"/>
        <v>0</v>
      </c>
      <c r="AG927" s="195">
        <f t="shared" ref="AG927:AG934" si="1872">IFERROR((AF927/(AH927*IF(ISNUMBER(F927),F927,1))),0)</f>
        <v>0</v>
      </c>
      <c r="AH927" s="169" t="str">
        <f t="shared" ref="AH927:AH934" si="1873">IF(ISNUMBER(AH871), AH871+(AH871*$AH$898),"")</f>
        <v/>
      </c>
      <c r="AI927" s="196">
        <f> ( IF(ISNUMBER(G927), VLOOKUP(G927/$AH927,F!$A1:$B101,2,1)*G927*$H927*$I927,0)+IF(ISNUMBER(K927), VLOOKUP(K927/$AH927,F!$A1:$B101,2,1)*K927*$L927*$M927,0)+IF(ISNUMBER(O927), VLOOKUP(O927/$AH927,F!$A1:$B101,2,1)*O927*$P927*$Q927,0)+IF(ISNUMBER(S927), VLOOKUP(S927/$AH927,F!$A1:$B101,2,1)*S927*$T927*$U927,0)+IF(ISNUMBER(W927), VLOOKUP(W927/$AH927,F!$A1:$B101,2,1)*W927*$X927*$Y927,0)+IF(ISNUMBER(AA927), VLOOKUP(AA927/$AH927,F!$A1:$B101,2,1)*AA927*$AB927*$AC927,0))*IF(ISNUMBER(F927),F927,1)*IF(ISNUMBER(E927),E927,1)</f>
        <v>0</v>
      </c>
      <c r="AJ927" s="40">
        <f t="shared" ref="AJ927:AJ934" si="1874">H927*I927+L927*M927+P927*Q927+T927*U927+X927*Y927+AB927*AC927</f>
        <v>0</v>
      </c>
      <c r="AK927" s="41">
        <f t="array" ref="AK927">IFERROR(I927*INDEX(F!$P$21:$AB$33, MATCH(G927/$AH927, F!$O$21:$O$33,1), MATCH(E927, F!$P$20:$AB$20,1)), 0 ) +IFERROR( M927*INDEX(F!$P$21:$AB$33, MATCH(K927/$AH927, F!$O$21:$O$33,1), MATCH(E927, F!$P$20:$AB$20,1)),0) +  IFERROR( Q927*INDEX(F!$P$21:$AB$33, MATCH(O927/$AH927, F!$O$21:$O$33,1), MATCH(E927, F!$P$20:$AB$20,1)), 0) + IFERROR( U927*INDEX(F!$P$21:$AB$33, MATCH(S927/$AH927, F!$O$21:$O$33,1), MATCH(E927, F!$P$20:$AB$20,1)),0)  + IFERROR(Y927*INDEX(F!$P$21:$AB$33, MATCH(W927/$AH927, F!$O$21:$O$33,1), MATCH(E927, F!$P$20:$AB$20,1)),0)  + IFERROR( AC927*INDEX(F!$P$21:$AB$33, MATCH(AA927/$AH927, F!$O$21:$O$33,1), MATCH(E927, F!$P$20:$AB$20,1)),)</f>
        <v>0</v>
      </c>
      <c r="AL927" s="42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 ht="15.75" hidden="1" customHeight="1">
      <c r="A928" s="44">
        <f>A872+A842</f>
        <v>43897</v>
      </c>
      <c r="B928" s="45" t="str">
        <f t="shared" ref="B928:F928" si="1864">IF(B872="","",B872)</f>
        <v/>
      </c>
      <c r="C928" s="46" t="str">
        <f t="shared" si="1864"/>
        <v/>
      </c>
      <c r="D928" s="47" t="str">
        <f t="shared" si="1864"/>
        <v/>
      </c>
      <c r="E928" s="48" t="str">
        <f t="shared" si="1864"/>
        <v/>
      </c>
      <c r="F928" s="49" t="str">
        <f t="shared" si="1864"/>
        <v/>
      </c>
      <c r="G928" s="50" t="str">
        <f t="shared" si="1865"/>
        <v/>
      </c>
      <c r="H928" s="51"/>
      <c r="I928" s="51"/>
      <c r="J928" s="52"/>
      <c r="K928" s="50" t="str">
        <f t="shared" si="1866"/>
        <v/>
      </c>
      <c r="L928" s="51"/>
      <c r="M928" s="51"/>
      <c r="N928" s="52"/>
      <c r="O928" s="50" t="str">
        <f t="shared" si="1867"/>
        <v/>
      </c>
      <c r="P928" s="51"/>
      <c r="Q928" s="51"/>
      <c r="R928" s="52"/>
      <c r="S928" s="50" t="str">
        <f t="shared" si="1868"/>
        <v/>
      </c>
      <c r="T928" s="51"/>
      <c r="U928" s="51"/>
      <c r="V928" s="52"/>
      <c r="W928" s="50" t="str">
        <f t="shared" si="1869"/>
        <v/>
      </c>
      <c r="X928" s="51"/>
      <c r="Y928" s="51"/>
      <c r="Z928" s="52"/>
      <c r="AA928" s="50" t="str">
        <f t="shared" si="1870"/>
        <v/>
      </c>
      <c r="AB928" s="51"/>
      <c r="AC928" s="51"/>
      <c r="AD928" s="52"/>
      <c r="AE928" s="53">
        <f t="shared" si="1871"/>
        <v>0</v>
      </c>
      <c r="AF928" s="54">
        <f t="shared" si="1814"/>
        <v>0</v>
      </c>
      <c r="AG928" s="75">
        <f t="shared" si="1872"/>
        <v>0</v>
      </c>
      <c r="AH928" s="76" t="str">
        <f t="shared" si="1873"/>
        <v/>
      </c>
      <c r="AI928" s="77">
        <f> ( IF(ISNUMBER(G928), VLOOKUP(G928/$AH928,F!$A1:$B101,2,1)*G928*$H928*$I928,0)+IF(ISNUMBER(K928), VLOOKUP(K928/$AH928,F!$A1:$B101,2,1)*K928*$L928*$M928,0)+IF(ISNUMBER(O928), VLOOKUP(O928/$AH928,F!$A1:$B101,2,1)*O928*$P928*$Q928,0)+IF(ISNUMBER(S928), VLOOKUP(S928/$AH928,F!$A1:$B101,2,1)*S928*$T928*$U928,0)+IF(ISNUMBER(W928), VLOOKUP(W928/$AH928,F!$A1:$B101,2,1)*W928*$X928*$Y928,0)+IF(ISNUMBER(AA928), VLOOKUP(AA928/$AH928,F!$A1:$B101,2,1)*AA928*$AB928*$AC928,0))*IF(ISNUMBER(F928),F928,1)*IF(ISNUMBER(E928),E928,1)</f>
        <v>0</v>
      </c>
      <c r="AJ928" s="57">
        <f t="shared" si="1874"/>
        <v>0</v>
      </c>
      <c r="AK928" s="58">
        <f t="array" ref="AK928">IFERROR(I928*INDEX(F!$P$21:$AB$33, MATCH(G928/$AH928, F!$O$21:$O$33,1), MATCH(E928, F!$P$20:$AB$20,1)), 0 ) +IFERROR( M928*INDEX(F!$P$21:$AB$33, MATCH(K928/$AH928, F!$O$21:$O$33,1), MATCH(E928, F!$P$20:$AB$20,1)),0) +  IFERROR( Q928*INDEX(F!$P$21:$AB$33, MATCH(O928/$AH928, F!$O$21:$O$33,1), MATCH(E928, F!$P$20:$AB$20,1)), 0) + IFERROR( U928*INDEX(F!$P$21:$AB$33, MATCH(S928/$AH928, F!$O$21:$O$33,1), MATCH(E928, F!$P$20:$AB$20,1)),0)  + IFERROR(Y928*INDEX(F!$P$21:$AB$33, MATCH(W928/$AH928, F!$O$21:$O$33,1), MATCH(E928, F!$P$20:$AB$20,1)),0)  + IFERROR( AC928*INDEX(F!$P$21:$AB$33, MATCH(AA928/$AH928, F!$O$21:$O$33,1), MATCH(E928, F!$P$20:$AB$20,1)),)</f>
        <v>0</v>
      </c>
      <c r="AL928" s="59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 ht="15.75" hidden="1" customHeight="1">
      <c r="A929" s="59"/>
      <c r="B929" s="60" t="str">
        <f t="shared" ref="B929:F929" si="1875">IF(B873="","",B873)</f>
        <v/>
      </c>
      <c r="C929" s="61" t="str">
        <f t="shared" si="1875"/>
        <v/>
      </c>
      <c r="D929" s="62" t="str">
        <f t="shared" si="1875"/>
        <v/>
      </c>
      <c r="E929" s="48" t="str">
        <f t="shared" si="1875"/>
        <v/>
      </c>
      <c r="F929" s="63" t="str">
        <f t="shared" si="1875"/>
        <v/>
      </c>
      <c r="G929" s="64" t="str">
        <f t="shared" si="1865"/>
        <v/>
      </c>
      <c r="H929" s="34"/>
      <c r="I929" s="34"/>
      <c r="J929" s="65"/>
      <c r="K929" s="64" t="str">
        <f t="shared" si="1866"/>
        <v/>
      </c>
      <c r="L929" s="34"/>
      <c r="M929" s="34"/>
      <c r="N929" s="65"/>
      <c r="O929" s="64" t="str">
        <f t="shared" si="1867"/>
        <v/>
      </c>
      <c r="P929" s="34"/>
      <c r="Q929" s="34"/>
      <c r="R929" s="65"/>
      <c r="S929" s="64" t="str">
        <f t="shared" si="1868"/>
        <v/>
      </c>
      <c r="T929" s="34"/>
      <c r="U929" s="34"/>
      <c r="V929" s="65"/>
      <c r="W929" s="64" t="str">
        <f t="shared" si="1869"/>
        <v/>
      </c>
      <c r="X929" s="34"/>
      <c r="Y929" s="34"/>
      <c r="Z929" s="65"/>
      <c r="AA929" s="64" t="str">
        <f t="shared" si="1870"/>
        <v/>
      </c>
      <c r="AB929" s="34"/>
      <c r="AC929" s="34"/>
      <c r="AD929" s="65"/>
      <c r="AE929" s="66">
        <f t="shared" si="1871"/>
        <v>0</v>
      </c>
      <c r="AF929" s="67">
        <f t="shared" si="1814"/>
        <v>0</v>
      </c>
      <c r="AG929" s="68">
        <f t="shared" si="1872"/>
        <v>0</v>
      </c>
      <c r="AH929" s="76" t="str">
        <f t="shared" si="1873"/>
        <v/>
      </c>
      <c r="AI929" s="70">
        <f> ( IF(ISNUMBER(G929), VLOOKUP(G929/$AH929,F!$A1:$B101,2,1)*G929*$H929*$I929,0)+IF(ISNUMBER(K929), VLOOKUP(K929/$AH929,F!$A1:$B101,2,1)*K929*$L929*$M929,0)+IF(ISNUMBER(O929), VLOOKUP(O929/$AH929,F!$A1:$B101,2,1)*O929*$P929*$Q929,0)+IF(ISNUMBER(S929), VLOOKUP(S929/$AH929,F!$A1:$B101,2,1)*S929*$T929*$U929,0)+IF(ISNUMBER(W929), VLOOKUP(W929/$AH929,F!$A1:$B101,2,1)*W929*$X929*$Y929,0)+IF(ISNUMBER(AA929), VLOOKUP(AA929/$AH929,F!$A1:$B101,2,1)*AA929*$AB929*$AC929,0))*IF(ISNUMBER(F929),F929,1)*IF(ISNUMBER(E929),E929,1)</f>
        <v>0</v>
      </c>
      <c r="AJ929" s="71">
        <f t="shared" si="1874"/>
        <v>0</v>
      </c>
      <c r="AK929" s="72">
        <f t="array" ref="AK929">IFERROR(I929*INDEX(F!$P$21:$AB$33, MATCH(G929/$AH929, F!$O$21:$O$33,1), MATCH(E929, F!$P$20:$AB$20,1)), 0 ) +IFERROR( M929*INDEX(F!$P$21:$AB$33, MATCH(K929/$AH929, F!$O$21:$O$33,1), MATCH(E929, F!$P$20:$AB$20,1)),0) +  IFERROR( Q929*INDEX(F!$P$21:$AB$33, MATCH(O929/$AH929, F!$O$21:$O$33,1), MATCH(E929, F!$P$20:$AB$20,1)), 0) + IFERROR( U929*INDEX(F!$P$21:$AB$33, MATCH(S929/$AH929, F!$O$21:$O$33,1), MATCH(E929, F!$P$20:$AB$20,1)),0)  + IFERROR(Y929*INDEX(F!$P$21:$AB$33, MATCH(W929/$AH929, F!$O$21:$O$33,1), MATCH(E929, F!$P$20:$AB$20,1)),0)  + IFERROR( AC929*INDEX(F!$P$21:$AB$33, MATCH(AA929/$AH929, F!$O$21:$O$33,1), MATCH(E929, F!$P$20:$AB$20,1)),)</f>
        <v>0</v>
      </c>
      <c r="AL929" s="59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 ht="15.75" hidden="1" customHeight="1">
      <c r="A930" s="59"/>
      <c r="B930" s="215" t="str">
        <f t="shared" ref="B930:F930" si="1876">IF(B874="","",B874)</f>
        <v/>
      </c>
      <c r="C930" s="73" t="str">
        <f t="shared" si="1876"/>
        <v/>
      </c>
      <c r="D930" s="47" t="str">
        <f t="shared" si="1876"/>
        <v/>
      </c>
      <c r="E930" s="48" t="str">
        <f t="shared" si="1876"/>
        <v/>
      </c>
      <c r="F930" s="74" t="str">
        <f t="shared" si="1876"/>
        <v/>
      </c>
      <c r="G930" s="50" t="str">
        <f t="shared" si="1865"/>
        <v/>
      </c>
      <c r="H930" s="51"/>
      <c r="I930" s="51"/>
      <c r="J930" s="52"/>
      <c r="K930" s="50" t="str">
        <f t="shared" si="1866"/>
        <v/>
      </c>
      <c r="L930" s="51"/>
      <c r="M930" s="51"/>
      <c r="N930" s="52"/>
      <c r="O930" s="50" t="str">
        <f t="shared" si="1867"/>
        <v/>
      </c>
      <c r="P930" s="51"/>
      <c r="Q930" s="51"/>
      <c r="R930" s="52"/>
      <c r="S930" s="50" t="str">
        <f t="shared" si="1868"/>
        <v/>
      </c>
      <c r="T930" s="51"/>
      <c r="U930" s="51"/>
      <c r="V930" s="52"/>
      <c r="W930" s="50" t="str">
        <f t="shared" si="1869"/>
        <v/>
      </c>
      <c r="X930" s="51"/>
      <c r="Y930" s="51"/>
      <c r="Z930" s="52"/>
      <c r="AA930" s="50" t="str">
        <f t="shared" si="1870"/>
        <v/>
      </c>
      <c r="AB930" s="51"/>
      <c r="AC930" s="51"/>
      <c r="AD930" s="52"/>
      <c r="AE930" s="53">
        <f t="shared" si="1871"/>
        <v>0</v>
      </c>
      <c r="AF930" s="54">
        <f t="shared" si="1814"/>
        <v>0</v>
      </c>
      <c r="AG930" s="75">
        <f t="shared" si="1872"/>
        <v>0</v>
      </c>
      <c r="AH930" s="76" t="str">
        <f t="shared" si="1873"/>
        <v/>
      </c>
      <c r="AI930" s="77">
        <f> ( IF(ISNUMBER(G930), VLOOKUP(G930/$AH930,F!$A1:$B101,2,1)*G930*$H930*$I930,0)+IF(ISNUMBER(K930), VLOOKUP(K930/$AH930,F!$A1:$B101,2,1)*K930*$L930*$M930,0)+IF(ISNUMBER(O930), VLOOKUP(O930/$AH930,F!$A1:$B101,2,1)*O930*$P930*$Q930,0)+IF(ISNUMBER(S930), VLOOKUP(S930/$AH930,F!$A1:$B101,2,1)*S930*$T930*$U930,0)+IF(ISNUMBER(W930), VLOOKUP(W930/$AH930,F!$A1:$B101,2,1)*W930*$X930*$Y930,0)+IF(ISNUMBER(AA930), VLOOKUP(AA930/$AH930,F!$A1:$B101,2,1)*AA930*$AB930*$AC930,0))*IF(ISNUMBER(F930),F930,1)*IF(ISNUMBER(E930),E930,1)</f>
        <v>0</v>
      </c>
      <c r="AJ930" s="57">
        <f t="shared" si="1874"/>
        <v>0</v>
      </c>
      <c r="AK930" s="58">
        <f t="array" ref="AK930">IFERROR(I930*INDEX(F!$P$21:$AB$33, MATCH(G930/$AH930, F!$O$21:$O$33,1), MATCH(E930, F!$P$20:$AB$20,1)), 0 ) +IFERROR( M930*INDEX(F!$P$21:$AB$33, MATCH(K930/$AH930, F!$O$21:$O$33,1), MATCH(E930, F!$P$20:$AB$20,1)),0) +  IFERROR( Q930*INDEX(F!$P$21:$AB$33, MATCH(O930/$AH930, F!$O$21:$O$33,1), MATCH(E930, F!$P$20:$AB$20,1)), 0) + IFERROR( U930*INDEX(F!$P$21:$AB$33, MATCH(S930/$AH930, F!$O$21:$O$33,1), MATCH(E930, F!$P$20:$AB$20,1)),0)  + IFERROR(Y930*INDEX(F!$P$21:$AB$33, MATCH(W930/$AH930, F!$O$21:$O$33,1), MATCH(E930, F!$P$20:$AB$20,1)),0)  + IFERROR( AC930*INDEX(F!$P$21:$AB$33, MATCH(AA930/$AH930, F!$O$21:$O$33,1), MATCH(E930, F!$P$20:$AB$20,1)),)</f>
        <v>0</v>
      </c>
      <c r="AL930" s="59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 ht="15.75" hidden="1" customHeight="1">
      <c r="A931" s="59"/>
      <c r="B931" s="216" t="str">
        <f t="shared" ref="B931:F931" si="1877">IF(B875="","",B875)</f>
        <v/>
      </c>
      <c r="C931" s="78" t="str">
        <f t="shared" si="1877"/>
        <v/>
      </c>
      <c r="D931" s="62" t="str">
        <f t="shared" si="1877"/>
        <v/>
      </c>
      <c r="E931" s="48" t="str">
        <f t="shared" si="1877"/>
        <v/>
      </c>
      <c r="F931" s="79" t="str">
        <f t="shared" si="1877"/>
        <v/>
      </c>
      <c r="G931" s="64" t="str">
        <f t="shared" si="1865"/>
        <v/>
      </c>
      <c r="H931" s="34"/>
      <c r="I931" s="34"/>
      <c r="J931" s="65"/>
      <c r="K931" s="64" t="str">
        <f t="shared" si="1866"/>
        <v/>
      </c>
      <c r="L931" s="34"/>
      <c r="M931" s="34"/>
      <c r="N931" s="65"/>
      <c r="O931" s="64" t="str">
        <f t="shared" si="1867"/>
        <v/>
      </c>
      <c r="P931" s="34"/>
      <c r="Q931" s="34"/>
      <c r="R931" s="65"/>
      <c r="S931" s="64" t="str">
        <f t="shared" si="1868"/>
        <v/>
      </c>
      <c r="T931" s="34"/>
      <c r="U931" s="34"/>
      <c r="V931" s="65"/>
      <c r="W931" s="64" t="str">
        <f t="shared" si="1869"/>
        <v/>
      </c>
      <c r="X931" s="34"/>
      <c r="Y931" s="34"/>
      <c r="Z931" s="65"/>
      <c r="AA931" s="64" t="str">
        <f t="shared" si="1870"/>
        <v/>
      </c>
      <c r="AB931" s="34"/>
      <c r="AC931" s="34"/>
      <c r="AD931" s="65"/>
      <c r="AE931" s="66">
        <f t="shared" si="1871"/>
        <v>0</v>
      </c>
      <c r="AF931" s="67">
        <f t="shared" si="1814"/>
        <v>0</v>
      </c>
      <c r="AG931" s="68">
        <f t="shared" si="1872"/>
        <v>0</v>
      </c>
      <c r="AH931" s="76" t="str">
        <f t="shared" si="1873"/>
        <v/>
      </c>
      <c r="AI931" s="70">
        <f> ( IF(ISNUMBER(G931), VLOOKUP(G931/$AH931,F!$A1:$B101,2,1)*G931*$H931*$I931,0)+IF(ISNUMBER(K931), VLOOKUP(K931/$AH931,F!$A1:$B101,2,1)*K931*$L931*$M931,0)+IF(ISNUMBER(O931), VLOOKUP(O931/$AH931,F!$A1:$B101,2,1)*O931*$P931*$Q931,0)+IF(ISNUMBER(S931), VLOOKUP(S931/$AH931,F!$A1:$B101,2,1)*S931*$T931*$U931,0)+IF(ISNUMBER(W931), VLOOKUP(W931/$AH931,F!$A1:$B101,2,1)*W931*$X931*$Y931,0)+IF(ISNUMBER(AA931), VLOOKUP(AA931/$AH931,F!$A1:$B101,2,1)*AA931*$AB931*$AC931,0))*IF(ISNUMBER(F931),F931,1)*IF(ISNUMBER(E931),E931,1)</f>
        <v>0</v>
      </c>
      <c r="AJ931" s="71">
        <f t="shared" si="1874"/>
        <v>0</v>
      </c>
      <c r="AK931" s="72">
        <f t="array" ref="AK931">IFERROR(I931*INDEX(F!$P$21:$AB$33, MATCH(G931/$AH931, F!$O$21:$O$33,1), MATCH(E931, F!$P$20:$AB$20,1)), 0 ) +IFERROR( M931*INDEX(F!$P$21:$AB$33, MATCH(K931/$AH931, F!$O$21:$O$33,1), MATCH(E931, F!$P$20:$AB$20,1)),0) +  IFERROR( Q931*INDEX(F!$P$21:$AB$33, MATCH(O931/$AH931, F!$O$21:$O$33,1), MATCH(E931, F!$P$20:$AB$20,1)), 0) + IFERROR( U931*INDEX(F!$P$21:$AB$33, MATCH(S931/$AH931, F!$O$21:$O$33,1), MATCH(E931, F!$P$20:$AB$20,1)),0)  + IFERROR(Y931*INDEX(F!$P$21:$AB$33, MATCH(W931/$AH931, F!$O$21:$O$33,1), MATCH(E931, F!$P$20:$AB$20,1)),0)  + IFERROR( AC931*INDEX(F!$P$21:$AB$33, MATCH(AA931/$AH931, F!$O$21:$O$33,1), MATCH(E931, F!$P$20:$AB$20,1)),)</f>
        <v>0</v>
      </c>
      <c r="AL931" s="59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 ht="15.75" hidden="1" customHeight="1">
      <c r="A932" s="59"/>
      <c r="B932" s="45" t="str">
        <f t="shared" ref="B932:F932" si="1878">IF(B876="","",B876)</f>
        <v/>
      </c>
      <c r="C932" s="46" t="str">
        <f t="shared" si="1878"/>
        <v/>
      </c>
      <c r="D932" s="197" t="str">
        <f t="shared" si="1878"/>
        <v/>
      </c>
      <c r="E932" s="48" t="str">
        <f t="shared" si="1878"/>
        <v/>
      </c>
      <c r="F932" s="83" t="str">
        <f t="shared" si="1878"/>
        <v/>
      </c>
      <c r="G932" s="50" t="str">
        <f t="shared" si="1865"/>
        <v/>
      </c>
      <c r="H932" s="51"/>
      <c r="I932" s="51"/>
      <c r="J932" s="52"/>
      <c r="K932" s="50" t="str">
        <f t="shared" si="1866"/>
        <v/>
      </c>
      <c r="L932" s="51"/>
      <c r="M932" s="51"/>
      <c r="N932" s="52"/>
      <c r="O932" s="50" t="str">
        <f t="shared" si="1867"/>
        <v/>
      </c>
      <c r="P932" s="51"/>
      <c r="Q932" s="51"/>
      <c r="R932" s="52"/>
      <c r="S932" s="50" t="str">
        <f t="shared" si="1868"/>
        <v/>
      </c>
      <c r="T932" s="51"/>
      <c r="U932" s="51"/>
      <c r="V932" s="52"/>
      <c r="W932" s="50" t="str">
        <f t="shared" si="1869"/>
        <v/>
      </c>
      <c r="X932" s="51"/>
      <c r="Y932" s="51"/>
      <c r="Z932" s="52"/>
      <c r="AA932" s="50" t="str">
        <f t="shared" si="1870"/>
        <v/>
      </c>
      <c r="AB932" s="51"/>
      <c r="AC932" s="51"/>
      <c r="AD932" s="52"/>
      <c r="AE932" s="53">
        <f t="shared" si="1871"/>
        <v>0</v>
      </c>
      <c r="AF932" s="54">
        <f t="shared" si="1814"/>
        <v>0</v>
      </c>
      <c r="AG932" s="75">
        <f t="shared" si="1872"/>
        <v>0</v>
      </c>
      <c r="AH932" s="76" t="str">
        <f t="shared" si="1873"/>
        <v/>
      </c>
      <c r="AI932" s="77">
        <f> ( IF(ISNUMBER(G932), VLOOKUP(G932/$AH932,F!$A1:$B101,2,1)*G932*$H932*$I932,0)+IF(ISNUMBER(K932), VLOOKUP(K932/$AH932,F!$A1:$B101,2,1)*K932*$L932*$M932,0)+IF(ISNUMBER(O932), VLOOKUP(O932/$AH932,F!$A1:$B101,2,1)*O932*$P932*$Q932,0)+IF(ISNUMBER(S932), VLOOKUP(S932/$AH932,F!$A1:$B101,2,1)*S932*$T932*$U932,0)+IF(ISNUMBER(W932), VLOOKUP(W932/$AH932,F!$A1:$B101,2,1)*W932*$X932*$Y932,0)+IF(ISNUMBER(AA932), VLOOKUP(AA932/$AH932,F!$A1:$B101,2,1)*AA932*$AB932*$AC932,0))*IF(ISNUMBER(F932),F932,1)*IF(ISNUMBER(E932),E932,1)</f>
        <v>0</v>
      </c>
      <c r="AJ932" s="86">
        <f t="shared" si="1874"/>
        <v>0</v>
      </c>
      <c r="AK932" s="58">
        <f t="array" ref="AK932">IFERROR(I932*INDEX(F!$P$21:$AB$33, MATCH(G932/$AH932, F!$O$21:$O$33,1), MATCH(E932, F!$P$20:$AB$20,1)), 0 ) +IFERROR( M932*INDEX(F!$P$21:$AB$33, MATCH(K932/$AH932, F!$O$21:$O$33,1), MATCH(E932, F!$P$20:$AB$20,1)),0) +  IFERROR( Q932*INDEX(F!$P$21:$AB$33, MATCH(O932/$AH932, F!$O$21:$O$33,1), MATCH(E932, F!$P$20:$AB$20,1)), 0) + IFERROR( U932*INDEX(F!$P$21:$AB$33, MATCH(S932/$AH932, F!$O$21:$O$33,1), MATCH(E932, F!$P$20:$AB$20,1)),0)  + IFERROR(Y932*INDEX(F!$P$21:$AB$33, MATCH(W932/$AH932, F!$O$21:$O$33,1), MATCH(E932, F!$P$20:$AB$20,1)),0)  + IFERROR( AC932*INDEX(F!$P$21:$AB$33, MATCH(AA932/$AH932, F!$O$21:$O$33,1), MATCH(E932, F!$P$20:$AB$20,1)),)</f>
        <v>0</v>
      </c>
      <c r="AL932" s="59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 ht="15.75" hidden="1" customHeight="1">
      <c r="A933" s="59"/>
      <c r="B933" s="60" t="str">
        <f t="shared" ref="B933:F933" si="1879">IF(B877="","",B877)</f>
        <v/>
      </c>
      <c r="C933" s="61" t="str">
        <f t="shared" si="1879"/>
        <v/>
      </c>
      <c r="D933" s="198" t="str">
        <f t="shared" si="1879"/>
        <v/>
      </c>
      <c r="E933" s="48" t="str">
        <f t="shared" si="1879"/>
        <v/>
      </c>
      <c r="F933" s="79" t="str">
        <f t="shared" si="1879"/>
        <v/>
      </c>
      <c r="G933" s="64" t="str">
        <f t="shared" si="1865"/>
        <v/>
      </c>
      <c r="H933" s="34"/>
      <c r="I933" s="34"/>
      <c r="J933" s="65"/>
      <c r="K933" s="64" t="str">
        <f t="shared" si="1866"/>
        <v/>
      </c>
      <c r="L933" s="34"/>
      <c r="M933" s="34"/>
      <c r="N933" s="65"/>
      <c r="O933" s="64" t="str">
        <f t="shared" si="1867"/>
        <v/>
      </c>
      <c r="P933" s="34"/>
      <c r="Q933" s="34"/>
      <c r="R933" s="65"/>
      <c r="S933" s="64" t="str">
        <f t="shared" si="1868"/>
        <v/>
      </c>
      <c r="T933" s="34"/>
      <c r="U933" s="34"/>
      <c r="V933" s="65"/>
      <c r="W933" s="64" t="str">
        <f t="shared" si="1869"/>
        <v/>
      </c>
      <c r="X933" s="34"/>
      <c r="Y933" s="34"/>
      <c r="Z933" s="65"/>
      <c r="AA933" s="64" t="str">
        <f t="shared" si="1870"/>
        <v/>
      </c>
      <c r="AB933" s="34"/>
      <c r="AC933" s="34"/>
      <c r="AD933" s="65"/>
      <c r="AE933" s="66">
        <f t="shared" si="1871"/>
        <v>0</v>
      </c>
      <c r="AF933" s="67">
        <f t="shared" si="1814"/>
        <v>0</v>
      </c>
      <c r="AG933" s="68">
        <f t="shared" si="1872"/>
        <v>0</v>
      </c>
      <c r="AH933" s="76" t="str">
        <f t="shared" si="1873"/>
        <v/>
      </c>
      <c r="AI933" s="90">
        <f> ( IF(ISNUMBER(G933), VLOOKUP(G933/$AH933,F!$A1:$B101,2,1)*G933*$H933*$I933,0)+IF(ISNUMBER(K933), VLOOKUP(K933/$AH933,F!$A1:$B101,2,1)*K933*$L933*$M933,0)+IF(ISNUMBER(O933), VLOOKUP(O933/$AH933,F!$A1:$B101,2,1)*O933*$P933*$Q933,0)+IF(ISNUMBER(S933), VLOOKUP(S933/$AH933,F!$A1:$B101,2,1)*S933*$T933*$U933,0)+IF(ISNUMBER(W933), VLOOKUP(W933/$AH933,F!$A1:$B101,2,1)*W933*$X933*$Y933,0)+IF(ISNUMBER(AA933), VLOOKUP(AA933/$AH933,F!$A1:$B101,2,1)*AA933*$AB933*$AC933,0))*IF(ISNUMBER(F933),F933,1)*IF(ISNUMBER(E933),E933,1)</f>
        <v>0</v>
      </c>
      <c r="AJ933" s="34">
        <f t="shared" si="1874"/>
        <v>0</v>
      </c>
      <c r="AK933" s="91">
        <f t="array" ref="AK933">IFERROR(I933*INDEX(F!$P$21:$AB$33, MATCH(G933/$AH933, F!$O$21:$O$33,1), MATCH(E933, F!$P$20:$AB$20,1)), 0 ) +IFERROR( M933*INDEX(F!$P$21:$AB$33, MATCH(K933/$AH933, F!$O$21:$O$33,1), MATCH(E933, F!$P$20:$AB$20,1)),0) +  IFERROR( Q933*INDEX(F!$P$21:$AB$33, MATCH(O933/$AH933, F!$O$21:$O$33,1), MATCH(E933, F!$P$20:$AB$20,1)), 0) + IFERROR( U933*INDEX(F!$P$21:$AB$33, MATCH(S933/$AH933, F!$O$21:$O$33,1), MATCH(E933, F!$P$20:$AB$20,1)),0)  + IFERROR(Y933*INDEX(F!$P$21:$AB$33, MATCH(W933/$AH933, F!$O$21:$O$33,1), MATCH(E933, F!$P$20:$AB$20,1)),0)  + IFERROR( AC933*INDEX(F!$P$21:$AB$33, MATCH(AA933/$AH933, F!$O$21:$O$33,1), MATCH(E933, F!$P$20:$AB$20,1)),)</f>
        <v>0</v>
      </c>
      <c r="AL933" s="59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 ht="15.75" hidden="1" customHeight="1">
      <c r="A934" s="59"/>
      <c r="B934" s="45" t="str">
        <f t="shared" ref="B934:F934" si="1880">IF(B878="","",B878)</f>
        <v/>
      </c>
      <c r="C934" s="46" t="str">
        <f t="shared" si="1880"/>
        <v/>
      </c>
      <c r="D934" s="92" t="str">
        <f t="shared" si="1880"/>
        <v/>
      </c>
      <c r="E934" s="48" t="str">
        <f t="shared" si="1880"/>
        <v/>
      </c>
      <c r="F934" s="74" t="str">
        <f t="shared" si="1880"/>
        <v/>
      </c>
      <c r="G934" s="50" t="str">
        <f t="shared" si="1865"/>
        <v/>
      </c>
      <c r="H934" s="51"/>
      <c r="I934" s="51"/>
      <c r="J934" s="52"/>
      <c r="K934" s="50" t="str">
        <f t="shared" si="1866"/>
        <v/>
      </c>
      <c r="L934" s="51"/>
      <c r="M934" s="51"/>
      <c r="N934" s="52"/>
      <c r="O934" s="50" t="str">
        <f t="shared" si="1867"/>
        <v/>
      </c>
      <c r="P934" s="51"/>
      <c r="Q934" s="51"/>
      <c r="R934" s="52"/>
      <c r="S934" s="50" t="str">
        <f t="shared" si="1868"/>
        <v/>
      </c>
      <c r="T934" s="51"/>
      <c r="U934" s="51"/>
      <c r="V934" s="52"/>
      <c r="W934" s="50" t="str">
        <f t="shared" si="1869"/>
        <v/>
      </c>
      <c r="X934" s="51"/>
      <c r="Y934" s="51"/>
      <c r="Z934" s="52"/>
      <c r="AA934" s="50" t="str">
        <f t="shared" si="1870"/>
        <v/>
      </c>
      <c r="AB934" s="51"/>
      <c r="AC934" s="51"/>
      <c r="AD934" s="52"/>
      <c r="AE934" s="53">
        <f t="shared" si="1871"/>
        <v>0</v>
      </c>
      <c r="AF934" s="93">
        <f t="shared" si="1814"/>
        <v>0</v>
      </c>
      <c r="AG934" s="94">
        <f t="shared" si="1872"/>
        <v>0</v>
      </c>
      <c r="AH934" s="76" t="str">
        <f t="shared" si="1873"/>
        <v/>
      </c>
      <c r="AI934" s="95">
        <f> ( IF(ISNUMBER(G934), VLOOKUP(G934/$AH934,F!$A1:$B101,2,1)*G934*$H934*$I934,0)+IF(ISNUMBER(K934), VLOOKUP(K934/$AH934,F!$A1:$B101,2,1)*K934*$L934*$M934,0)+IF(ISNUMBER(O934), VLOOKUP(O934/$AH934,F!$A1:$B101,2,1)*O934*$P934*$Q934,0)+IF(ISNUMBER(S934), VLOOKUP(S934/$AH934,F!$A1:$B101,2,1)*S934*$T934*$U934,0)+IF(ISNUMBER(W934), VLOOKUP(W934/$AH934,F!$A1:$B101,2,1)*W934*$X934*$Y934,0)+IF(ISNUMBER(AA934), VLOOKUP(AA934/$AH934,F!$A1:$B101,2,1)*AA934*$AB934*$AC934,0))*IF(ISNUMBER(F934),F934,1)*IF(ISNUMBER(E934),E934,1)</f>
        <v>0</v>
      </c>
      <c r="AJ934" s="96">
        <f t="shared" si="1874"/>
        <v>0</v>
      </c>
      <c r="AK934" s="97">
        <f t="array" ref="AK934">IFERROR(I934*INDEX(F!$P$21:$AB$33, MATCH(G934/$AH934, F!$O$21:$O$33,1), MATCH(E934, F!$P$20:$AB$20,1)), 0 ) +IFERROR( M934*INDEX(F!$P$21:$AB$33, MATCH(K934/$AH934, F!$O$21:$O$33,1), MATCH(E934, F!$P$20:$AB$20,1)),0) +  IFERROR( Q934*INDEX(F!$P$21:$AB$33, MATCH(O934/$AH934, F!$O$21:$O$33,1), MATCH(E934, F!$P$20:$AB$20,1)), 0) + IFERROR( U934*INDEX(F!$P$21:$AB$33, MATCH(S934/$AH934, F!$O$21:$O$33,1), MATCH(E934, F!$P$20:$AB$20,1)),0)  + IFERROR(Y934*INDEX(F!$P$21:$AB$33, MATCH(W934/$AH934, F!$O$21:$O$33,1), MATCH(E934, F!$P$20:$AB$20,1)),0)  + IFERROR( AC934*INDEX(F!$P$21:$AB$33, MATCH(AA934/$AH934, F!$O$21:$O$33,1), MATCH(E934, F!$P$20:$AB$20,1)),)</f>
        <v>0</v>
      </c>
      <c r="AL934" s="59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 ht="15.75" hidden="1" customHeight="1">
      <c r="A935" s="98"/>
      <c r="B935" s="99"/>
      <c r="C935" s="100"/>
      <c r="D935" s="101"/>
      <c r="E935" s="102">
        <f>ROUND(IFERROR(SUMPRODUCT(AJ927:AJ934,E927:E934)/AJ935,0),3)</f>
        <v>0</v>
      </c>
      <c r="F935" s="199"/>
      <c r="G935" s="104"/>
      <c r="H935" s="105"/>
      <c r="I935" s="105"/>
      <c r="J935" s="106"/>
      <c r="K935" s="104"/>
      <c r="L935" s="105"/>
      <c r="M935" s="105"/>
      <c r="N935" s="106"/>
      <c r="O935" s="104"/>
      <c r="P935" s="105"/>
      <c r="Q935" s="105"/>
      <c r="R935" s="106"/>
      <c r="S935" s="104"/>
      <c r="T935" s="105"/>
      <c r="U935" s="105"/>
      <c r="V935" s="106"/>
      <c r="W935" s="104"/>
      <c r="X935" s="105"/>
      <c r="Y935" s="105"/>
      <c r="Z935" s="106"/>
      <c r="AA935" s="104"/>
      <c r="AB935" s="105"/>
      <c r="AC935" s="105"/>
      <c r="AD935" s="106"/>
      <c r="AE935" s="107">
        <f>SUM(AE927:AE934)</f>
        <v>0</v>
      </c>
      <c r="AF935" s="108">
        <f t="shared" si="1814"/>
        <v>0</v>
      </c>
      <c r="AG935" s="109">
        <f>IFERROR(  SUMPRODUCT(AG927:AG934,AJ927:AJ934)/AJ935,0)</f>
        <v>0</v>
      </c>
      <c r="AH935" s="157"/>
      <c r="AI935" s="111">
        <f t="shared" ref="AI935:AJ935" si="1881">SUM(AI927:AI934)</f>
        <v>0</v>
      </c>
      <c r="AJ935" s="111">
        <f t="shared" si="1881"/>
        <v>0</v>
      </c>
      <c r="AK935" s="112">
        <f>IF(SUM(AK927:AK934)=0,TIME(,0,),TIME(,SUM(AK927:AK934)+F!$V$37,))</f>
        <v>0</v>
      </c>
      <c r="AL935" s="98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 ht="15.75" hidden="1" customHeight="1">
      <c r="A936" s="113">
        <f>A937</f>
        <v>43898</v>
      </c>
      <c r="B936" s="114" t="str">
        <f t="shared" ref="B936:F936" si="1882">IF(B880="","",B880)</f>
        <v/>
      </c>
      <c r="C936" s="115" t="str">
        <f t="shared" si="1882"/>
        <v/>
      </c>
      <c r="D936" s="116" t="str">
        <f t="shared" si="1882"/>
        <v/>
      </c>
      <c r="E936" s="29" t="str">
        <f t="shared" si="1882"/>
        <v/>
      </c>
      <c r="F936" s="117" t="str">
        <f t="shared" si="1882"/>
        <v/>
      </c>
      <c r="G936" s="118" t="str">
        <f t="shared" ref="G936:G943" si="1884">IF(J936&lt;&gt;0, IFERROR(IF( $F936=2,  MROUND($AH936*J936,1),    IF( OR($F936="",$F936=1),   MROUND($AH936*J936,2.5),  MROUND($AH936*J936, 0.1))), "" ), "")</f>
        <v/>
      </c>
      <c r="H936" s="119"/>
      <c r="I936" s="119"/>
      <c r="J936" s="120"/>
      <c r="K936" s="118" t="str">
        <f t="shared" ref="K936:K943" si="1885">IF(N936&lt;&gt;0, IFERROR(IF( $F936=2,  MROUND($AH936*N936,1),    IF( OR($F936="",$F936=1),   MROUND($AH936*N936,2.5),  MROUND($AH936*N936, 0.1))), "" ), "")</f>
        <v/>
      </c>
      <c r="L936" s="119"/>
      <c r="M936" s="119"/>
      <c r="N936" s="120"/>
      <c r="O936" s="118" t="str">
        <f t="shared" ref="O936:O943" si="1886">IF(R936&lt;&gt;0, IFERROR(IF( $F936=2,  MROUND($AH936*R936,1),    IF( OR($F936="",$F936=1),   MROUND($AH936*R936,2.5),  MROUND($AH936*R936, 0.1))), "" ), "")</f>
        <v/>
      </c>
      <c r="P936" s="119"/>
      <c r="Q936" s="119"/>
      <c r="R936" s="120"/>
      <c r="S936" s="118" t="str">
        <f t="shared" ref="S936:S943" si="1887">IF(V936&lt;&gt;0, IFERROR(IF( $F936=2,  MROUND($AH936*V936,1),    IF( OR($F936="",$F936=1),   MROUND($AH936*V936,2.5),  MROUND($AH936*V936, 0.1))), "" ), "")</f>
        <v/>
      </c>
      <c r="T936" s="119"/>
      <c r="U936" s="119"/>
      <c r="V936" s="120"/>
      <c r="W936" s="118" t="str">
        <f t="shared" ref="W936:W943" si="1888">IF(Z936&lt;&gt;0, IFERROR(IF( $F936=2,  MROUND($AH936*Z936,1),    IF( OR($F936="",$F936=1),   MROUND($AH936*Z936,2.5),  MROUND($AH936*Z936, 0.1))), "" ), "")</f>
        <v/>
      </c>
      <c r="X936" s="119"/>
      <c r="Y936" s="119"/>
      <c r="Z936" s="120"/>
      <c r="AA936" s="118" t="str">
        <f t="shared" ref="AA936:AA943" si="1889">IF(AD936&lt;&gt;0, IFERROR(IF( $F936=2,  MROUND($AH936*AD936,1),    IF( OR($F936="",$F936=1),   MROUND($AH936*AD936,2.5),  MROUND($AH936*AD936, 0.1))), "" ), "")</f>
        <v/>
      </c>
      <c r="AB936" s="119"/>
      <c r="AC936" s="119"/>
      <c r="AD936" s="120"/>
      <c r="AE936" s="121">
        <f t="shared" ref="AE936:AE943" si="1890">(IF(ISNUMBER(G936),G936,0)*H936*I936+IF(ISNUMBER(K936),K936,1)*L936*M936+IF(ISNUMBER(O936),O936,1)*P936*Q936+IF(ISNUMBER(S936),S936,1)*T936*U936+IF(ISNUMBER(W936),W936,1)*X936*Y936+IF(ISNUMBER(AA936),AA936,1)*AB936*AC936)*IF(ISNUMBER(F936),F936,1)</f>
        <v>0</v>
      </c>
      <c r="AF936" s="122">
        <f t="shared" si="1814"/>
        <v>0</v>
      </c>
      <c r="AG936" s="200">
        <f t="shared" ref="AG936:AG943" si="1891">IFERROR((AF936/(AH936*IF(ISNUMBER(F936),F936,1))),0)</f>
        <v>0</v>
      </c>
      <c r="AH936" s="169" t="str">
        <f t="shared" ref="AH936:AH943" si="1892">IF(ISNUMBER(AH880), AH880+(AH880*$AH$898),"")</f>
        <v/>
      </c>
      <c r="AI936" s="122">
        <f> ( IF(ISNUMBER(G936), VLOOKUP(G936/$AH936,F!$A1:$B101,2,1)*G936*$H936*$I936,0)+IF(ISNUMBER(K936), VLOOKUP(K936/$AH936,F!$A1:$B101,2,1)*K936*$L936*$M936,0)+IF(ISNUMBER(O936), VLOOKUP(O936/$AH936,F!$A1:$B101,2,1)*O936*$P936*$Q936,0)+IF(ISNUMBER(S936), VLOOKUP(S936/$AH936,F!$A1:$B101,2,1)*S936*$T936*$U936,0)+IF(ISNUMBER(W936), VLOOKUP(W936/$AH936,F!$A1:$B101,2,1)*W936*$X936*$Y936,0)+IF(ISNUMBER(AA936), VLOOKUP(AA936/$AH936,F!$A1:$B101,2,1)*AA936*$AB936*$AC936,0))*IF(ISNUMBER(F936),F936,1)*IF(ISNUMBER(E936),E936,1)</f>
        <v>0</v>
      </c>
      <c r="AJ936" s="119">
        <f t="shared" ref="AJ936:AJ943" si="1893">H936*I936+L936*M936+P936*Q936+T936*U936+X936*Y936+AB936*AC936</f>
        <v>0</v>
      </c>
      <c r="AK936" s="125">
        <f t="array" ref="AK936">IFERROR(I936*INDEX(F!$P$21:$AB$33, MATCH(G936/$AH936, F!$O$21:$O$33,1), MATCH(E936, F!$P$20:$AB$20,1)), 0 ) +IFERROR( M936*INDEX(F!$P$21:$AB$33, MATCH(K936/$AH936, F!$O$21:$O$33,1), MATCH(E936, F!$P$20:$AB$20,1)),0) +  IFERROR( Q936*INDEX(F!$P$21:$AB$33, MATCH(O936/$AH936, F!$O$21:$O$33,1), MATCH(E936, F!$P$20:$AB$20,1)), 0) + IFERROR( U936*INDEX(F!$P$21:$AB$33, MATCH(S936/$AH936, F!$O$21:$O$33,1), MATCH(E936, F!$P$20:$AB$20,1)),0)  + IFERROR(Y936*INDEX(F!$P$21:$AB$33, MATCH(W936/$AH936, F!$O$21:$O$33,1), MATCH(E936, F!$P$20:$AB$20,1)),0)  + IFERROR( AC936*INDEX(F!$P$21:$AB$33, MATCH(AA936/$AH936, F!$O$21:$O$33,1), MATCH(E936, F!$P$20:$AB$20,1)),)</f>
        <v>0</v>
      </c>
      <c r="AL936" s="42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 ht="15.75" hidden="1" customHeight="1">
      <c r="A937" s="44">
        <f>A881+A842</f>
        <v>43898</v>
      </c>
      <c r="B937" s="126" t="str">
        <f t="shared" ref="B937:F937" si="1883">IF(B881="","",B881)</f>
        <v/>
      </c>
      <c r="C937" s="127" t="str">
        <f t="shared" si="1883"/>
        <v/>
      </c>
      <c r="D937" s="128" t="str">
        <f t="shared" si="1883"/>
        <v/>
      </c>
      <c r="E937" s="48" t="str">
        <f t="shared" si="1883"/>
        <v/>
      </c>
      <c r="F937" s="129" t="str">
        <f t="shared" si="1883"/>
        <v/>
      </c>
      <c r="G937" s="130" t="str">
        <f t="shared" si="1884"/>
        <v/>
      </c>
      <c r="H937" s="34"/>
      <c r="I937" s="34"/>
      <c r="J937" s="65"/>
      <c r="K937" s="130" t="str">
        <f t="shared" si="1885"/>
        <v/>
      </c>
      <c r="L937" s="34"/>
      <c r="M937" s="34"/>
      <c r="N937" s="65"/>
      <c r="O937" s="130" t="str">
        <f t="shared" si="1886"/>
        <v/>
      </c>
      <c r="P937" s="34"/>
      <c r="Q937" s="34"/>
      <c r="R937" s="65"/>
      <c r="S937" s="130" t="str">
        <f t="shared" si="1887"/>
        <v/>
      </c>
      <c r="T937" s="34"/>
      <c r="U937" s="34"/>
      <c r="V937" s="65"/>
      <c r="W937" s="130" t="str">
        <f t="shared" si="1888"/>
        <v/>
      </c>
      <c r="X937" s="34"/>
      <c r="Y937" s="34"/>
      <c r="Z937" s="65"/>
      <c r="AA937" s="130" t="str">
        <f t="shared" si="1889"/>
        <v/>
      </c>
      <c r="AB937" s="34"/>
      <c r="AC937" s="34"/>
      <c r="AD937" s="65"/>
      <c r="AE937" s="131">
        <f t="shared" si="1890"/>
        <v>0</v>
      </c>
      <c r="AF937" s="132">
        <f t="shared" si="1814"/>
        <v>0</v>
      </c>
      <c r="AG937" s="133">
        <f t="shared" si="1891"/>
        <v>0</v>
      </c>
      <c r="AH937" s="76" t="str">
        <f t="shared" si="1892"/>
        <v/>
      </c>
      <c r="AI937" s="132">
        <f> ( IF(ISNUMBER(G937), VLOOKUP(G937/$AH937,F!$A1:$B101,2,1)*G937*$H937*$I937,0)+IF(ISNUMBER(K937), VLOOKUP(K937/$AH937,F!$A1:$B101,2,1)*K937*$L937*$M937,0)+IF(ISNUMBER(O937), VLOOKUP(O937/$AH937,F!$A1:$B101,2,1)*O937*$P937*$Q937,0)+IF(ISNUMBER(S937), VLOOKUP(S937/$AH937,F!$A1:$B101,2,1)*S937*$T937*$U937,0)+IF(ISNUMBER(W937), VLOOKUP(W937/$AH937,F!$A1:$B101,2,1)*W937*$X937*$Y937,0)+IF(ISNUMBER(AA937), VLOOKUP(AA937/$AH937,F!$A1:$B101,2,1)*AA937*$AB937*$AC937,0))*IF(ISNUMBER(F937),F937,1)*IF(ISNUMBER(E937),E937,1)</f>
        <v>0</v>
      </c>
      <c r="AJ937" s="34">
        <f t="shared" si="1893"/>
        <v>0</v>
      </c>
      <c r="AK937" s="134">
        <f t="array" ref="AK937">IFERROR(I937*INDEX(F!$P$21:$AB$33, MATCH(G937/$AH937, F!$O$21:$O$33,1), MATCH(E937, F!$P$20:$AB$20,1)), 0 ) +IFERROR( M937*INDEX(F!$P$21:$AB$33, MATCH(K937/$AH937, F!$O$21:$O$33,1), MATCH(E937, F!$P$20:$AB$20,1)),0) +  IFERROR( Q937*INDEX(F!$P$21:$AB$33, MATCH(O937/$AH937, F!$O$21:$O$33,1), MATCH(E937, F!$P$20:$AB$20,1)), 0) + IFERROR( U937*INDEX(F!$P$21:$AB$33, MATCH(S937/$AH937, F!$O$21:$O$33,1), MATCH(E937, F!$P$20:$AB$20,1)),0)  + IFERROR(Y937*INDEX(F!$P$21:$AB$33, MATCH(W937/$AH937, F!$O$21:$O$33,1), MATCH(E937, F!$P$20:$AB$20,1)),0)  + IFERROR( AC937*INDEX(F!$P$21:$AB$33, MATCH(AA937/$AH937, F!$O$21:$O$33,1), MATCH(E937, F!$P$20:$AB$20,1)),)</f>
        <v>0</v>
      </c>
      <c r="AL937" s="59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 ht="15.75" hidden="1" customHeight="1">
      <c r="A938" s="59"/>
      <c r="B938" s="135" t="str">
        <f t="shared" ref="B938:F938" si="1894">IF(B882="","",B882)</f>
        <v/>
      </c>
      <c r="C938" s="136" t="str">
        <f t="shared" si="1894"/>
        <v/>
      </c>
      <c r="D938" s="137" t="str">
        <f t="shared" si="1894"/>
        <v/>
      </c>
      <c r="E938" s="48" t="str">
        <f t="shared" si="1894"/>
        <v/>
      </c>
      <c r="F938" s="138" t="str">
        <f t="shared" si="1894"/>
        <v/>
      </c>
      <c r="G938" s="139" t="str">
        <f t="shared" si="1884"/>
        <v/>
      </c>
      <c r="H938" s="140"/>
      <c r="I938" s="140"/>
      <c r="J938" s="141"/>
      <c r="K938" s="139" t="str">
        <f t="shared" si="1885"/>
        <v/>
      </c>
      <c r="L938" s="140"/>
      <c r="M938" s="140"/>
      <c r="N938" s="141"/>
      <c r="O938" s="139" t="str">
        <f t="shared" si="1886"/>
        <v/>
      </c>
      <c r="P938" s="140"/>
      <c r="Q938" s="140"/>
      <c r="R938" s="141"/>
      <c r="S938" s="139" t="str">
        <f t="shared" si="1887"/>
        <v/>
      </c>
      <c r="T938" s="140"/>
      <c r="U938" s="140"/>
      <c r="V938" s="141"/>
      <c r="W938" s="139" t="str">
        <f t="shared" si="1888"/>
        <v/>
      </c>
      <c r="X938" s="140"/>
      <c r="Y938" s="140"/>
      <c r="Z938" s="141"/>
      <c r="AA938" s="139" t="str">
        <f t="shared" si="1889"/>
        <v/>
      </c>
      <c r="AB938" s="140"/>
      <c r="AC938" s="140"/>
      <c r="AD938" s="141"/>
      <c r="AE938" s="142">
        <f t="shared" si="1890"/>
        <v>0</v>
      </c>
      <c r="AF938" s="143">
        <f t="shared" si="1814"/>
        <v>0</v>
      </c>
      <c r="AG938" s="144">
        <f t="shared" si="1891"/>
        <v>0</v>
      </c>
      <c r="AH938" s="76" t="str">
        <f t="shared" si="1892"/>
        <v/>
      </c>
      <c r="AI938" s="143">
        <f> ( IF(ISNUMBER(G938), VLOOKUP(G938/$AH938,F!$A1:$B101,2,1)*G938*$H938*$I938,0)+IF(ISNUMBER(K938), VLOOKUP(K938/$AH938,F!$A1:$B101,2,1)*K938*$L938*$M938,0)+IF(ISNUMBER(O938), VLOOKUP(O938/$AH938,F!$A1:$B101,2,1)*O938*$P938*$Q938,0)+IF(ISNUMBER(S938), VLOOKUP(S938/$AH938,F!$A1:$B101,2,1)*S938*$T938*$U938,0)+IF(ISNUMBER(W938), VLOOKUP(W938/$AH938,F!$A1:$B101,2,1)*W938*$X938*$Y938,0)+IF(ISNUMBER(AA938), VLOOKUP(AA938/$AH938,F!$A1:$B101,2,1)*AA938*$AB938*$AC938,0))*IF(ISNUMBER(F938),F938,1)*IF(ISNUMBER(E938),E938,1)</f>
        <v>0</v>
      </c>
      <c r="AJ938" s="140">
        <f t="shared" si="1893"/>
        <v>0</v>
      </c>
      <c r="AK938" s="145">
        <f t="array" ref="AK938">IFERROR(I938*INDEX(F!$P$21:$AB$33, MATCH(G938/$AH938, F!$O$21:$O$33,1), MATCH(E938, F!$P$20:$AB$20,1)), 0 ) +IFERROR( M938*INDEX(F!$P$21:$AB$33, MATCH(K938/$AH938, F!$O$21:$O$33,1), MATCH(E938, F!$P$20:$AB$20,1)),0) +  IFERROR( Q938*INDEX(F!$P$21:$AB$33, MATCH(O938/$AH938, F!$O$21:$O$33,1), MATCH(E938, F!$P$20:$AB$20,1)), 0) + IFERROR( U938*INDEX(F!$P$21:$AB$33, MATCH(S938/$AH938, F!$O$21:$O$33,1), MATCH(E938, F!$P$20:$AB$20,1)),0)  + IFERROR(Y938*INDEX(F!$P$21:$AB$33, MATCH(W938/$AH938, F!$O$21:$O$33,1), MATCH(E938, F!$P$20:$AB$20,1)),0)  + IFERROR( AC938*INDEX(F!$P$21:$AB$33, MATCH(AA938/$AH938, F!$O$21:$O$33,1), MATCH(E938, F!$P$20:$AB$20,1)),)</f>
        <v>0</v>
      </c>
      <c r="AL938" s="59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 ht="15.75" hidden="1" customHeight="1">
      <c r="A939" s="59"/>
      <c r="B939" s="126" t="str">
        <f t="shared" ref="B939:F939" si="1895">IF(B883="","",B883)</f>
        <v/>
      </c>
      <c r="C939" s="127" t="str">
        <f t="shared" si="1895"/>
        <v/>
      </c>
      <c r="D939" s="128" t="str">
        <f t="shared" si="1895"/>
        <v/>
      </c>
      <c r="E939" s="48" t="str">
        <f t="shared" si="1895"/>
        <v/>
      </c>
      <c r="F939" s="129" t="str">
        <f t="shared" si="1895"/>
        <v/>
      </c>
      <c r="G939" s="130" t="str">
        <f t="shared" si="1884"/>
        <v/>
      </c>
      <c r="H939" s="34"/>
      <c r="I939" s="34"/>
      <c r="J939" s="65"/>
      <c r="K939" s="130" t="str">
        <f t="shared" si="1885"/>
        <v/>
      </c>
      <c r="L939" s="34"/>
      <c r="M939" s="34"/>
      <c r="N939" s="65"/>
      <c r="O939" s="130" t="str">
        <f t="shared" si="1886"/>
        <v/>
      </c>
      <c r="P939" s="34"/>
      <c r="Q939" s="34"/>
      <c r="R939" s="65"/>
      <c r="S939" s="130" t="str">
        <f t="shared" si="1887"/>
        <v/>
      </c>
      <c r="T939" s="34"/>
      <c r="U939" s="34"/>
      <c r="V939" s="65"/>
      <c r="W939" s="130" t="str">
        <f t="shared" si="1888"/>
        <v/>
      </c>
      <c r="X939" s="34"/>
      <c r="Y939" s="34"/>
      <c r="Z939" s="65"/>
      <c r="AA939" s="130" t="str">
        <f t="shared" si="1889"/>
        <v/>
      </c>
      <c r="AB939" s="34"/>
      <c r="AC939" s="34"/>
      <c r="AD939" s="65"/>
      <c r="AE939" s="131">
        <f t="shared" si="1890"/>
        <v>0</v>
      </c>
      <c r="AF939" s="132">
        <f t="shared" si="1814"/>
        <v>0</v>
      </c>
      <c r="AG939" s="133">
        <f t="shared" si="1891"/>
        <v>0</v>
      </c>
      <c r="AH939" s="76" t="str">
        <f t="shared" si="1892"/>
        <v/>
      </c>
      <c r="AI939" s="132">
        <f> ( IF(ISNUMBER(G939), VLOOKUP(G939/$AH939,F!$A1:$B101,2,1)*G939*$H939*$I939,0)+IF(ISNUMBER(K939), VLOOKUP(K939/$AH939,F!$A1:$B101,2,1)*K939*$L939*$M939,0)+IF(ISNUMBER(O939), VLOOKUP(O939/$AH939,F!$A1:$B101,2,1)*O939*$P939*$Q939,0)+IF(ISNUMBER(S939), VLOOKUP(S939/$AH939,F!$A1:$B101,2,1)*S939*$T939*$U939,0)+IF(ISNUMBER(W939), VLOOKUP(W939/$AH939,F!$A1:$B101,2,1)*W939*$X939*$Y939,0)+IF(ISNUMBER(AA939), VLOOKUP(AA939/$AH939,F!$A1:$B101,2,1)*AA939*$AB939*$AC939,0))*IF(ISNUMBER(F939),F939,1)*IF(ISNUMBER(E939),E939,1)</f>
        <v>0</v>
      </c>
      <c r="AJ939" s="34">
        <f t="shared" si="1893"/>
        <v>0</v>
      </c>
      <c r="AK939" s="134">
        <f t="array" ref="AK939">IFERROR(I939*INDEX(F!$P$21:$AB$33, MATCH(G939/$AH939, F!$O$21:$O$33,1), MATCH(E939, F!$P$20:$AB$20,1)), 0 ) +IFERROR( M939*INDEX(F!$P$21:$AB$33, MATCH(K939/$AH939, F!$O$21:$O$33,1), MATCH(E939, F!$P$20:$AB$20,1)),0) +  IFERROR( Q939*INDEX(F!$P$21:$AB$33, MATCH(O939/$AH939, F!$O$21:$O$33,1), MATCH(E939, F!$P$20:$AB$20,1)), 0) + IFERROR( U939*INDEX(F!$P$21:$AB$33, MATCH(S939/$AH939, F!$O$21:$O$33,1), MATCH(E939, F!$P$20:$AB$20,1)),0)  + IFERROR(Y939*INDEX(F!$P$21:$AB$33, MATCH(W939/$AH939, F!$O$21:$O$33,1), MATCH(E939, F!$P$20:$AB$20,1)),0)  + IFERROR( AC939*INDEX(F!$P$21:$AB$33, MATCH(AA939/$AH939, F!$O$21:$O$33,1), MATCH(E939, F!$P$20:$AB$20,1)),)</f>
        <v>0</v>
      </c>
      <c r="AL939" s="59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 ht="15.75" hidden="1" customHeight="1">
      <c r="A940" s="59"/>
      <c r="B940" s="135" t="str">
        <f t="shared" ref="B940:F940" si="1896">IF(B884="","",B884)</f>
        <v/>
      </c>
      <c r="C940" s="136" t="str">
        <f t="shared" si="1896"/>
        <v/>
      </c>
      <c r="D940" s="137" t="str">
        <f t="shared" si="1896"/>
        <v/>
      </c>
      <c r="E940" s="48" t="str">
        <f t="shared" si="1896"/>
        <v/>
      </c>
      <c r="F940" s="138" t="str">
        <f t="shared" si="1896"/>
        <v/>
      </c>
      <c r="G940" s="139" t="str">
        <f t="shared" si="1884"/>
        <v/>
      </c>
      <c r="H940" s="140"/>
      <c r="I940" s="140"/>
      <c r="J940" s="141"/>
      <c r="K940" s="139" t="str">
        <f t="shared" si="1885"/>
        <v/>
      </c>
      <c r="L940" s="140"/>
      <c r="M940" s="140"/>
      <c r="N940" s="141"/>
      <c r="O940" s="139" t="str">
        <f t="shared" si="1886"/>
        <v/>
      </c>
      <c r="P940" s="140"/>
      <c r="Q940" s="140"/>
      <c r="R940" s="141"/>
      <c r="S940" s="139" t="str">
        <f t="shared" si="1887"/>
        <v/>
      </c>
      <c r="T940" s="140"/>
      <c r="U940" s="140"/>
      <c r="V940" s="141"/>
      <c r="W940" s="139" t="str">
        <f t="shared" si="1888"/>
        <v/>
      </c>
      <c r="X940" s="140"/>
      <c r="Y940" s="140"/>
      <c r="Z940" s="141"/>
      <c r="AA940" s="139" t="str">
        <f t="shared" si="1889"/>
        <v/>
      </c>
      <c r="AB940" s="140"/>
      <c r="AC940" s="140"/>
      <c r="AD940" s="141"/>
      <c r="AE940" s="142">
        <f t="shared" si="1890"/>
        <v>0</v>
      </c>
      <c r="AF940" s="143">
        <f t="shared" si="1814"/>
        <v>0</v>
      </c>
      <c r="AG940" s="144">
        <f t="shared" si="1891"/>
        <v>0</v>
      </c>
      <c r="AH940" s="76" t="str">
        <f t="shared" si="1892"/>
        <v/>
      </c>
      <c r="AI940" s="143">
        <f> ( IF(ISNUMBER(G940), VLOOKUP(G940/$AH940,F!$A1:$B101,2,1)*G940*$H940*$I940,0)+IF(ISNUMBER(K940), VLOOKUP(K940/$AH940,F!$A1:$B101,2,1)*K940*$L940*$M940,0)+IF(ISNUMBER(O940), VLOOKUP(O940/$AH940,F!$A1:$B101,2,1)*O940*$P940*$Q940,0)+IF(ISNUMBER(S940), VLOOKUP(S940/$AH940,F!$A1:$B101,2,1)*S940*$T940*$U940,0)+IF(ISNUMBER(W940), VLOOKUP(W940/$AH940,F!$A1:$B101,2,1)*W940*$X940*$Y940,0)+IF(ISNUMBER(AA940), VLOOKUP(AA940/$AH940,F!$A1:$B101,2,1)*AA940*$AB940*$AC940,0))*IF(ISNUMBER(F940),F940,1)*IF(ISNUMBER(E940),E940,1)</f>
        <v>0</v>
      </c>
      <c r="AJ940" s="140">
        <f t="shared" si="1893"/>
        <v>0</v>
      </c>
      <c r="AK940" s="145">
        <f t="array" ref="AK940">IFERROR(I940*INDEX(F!$P$21:$AB$33, MATCH(G940/$AH940, F!$O$21:$O$33,1), MATCH(E940, F!$P$20:$AB$20,1)), 0 ) +IFERROR( M940*INDEX(F!$P$21:$AB$33, MATCH(K940/$AH940, F!$O$21:$O$33,1), MATCH(E940, F!$P$20:$AB$20,1)),0) +  IFERROR( Q940*INDEX(F!$P$21:$AB$33, MATCH(O940/$AH940, F!$O$21:$O$33,1), MATCH(E940, F!$P$20:$AB$20,1)), 0) + IFERROR( U940*INDEX(F!$P$21:$AB$33, MATCH(S940/$AH940, F!$O$21:$O$33,1), MATCH(E940, F!$P$20:$AB$20,1)),0)  + IFERROR(Y940*INDEX(F!$P$21:$AB$33, MATCH(W940/$AH940, F!$O$21:$O$33,1), MATCH(E940, F!$P$20:$AB$20,1)),0)  + IFERROR( AC940*INDEX(F!$P$21:$AB$33, MATCH(AA940/$AH940, F!$O$21:$O$33,1), MATCH(E940, F!$P$20:$AB$20,1)),)</f>
        <v>0</v>
      </c>
      <c r="AL940" s="59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 ht="15.75" hidden="1" customHeight="1">
      <c r="A941" s="59"/>
      <c r="B941" s="126" t="str">
        <f t="shared" ref="B941:F941" si="1897">IF(B885="","",B885)</f>
        <v/>
      </c>
      <c r="C941" s="127" t="str">
        <f t="shared" si="1897"/>
        <v/>
      </c>
      <c r="D941" s="128" t="str">
        <f t="shared" si="1897"/>
        <v/>
      </c>
      <c r="E941" s="48" t="str">
        <f t="shared" si="1897"/>
        <v/>
      </c>
      <c r="F941" s="129" t="str">
        <f t="shared" si="1897"/>
        <v/>
      </c>
      <c r="G941" s="130" t="str">
        <f t="shared" si="1884"/>
        <v/>
      </c>
      <c r="H941" s="34"/>
      <c r="I941" s="34"/>
      <c r="J941" s="65"/>
      <c r="K941" s="130" t="str">
        <f t="shared" si="1885"/>
        <v/>
      </c>
      <c r="L941" s="34"/>
      <c r="M941" s="34"/>
      <c r="N941" s="65"/>
      <c r="O941" s="130" t="str">
        <f t="shared" si="1886"/>
        <v/>
      </c>
      <c r="P941" s="34"/>
      <c r="Q941" s="34"/>
      <c r="R941" s="65"/>
      <c r="S941" s="130" t="str">
        <f t="shared" si="1887"/>
        <v/>
      </c>
      <c r="T941" s="34"/>
      <c r="U941" s="34"/>
      <c r="V941" s="65"/>
      <c r="W941" s="130" t="str">
        <f t="shared" si="1888"/>
        <v/>
      </c>
      <c r="X941" s="34"/>
      <c r="Y941" s="34"/>
      <c r="Z941" s="65"/>
      <c r="AA941" s="130" t="str">
        <f t="shared" si="1889"/>
        <v/>
      </c>
      <c r="AB941" s="34"/>
      <c r="AC941" s="34"/>
      <c r="AD941" s="65"/>
      <c r="AE941" s="131">
        <f t="shared" si="1890"/>
        <v>0</v>
      </c>
      <c r="AF941" s="132">
        <f t="shared" si="1814"/>
        <v>0</v>
      </c>
      <c r="AG941" s="133">
        <f t="shared" si="1891"/>
        <v>0</v>
      </c>
      <c r="AH941" s="76" t="str">
        <f t="shared" si="1892"/>
        <v/>
      </c>
      <c r="AI941" s="132">
        <f> ( IF(ISNUMBER(G941), VLOOKUP(G941/$AH941,F!$A1:$B101,2,1)*G941*$H941*$I941,0)+IF(ISNUMBER(K941), VLOOKUP(K941/$AH941,F!$A1:$B101,2,1)*K941*$L941*$M941,0)+IF(ISNUMBER(O941), VLOOKUP(O941/$AH941,F!$A1:$B101,2,1)*O941*$P941*$Q941,0)+IF(ISNUMBER(S941), VLOOKUP(S941/$AH941,F!$A1:$B101,2,1)*S941*$T941*$U941,0)+IF(ISNUMBER(W941), VLOOKUP(W941/$AH941,F!$A1:$B101,2,1)*W941*$X941*$Y941,0)+IF(ISNUMBER(AA941), VLOOKUP(AA941/$AH941,F!$A1:$B101,2,1)*AA941*$AB941*$AC941,0))*IF(ISNUMBER(F941),F941,1)*IF(ISNUMBER(E941),E941,1)</f>
        <v>0</v>
      </c>
      <c r="AJ941" s="34">
        <f t="shared" si="1893"/>
        <v>0</v>
      </c>
      <c r="AK941" s="134">
        <f t="array" ref="AK941">IFERROR(I941*INDEX(F!$P$21:$AB$33, MATCH(G941/$AH941, F!$O$21:$O$33,1), MATCH(E941, F!$P$20:$AB$20,1)), 0 ) +IFERROR( M941*INDEX(F!$P$21:$AB$33, MATCH(K941/$AH941, F!$O$21:$O$33,1), MATCH(E941, F!$P$20:$AB$20,1)),0) +  IFERROR( Q941*INDEX(F!$P$21:$AB$33, MATCH(O941/$AH941, F!$O$21:$O$33,1), MATCH(E941, F!$P$20:$AB$20,1)), 0) + IFERROR( U941*INDEX(F!$P$21:$AB$33, MATCH(S941/$AH941, F!$O$21:$O$33,1), MATCH(E941, F!$P$20:$AB$20,1)),0)  + IFERROR(Y941*INDEX(F!$P$21:$AB$33, MATCH(W941/$AH941, F!$O$21:$O$33,1), MATCH(E941, F!$P$20:$AB$20,1)),0)  + IFERROR( AC941*INDEX(F!$P$21:$AB$33, MATCH(AA941/$AH941, F!$O$21:$O$33,1), MATCH(E941, F!$P$20:$AB$20,1)),)</f>
        <v>0</v>
      </c>
      <c r="AL941" s="59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 ht="15.75" hidden="1" customHeight="1">
      <c r="A942" s="59"/>
      <c r="B942" s="135" t="str">
        <f t="shared" ref="B942:F942" si="1898">IF(B886="","",B886)</f>
        <v/>
      </c>
      <c r="C942" s="136" t="str">
        <f t="shared" si="1898"/>
        <v/>
      </c>
      <c r="D942" s="137" t="str">
        <f t="shared" si="1898"/>
        <v/>
      </c>
      <c r="E942" s="48" t="str">
        <f t="shared" si="1898"/>
        <v/>
      </c>
      <c r="F942" s="138" t="str">
        <f t="shared" si="1898"/>
        <v/>
      </c>
      <c r="G942" s="139" t="str">
        <f t="shared" si="1884"/>
        <v/>
      </c>
      <c r="H942" s="140"/>
      <c r="I942" s="140"/>
      <c r="J942" s="141"/>
      <c r="K942" s="139" t="str">
        <f t="shared" si="1885"/>
        <v/>
      </c>
      <c r="L942" s="140"/>
      <c r="M942" s="140"/>
      <c r="N942" s="141"/>
      <c r="O942" s="139" t="str">
        <f t="shared" si="1886"/>
        <v/>
      </c>
      <c r="P942" s="140"/>
      <c r="Q942" s="140"/>
      <c r="R942" s="141"/>
      <c r="S942" s="139" t="str">
        <f t="shared" si="1887"/>
        <v/>
      </c>
      <c r="T942" s="140"/>
      <c r="U942" s="140"/>
      <c r="V942" s="141"/>
      <c r="W942" s="139" t="str">
        <f t="shared" si="1888"/>
        <v/>
      </c>
      <c r="X942" s="140"/>
      <c r="Y942" s="140"/>
      <c r="Z942" s="141"/>
      <c r="AA942" s="139" t="str">
        <f t="shared" si="1889"/>
        <v/>
      </c>
      <c r="AB942" s="140"/>
      <c r="AC942" s="140"/>
      <c r="AD942" s="141"/>
      <c r="AE942" s="142">
        <f t="shared" si="1890"/>
        <v>0</v>
      </c>
      <c r="AF942" s="143">
        <f t="shared" si="1814"/>
        <v>0</v>
      </c>
      <c r="AG942" s="144">
        <f t="shared" si="1891"/>
        <v>0</v>
      </c>
      <c r="AH942" s="76" t="str">
        <f t="shared" si="1892"/>
        <v/>
      </c>
      <c r="AI942" s="143">
        <f> ( IF(ISNUMBER(G942), VLOOKUP(G942/$AH942,F!$A1:$B101,2,1)*G942*$H942*$I942,0)+IF(ISNUMBER(K942), VLOOKUP(K942/$AH942,F!$A1:$B101,2,1)*K942*$L942*$M942,0)+IF(ISNUMBER(O942), VLOOKUP(O942/$AH942,F!$A1:$B101,2,1)*O942*$P942*$Q942,0)+IF(ISNUMBER(S942), VLOOKUP(S942/$AH942,F!$A1:$B101,2,1)*S942*$T942*$U942,0)+IF(ISNUMBER(W942), VLOOKUP(W942/$AH942,F!$A1:$B101,2,1)*W942*$X942*$Y942,0)+IF(ISNUMBER(AA942), VLOOKUP(AA942/$AH942,F!$A1:$B101,2,1)*AA942*$AB942*$AC942,0))*IF(ISNUMBER(F942),F942,1)*IF(ISNUMBER(E942),E942,1)</f>
        <v>0</v>
      </c>
      <c r="AJ942" s="140">
        <f t="shared" si="1893"/>
        <v>0</v>
      </c>
      <c r="AK942" s="145">
        <f t="array" ref="AK942">IFERROR(I942*INDEX(F!$P$21:$AB$33, MATCH(G942/$AH942, F!$O$21:$O$33,1), MATCH(E942, F!$P$20:$AB$20,1)), 0 ) +IFERROR( M942*INDEX(F!$P$21:$AB$33, MATCH(K942/$AH942, F!$O$21:$O$33,1), MATCH(E942, F!$P$20:$AB$20,1)),0) +  IFERROR( Q942*INDEX(F!$P$21:$AB$33, MATCH(O942/$AH942, F!$O$21:$O$33,1), MATCH(E942, F!$P$20:$AB$20,1)), 0) + IFERROR( U942*INDEX(F!$P$21:$AB$33, MATCH(S942/$AH942, F!$O$21:$O$33,1), MATCH(E942, F!$P$20:$AB$20,1)),0)  + IFERROR(Y942*INDEX(F!$P$21:$AB$33, MATCH(W942/$AH942, F!$O$21:$O$33,1), MATCH(E942, F!$P$20:$AB$20,1)),0)  + IFERROR( AC942*INDEX(F!$P$21:$AB$33, MATCH(AA942/$AH942, F!$O$21:$O$33,1), MATCH(E942, F!$P$20:$AB$20,1)),)</f>
        <v>0</v>
      </c>
      <c r="AL942" s="59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 ht="15.75" hidden="1" customHeight="1">
      <c r="A943" s="59"/>
      <c r="B943" s="126" t="str">
        <f t="shared" ref="B943:F943" si="1899">IF(B887="","",B887)</f>
        <v/>
      </c>
      <c r="C943" s="127" t="str">
        <f t="shared" si="1899"/>
        <v/>
      </c>
      <c r="D943" s="128" t="str">
        <f t="shared" si="1899"/>
        <v/>
      </c>
      <c r="E943" s="48" t="str">
        <f t="shared" si="1899"/>
        <v/>
      </c>
      <c r="F943" s="129" t="str">
        <f t="shared" si="1899"/>
        <v/>
      </c>
      <c r="G943" s="130" t="str">
        <f t="shared" si="1884"/>
        <v/>
      </c>
      <c r="H943" s="34"/>
      <c r="I943" s="34"/>
      <c r="J943" s="65"/>
      <c r="K943" s="130" t="str">
        <f t="shared" si="1885"/>
        <v/>
      </c>
      <c r="L943" s="34"/>
      <c r="M943" s="34"/>
      <c r="N943" s="65"/>
      <c r="O943" s="130" t="str">
        <f t="shared" si="1886"/>
        <v/>
      </c>
      <c r="P943" s="34"/>
      <c r="Q943" s="34"/>
      <c r="R943" s="65"/>
      <c r="S943" s="130" t="str">
        <f t="shared" si="1887"/>
        <v/>
      </c>
      <c r="T943" s="34"/>
      <c r="U943" s="34"/>
      <c r="V943" s="65"/>
      <c r="W943" s="130" t="str">
        <f t="shared" si="1888"/>
        <v/>
      </c>
      <c r="X943" s="34"/>
      <c r="Y943" s="34"/>
      <c r="Z943" s="65"/>
      <c r="AA943" s="130" t="str">
        <f t="shared" si="1889"/>
        <v/>
      </c>
      <c r="AB943" s="34"/>
      <c r="AC943" s="34"/>
      <c r="AD943" s="65"/>
      <c r="AE943" s="131">
        <f t="shared" si="1890"/>
        <v>0</v>
      </c>
      <c r="AF943" s="132">
        <f t="shared" si="1814"/>
        <v>0</v>
      </c>
      <c r="AG943" s="133">
        <f t="shared" si="1891"/>
        <v>0</v>
      </c>
      <c r="AH943" s="76" t="str">
        <f t="shared" si="1892"/>
        <v/>
      </c>
      <c r="AI943" s="132">
        <f> ( IF(ISNUMBER(G943), VLOOKUP(G943/$AH943,F!$A1:$B101,2,1)*G943*$H943*$I943,0)+IF(ISNUMBER(K943), VLOOKUP(K943/$AH943,F!$A1:$B101,2,1)*K943*$L943*$M943,0)+IF(ISNUMBER(O943), VLOOKUP(O943/$AH943,F!$A1:$B101,2,1)*O943*$P943*$Q943,0)+IF(ISNUMBER(S943), VLOOKUP(S943/$AH943,F!$A1:$B101,2,1)*S943*$T943*$U943,0)+IF(ISNUMBER(W943), VLOOKUP(W943/$AH943,F!$A1:$B101,2,1)*W943*$X943*$Y943,0)+IF(ISNUMBER(AA943), VLOOKUP(AA943/$AH943,F!$A1:$B101,2,1)*AA943*$AB943*$AC943,0))*IF(ISNUMBER(F943),F943,1)*IF(ISNUMBER(E943),E943,1)</f>
        <v>0</v>
      </c>
      <c r="AJ943" s="34">
        <f t="shared" si="1893"/>
        <v>0</v>
      </c>
      <c r="AK943" s="134">
        <f t="array" ref="AK943">IFERROR(I943*INDEX(F!$P$21:$AB$33, MATCH(G943/$AH943, F!$O$21:$O$33,1), MATCH(E943, F!$P$20:$AB$20,1)), 0 ) +IFERROR( M943*INDEX(F!$P$21:$AB$33, MATCH(K943/$AH943, F!$O$21:$O$33,1), MATCH(E943, F!$P$20:$AB$20,1)),0) +  IFERROR( Q943*INDEX(F!$P$21:$AB$33, MATCH(O943/$AH943, F!$O$21:$O$33,1), MATCH(E943, F!$P$20:$AB$20,1)), 0) + IFERROR( U943*INDEX(F!$P$21:$AB$33, MATCH(S943/$AH943, F!$O$21:$O$33,1), MATCH(E943, F!$P$20:$AB$20,1)),0)  + IFERROR(Y943*INDEX(F!$P$21:$AB$33, MATCH(W943/$AH943, F!$O$21:$O$33,1), MATCH(E943, F!$P$20:$AB$20,1)),0)  + IFERROR( AC943*INDEX(F!$P$21:$AB$33, MATCH(AA943/$AH943, F!$O$21:$O$33,1), MATCH(E943, F!$P$20:$AB$20,1)),)</f>
        <v>0</v>
      </c>
      <c r="AL943" s="59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 ht="15.75" hidden="1" customHeight="1">
      <c r="A944" s="98"/>
      <c r="B944" s="150"/>
      <c r="C944" s="151"/>
      <c r="D944" s="152"/>
      <c r="E944" s="102">
        <f>ROUND(IFERROR(SUMPRODUCT(AJ936:AJ943,E936:E943)/AJ944,0),3)</f>
        <v>0</v>
      </c>
      <c r="F944" s="153"/>
      <c r="G944" s="154"/>
      <c r="H944" s="155"/>
      <c r="I944" s="155"/>
      <c r="J944" s="156"/>
      <c r="K944" s="154"/>
      <c r="L944" s="155"/>
      <c r="M944" s="155"/>
      <c r="N944" s="156"/>
      <c r="O944" s="154"/>
      <c r="P944" s="155"/>
      <c r="Q944" s="155"/>
      <c r="R944" s="156"/>
      <c r="S944" s="154"/>
      <c r="T944" s="155"/>
      <c r="U944" s="155"/>
      <c r="V944" s="156"/>
      <c r="W944" s="154"/>
      <c r="X944" s="155"/>
      <c r="Y944" s="155"/>
      <c r="Z944" s="156"/>
      <c r="AA944" s="154"/>
      <c r="AB944" s="155"/>
      <c r="AC944" s="155"/>
      <c r="AD944" s="156"/>
      <c r="AE944" s="107">
        <f>SUM(AE936:AE943)</f>
        <v>0</v>
      </c>
      <c r="AF944" s="108">
        <f t="shared" si="1814"/>
        <v>0</v>
      </c>
      <c r="AG944" s="109">
        <f>IFERROR(  SUMPRODUCT(AG936:AG943,AJ936:AJ943)/AJ944,0)</f>
        <v>0</v>
      </c>
      <c r="AH944" s="157"/>
      <c r="AI944" s="111">
        <f t="shared" ref="AI944:AJ944" si="1900">SUM(AI936:AI943)</f>
        <v>0</v>
      </c>
      <c r="AJ944" s="111">
        <f t="shared" si="1900"/>
        <v>0</v>
      </c>
      <c r="AK944" s="112">
        <f>IF(SUM(AK936:AK943)=0,TIME(,0,),TIME(,SUM(AK936:AK943)+F!$V$37,))</f>
        <v>0</v>
      </c>
      <c r="AL944" s="98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 ht="15.75" hidden="1" customHeight="1">
      <c r="A945" s="158">
        <f>A946</f>
        <v>43899</v>
      </c>
      <c r="B945" s="159" t="str">
        <f t="shared" ref="B945:F945" si="1901">IF(B889="","",B889)</f>
        <v/>
      </c>
      <c r="C945" s="160" t="str">
        <f t="shared" si="1901"/>
        <v/>
      </c>
      <c r="D945" s="161" t="str">
        <f t="shared" si="1901"/>
        <v/>
      </c>
      <c r="E945" s="29" t="str">
        <f t="shared" si="1901"/>
        <v/>
      </c>
      <c r="F945" s="162" t="str">
        <f t="shared" si="1901"/>
        <v/>
      </c>
      <c r="G945" s="163" t="str">
        <f t="shared" ref="G945:G952" si="1903">IF(J945&lt;&gt;0, IFERROR(IF( $F945=2,  MROUND($AH945*J945,1),    IF( OR($F945="",$F945=1),   MROUND($AH945*J945,2.5),  MROUND($AH945*J945, 0.1))), "" ), "")</f>
        <v/>
      </c>
      <c r="H945" s="164"/>
      <c r="I945" s="164"/>
      <c r="J945" s="165"/>
      <c r="K945" s="163" t="str">
        <f t="shared" ref="K945:K952" si="1904">IF(N945&lt;&gt;0, IFERROR(IF( $F945=2,  MROUND($AH945*N945,1),    IF( OR($F945="",$F945=1),   MROUND($AH945*N945,2.5),  MROUND($AH945*N945, 0.1))), "" ), "")</f>
        <v/>
      </c>
      <c r="L945" s="164"/>
      <c r="M945" s="164"/>
      <c r="N945" s="165"/>
      <c r="O945" s="163" t="str">
        <f t="shared" ref="O945:O952" si="1905">IF(R945&lt;&gt;0, IFERROR(IF( $F945=2,  MROUND($AH945*R945,1),    IF( OR($F945="",$F945=1),   MROUND($AH945*R945,2.5),  MROUND($AH945*R945, 0.1))), "" ), "")</f>
        <v/>
      </c>
      <c r="P945" s="164"/>
      <c r="Q945" s="164"/>
      <c r="R945" s="165"/>
      <c r="S945" s="163" t="str">
        <f t="shared" ref="S945:S952" si="1906">IF(V945&lt;&gt;0, IFERROR(IF( $F945=2,  MROUND($AH945*V945,1),    IF( OR($F945="",$F945=1),   MROUND($AH945*V945,2.5),  MROUND($AH945*V945, 0.1))), "" ), "")</f>
        <v/>
      </c>
      <c r="T945" s="164"/>
      <c r="U945" s="164"/>
      <c r="V945" s="165"/>
      <c r="W945" s="163" t="str">
        <f t="shared" ref="W945:W952" si="1907">IF(Z945&lt;&gt;0, IFERROR(IF( $F945=2,  MROUND($AH945*Z945,1),    IF( OR($F945="",$F945=1),   MROUND($AH945*Z945,2.5),  MROUND($AH945*Z945, 0.1))), "" ), "")</f>
        <v/>
      </c>
      <c r="X945" s="164"/>
      <c r="Y945" s="164"/>
      <c r="Z945" s="165"/>
      <c r="AA945" s="163" t="str">
        <f t="shared" ref="AA945:AA952" si="1908">IF(AD945&lt;&gt;0, IFERROR(IF( $F945=2,  MROUND($AH945*AD945,1),    IF( OR($F945="",$F945=1),   MROUND($AH945*AD945,2.5),  MROUND($AH945*AD945, 0.1))), "" ), "")</f>
        <v/>
      </c>
      <c r="AB945" s="164"/>
      <c r="AC945" s="164"/>
      <c r="AD945" s="165"/>
      <c r="AE945" s="166">
        <f t="shared" ref="AE945:AE952" si="1909">(IF(ISNUMBER(G945),G945,0)*H945*I945+IF(ISNUMBER(K945),K945,1)*L945*M945+IF(ISNUMBER(O945),O945,1)*P945*Q945+IF(ISNUMBER(S945),S945,1)*T945*U945+IF(ISNUMBER(W945),W945,1)*X945*Y945+IF(ISNUMBER(AA945),AA945,1)*AB945*AC945)*IF(ISNUMBER(F945),F945,1)</f>
        <v>0</v>
      </c>
      <c r="AF945" s="167">
        <f t="shared" si="1814"/>
        <v>0</v>
      </c>
      <c r="AG945" s="168">
        <f t="shared" ref="AG945:AG952" si="1910">IFERROR((AF945/(AH945*IF(ISNUMBER(F945),F945,1))),0)</f>
        <v>0</v>
      </c>
      <c r="AH945" s="169" t="str">
        <f t="shared" ref="AH945:AH952" si="1911">IF(ISNUMBER(AH889), AH889+(AH889*$AH$898),"")</f>
        <v/>
      </c>
      <c r="AI945" s="167">
        <f> ( IF(ISNUMBER(G945), VLOOKUP(G945/$AH945,F!$A1:$B101,2,1)*G945*$H945*$I945,0)+IF(ISNUMBER(K945), VLOOKUP(K945/$AH945,F!$A1:$B101,2,1)*K945*$L945*$M945,0)+IF(ISNUMBER(O945), VLOOKUP(O945/$AH945,F!$A1:$B101,2,1)*O945*$P945*$Q945,0)+IF(ISNUMBER(S945), VLOOKUP(S945/$AH945,F!$A1:$B101,2,1)*S945*$T945*$U945,0)+IF(ISNUMBER(W945), VLOOKUP(W945/$AH945,F!$A1:$B101,2,1)*W945*$X945*$Y945,0)+IF(ISNUMBER(AA945), VLOOKUP(AA945/$AH945,F!$A1:$B101,2,1)*AA945*$AB945*$AC945,0))*IF(ISNUMBER(F945),F945,1)*IF(ISNUMBER(E945),E945,1)</f>
        <v>0</v>
      </c>
      <c r="AJ945" s="164">
        <f t="shared" ref="AJ945:AJ952" si="1912">H945*I945+L945*M945+P945*Q945+T945*U945+X945*Y945+AB945*AC945</f>
        <v>0</v>
      </c>
      <c r="AK945" s="170">
        <f t="array" ref="AK945">IFERROR(I945*INDEX(F!$P$21:$AB$33, MATCH(G945/$AH945, F!$O$21:$O$33,1), MATCH(E945, F!$P$20:$AB$20,1)), 0 ) +IFERROR( M945*INDEX(F!$P$21:$AB$33, MATCH(K945/$AH945, F!$O$21:$O$33,1), MATCH(E945, F!$P$20:$AB$20,1)),0) +  IFERROR( Q945*INDEX(F!$P$21:$AB$33, MATCH(O945/$AH945, F!$O$21:$O$33,1), MATCH(E945, F!$P$20:$AB$20,1)), 0) + IFERROR( U945*INDEX(F!$P$21:$AB$33, MATCH(S945/$AH945, F!$O$21:$O$33,1), MATCH(E945, F!$P$20:$AB$20,1)),0)  + IFERROR(Y945*INDEX(F!$P$21:$AB$33, MATCH(W945/$AH945, F!$O$21:$O$33,1), MATCH(E945, F!$P$20:$AB$20,1)),0)  + IFERROR( AC945*INDEX(F!$P$21:$AB$33, MATCH(AA945/$AH945, F!$O$21:$O$33,1), MATCH(E945, F!$P$20:$AB$20,1)),)</f>
        <v>0</v>
      </c>
      <c r="AL945" s="42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 ht="15.75" hidden="1" customHeight="1">
      <c r="A946" s="44">
        <f>A890+A842</f>
        <v>43899</v>
      </c>
      <c r="B946" s="135" t="str">
        <f t="shared" ref="B946:F946" si="1902">IF(B890="","",B890)</f>
        <v/>
      </c>
      <c r="C946" s="136" t="str">
        <f t="shared" si="1902"/>
        <v/>
      </c>
      <c r="D946" s="137" t="str">
        <f t="shared" si="1902"/>
        <v/>
      </c>
      <c r="E946" s="48" t="str">
        <f t="shared" si="1902"/>
        <v/>
      </c>
      <c r="F946" s="138" t="str">
        <f t="shared" si="1902"/>
        <v/>
      </c>
      <c r="G946" s="139" t="str">
        <f t="shared" si="1903"/>
        <v/>
      </c>
      <c r="H946" s="140"/>
      <c r="I946" s="140"/>
      <c r="J946" s="141"/>
      <c r="K946" s="139" t="str">
        <f t="shared" si="1904"/>
        <v/>
      </c>
      <c r="L946" s="140"/>
      <c r="M946" s="140"/>
      <c r="N946" s="141"/>
      <c r="O946" s="139" t="str">
        <f t="shared" si="1905"/>
        <v/>
      </c>
      <c r="P946" s="140"/>
      <c r="Q946" s="140"/>
      <c r="R946" s="141"/>
      <c r="S946" s="139" t="str">
        <f t="shared" si="1906"/>
        <v/>
      </c>
      <c r="T946" s="140"/>
      <c r="U946" s="140"/>
      <c r="V946" s="141"/>
      <c r="W946" s="139" t="str">
        <f t="shared" si="1907"/>
        <v/>
      </c>
      <c r="X946" s="140"/>
      <c r="Y946" s="140"/>
      <c r="Z946" s="141"/>
      <c r="AA946" s="139" t="str">
        <f t="shared" si="1908"/>
        <v/>
      </c>
      <c r="AB946" s="140"/>
      <c r="AC946" s="140"/>
      <c r="AD946" s="141"/>
      <c r="AE946" s="142">
        <f t="shared" si="1909"/>
        <v>0</v>
      </c>
      <c r="AF946" s="143">
        <f t="shared" si="1814"/>
        <v>0</v>
      </c>
      <c r="AG946" s="144">
        <f t="shared" si="1910"/>
        <v>0</v>
      </c>
      <c r="AH946" s="76" t="str">
        <f t="shared" si="1911"/>
        <v/>
      </c>
      <c r="AI946" s="143">
        <f> ( IF(ISNUMBER(G946), VLOOKUP(G946/$AH946,F!$A1:$B101,2,1)*G946*$H946*$I946,0)+IF(ISNUMBER(K946), VLOOKUP(K946/$AH946,F!$A1:$B101,2,1)*K946*$L946*$M946,0)+IF(ISNUMBER(O946), VLOOKUP(O946/$AH946,F!$A1:$B101,2,1)*O946*$P946*$Q946,0)+IF(ISNUMBER(S946), VLOOKUP(S946/$AH946,F!$A1:$B101,2,1)*S946*$T946*$U946,0)+IF(ISNUMBER(W946), VLOOKUP(W946/$AH946,F!$A1:$B101,2,1)*W946*$X946*$Y946,0)+IF(ISNUMBER(AA946), VLOOKUP(AA946/$AH946,F!$A1:$B101,2,1)*AA946*$AB946*$AC946,0))*IF(ISNUMBER(F946),F946,1)*IF(ISNUMBER(E946),E946,1)</f>
        <v>0</v>
      </c>
      <c r="AJ946" s="140">
        <f t="shared" si="1912"/>
        <v>0</v>
      </c>
      <c r="AK946" s="145">
        <f t="array" ref="AK946">IFERROR(I946*INDEX(F!$P$21:$AB$33, MATCH(G946/$AH946, F!$O$21:$O$33,1), MATCH(E946, F!$P$20:$AB$20,1)), 0 ) +IFERROR( M946*INDEX(F!$P$21:$AB$33, MATCH(K946/$AH946, F!$O$21:$O$33,1), MATCH(E946, F!$P$20:$AB$20,1)),0) +  IFERROR( Q946*INDEX(F!$P$21:$AB$33, MATCH(O946/$AH946, F!$O$21:$O$33,1), MATCH(E946, F!$P$20:$AB$20,1)), 0) + IFERROR( U946*INDEX(F!$P$21:$AB$33, MATCH(S946/$AH946, F!$O$21:$O$33,1), MATCH(E946, F!$P$20:$AB$20,1)),0)  + IFERROR(Y946*INDEX(F!$P$21:$AB$33, MATCH(W946/$AH946, F!$O$21:$O$33,1), MATCH(E946, F!$P$20:$AB$20,1)),0)  + IFERROR( AC946*INDEX(F!$P$21:$AB$33, MATCH(AA946/$AH946, F!$O$21:$O$33,1), MATCH(E946, F!$P$20:$AB$20,1)),)</f>
        <v>0</v>
      </c>
      <c r="AL946" s="59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 ht="15.75" hidden="1" customHeight="1">
      <c r="A947" s="59"/>
      <c r="B947" s="173" t="str">
        <f t="shared" ref="B947:F947" si="1913">IF(B891="","",B891)</f>
        <v/>
      </c>
      <c r="C947" s="174" t="str">
        <f t="shared" si="1913"/>
        <v/>
      </c>
      <c r="D947" s="175" t="str">
        <f t="shared" si="1913"/>
        <v/>
      </c>
      <c r="E947" s="48" t="str">
        <f t="shared" si="1913"/>
        <v/>
      </c>
      <c r="F947" s="176" t="str">
        <f t="shared" si="1913"/>
        <v/>
      </c>
      <c r="G947" s="177" t="str">
        <f t="shared" si="1903"/>
        <v/>
      </c>
      <c r="H947" s="178"/>
      <c r="I947" s="178"/>
      <c r="J947" s="179"/>
      <c r="K947" s="177" t="str">
        <f t="shared" si="1904"/>
        <v/>
      </c>
      <c r="L947" s="178"/>
      <c r="M947" s="178"/>
      <c r="N947" s="179"/>
      <c r="O947" s="177" t="str">
        <f t="shared" si="1905"/>
        <v/>
      </c>
      <c r="P947" s="178"/>
      <c r="Q947" s="178"/>
      <c r="R947" s="179"/>
      <c r="S947" s="177" t="str">
        <f t="shared" si="1906"/>
        <v/>
      </c>
      <c r="T947" s="178"/>
      <c r="U947" s="178"/>
      <c r="V947" s="179"/>
      <c r="W947" s="177" t="str">
        <f t="shared" si="1907"/>
        <v/>
      </c>
      <c r="X947" s="178"/>
      <c r="Y947" s="178"/>
      <c r="Z947" s="179"/>
      <c r="AA947" s="177" t="str">
        <f t="shared" si="1908"/>
        <v/>
      </c>
      <c r="AB947" s="178"/>
      <c r="AC947" s="178"/>
      <c r="AD947" s="179"/>
      <c r="AE947" s="180">
        <f t="shared" si="1909"/>
        <v>0</v>
      </c>
      <c r="AF947" s="181">
        <f t="shared" si="1814"/>
        <v>0</v>
      </c>
      <c r="AG947" s="182">
        <f t="shared" si="1910"/>
        <v>0</v>
      </c>
      <c r="AH947" s="76" t="str">
        <f t="shared" si="1911"/>
        <v/>
      </c>
      <c r="AI947" s="181">
        <f> ( IF(ISNUMBER(G947), VLOOKUP(G947/$AH947,F!$A1:$B101,2,1)*G947*$H947*$I947,0)+IF(ISNUMBER(K947), VLOOKUP(K947/$AH947,F!$A1:$B101,2,1)*K947*$L947*$M947,0)+IF(ISNUMBER(O947), VLOOKUP(O947/$AH947,F!$A1:$B101,2,1)*O947*$P947*$Q947,0)+IF(ISNUMBER(S947), VLOOKUP(S947/$AH947,F!$A1:$B101,2,1)*S947*$T947*$U947,0)+IF(ISNUMBER(W947), VLOOKUP(W947/$AH947,F!$A1:$B101,2,1)*W947*$X947*$Y947,0)+IF(ISNUMBER(AA947), VLOOKUP(AA947/$AH947,F!$A1:$B101,2,1)*AA947*$AB947*$AC947,0))*IF(ISNUMBER(F947),F947,1)*IF(ISNUMBER(E947),E947,1)</f>
        <v>0</v>
      </c>
      <c r="AJ947" s="178">
        <f t="shared" si="1912"/>
        <v>0</v>
      </c>
      <c r="AK947" s="183">
        <f t="array" ref="AK947">IFERROR(I947*INDEX(F!$P$21:$AB$33, MATCH(G947/$AH947, F!$O$21:$O$33,1), MATCH(E947, F!$P$20:$AB$20,1)), 0 ) +IFERROR( M947*INDEX(F!$P$21:$AB$33, MATCH(K947/$AH947, F!$O$21:$O$33,1), MATCH(E947, F!$P$20:$AB$20,1)),0) +  IFERROR( Q947*INDEX(F!$P$21:$AB$33, MATCH(O947/$AH947, F!$O$21:$O$33,1), MATCH(E947, F!$P$20:$AB$20,1)), 0) + IFERROR( U947*INDEX(F!$P$21:$AB$33, MATCH(S947/$AH947, F!$O$21:$O$33,1), MATCH(E947, F!$P$20:$AB$20,1)),0)  + IFERROR(Y947*INDEX(F!$P$21:$AB$33, MATCH(W947/$AH947, F!$O$21:$O$33,1), MATCH(E947, F!$P$20:$AB$20,1)),0)  + IFERROR( AC947*INDEX(F!$P$21:$AB$33, MATCH(AA947/$AH947, F!$O$21:$O$33,1), MATCH(E947, F!$P$20:$AB$20,1)),)</f>
        <v>0</v>
      </c>
      <c r="AL947" s="59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 ht="15.75" hidden="1" customHeight="1">
      <c r="A948" s="59"/>
      <c r="B948" s="135" t="str">
        <f t="shared" ref="B948:F948" si="1914">IF(B892="","",B892)</f>
        <v/>
      </c>
      <c r="C948" s="136" t="str">
        <f t="shared" si="1914"/>
        <v/>
      </c>
      <c r="D948" s="137" t="str">
        <f t="shared" si="1914"/>
        <v/>
      </c>
      <c r="E948" s="48" t="str">
        <f t="shared" si="1914"/>
        <v/>
      </c>
      <c r="F948" s="138" t="str">
        <f t="shared" si="1914"/>
        <v/>
      </c>
      <c r="G948" s="139" t="str">
        <f t="shared" si="1903"/>
        <v/>
      </c>
      <c r="H948" s="140"/>
      <c r="I948" s="140"/>
      <c r="J948" s="141"/>
      <c r="K948" s="139" t="str">
        <f t="shared" si="1904"/>
        <v/>
      </c>
      <c r="L948" s="140"/>
      <c r="M948" s="140"/>
      <c r="N948" s="141"/>
      <c r="O948" s="139" t="str">
        <f t="shared" si="1905"/>
        <v/>
      </c>
      <c r="P948" s="140"/>
      <c r="Q948" s="140"/>
      <c r="R948" s="141"/>
      <c r="S948" s="139" t="str">
        <f t="shared" si="1906"/>
        <v/>
      </c>
      <c r="T948" s="140"/>
      <c r="U948" s="140"/>
      <c r="V948" s="141"/>
      <c r="W948" s="139" t="str">
        <f t="shared" si="1907"/>
        <v/>
      </c>
      <c r="X948" s="140"/>
      <c r="Y948" s="140"/>
      <c r="Z948" s="141"/>
      <c r="AA948" s="139" t="str">
        <f t="shared" si="1908"/>
        <v/>
      </c>
      <c r="AB948" s="140"/>
      <c r="AC948" s="140"/>
      <c r="AD948" s="141"/>
      <c r="AE948" s="142">
        <f t="shared" si="1909"/>
        <v>0</v>
      </c>
      <c r="AF948" s="143">
        <f t="shared" si="1814"/>
        <v>0</v>
      </c>
      <c r="AG948" s="144">
        <f t="shared" si="1910"/>
        <v>0</v>
      </c>
      <c r="AH948" s="76" t="str">
        <f t="shared" si="1911"/>
        <v/>
      </c>
      <c r="AI948" s="143">
        <f> ( IF(ISNUMBER(G948), VLOOKUP(G948/$AH948,F!$A1:$B101,2,1)*G948*$H948*$I948,0)+IF(ISNUMBER(K948), VLOOKUP(K948/$AH948,F!$A1:$B101,2,1)*K948*$L948*$M948,0)+IF(ISNUMBER(O948), VLOOKUP(O948/$AH948,F!$A1:$B101,2,1)*O948*$P948*$Q948,0)+IF(ISNUMBER(S948), VLOOKUP(S948/$AH948,F!$A1:$B101,2,1)*S948*$T948*$U948,0)+IF(ISNUMBER(W948), VLOOKUP(W948/$AH948,F!$A1:$B101,2,1)*W948*$X948*$Y948,0)+IF(ISNUMBER(AA948), VLOOKUP(AA948/$AH948,F!$A1:$B101,2,1)*AA948*$AB948*$AC948,0))*IF(ISNUMBER(F948),F948,1)*IF(ISNUMBER(E948),E948,1)</f>
        <v>0</v>
      </c>
      <c r="AJ948" s="140">
        <f t="shared" si="1912"/>
        <v>0</v>
      </c>
      <c r="AK948" s="145">
        <f t="array" ref="AK948">IFERROR(I948*INDEX(F!$P$21:$AB$33, MATCH(G948/$AH948, F!$O$21:$O$33,1), MATCH(E948, F!$P$20:$AB$20,1)), 0 ) +IFERROR( M948*INDEX(F!$P$21:$AB$33, MATCH(K948/$AH948, F!$O$21:$O$33,1), MATCH(E948, F!$P$20:$AB$20,1)),0) +  IFERROR( Q948*INDEX(F!$P$21:$AB$33, MATCH(O948/$AH948, F!$O$21:$O$33,1), MATCH(E948, F!$P$20:$AB$20,1)), 0) + IFERROR( U948*INDEX(F!$P$21:$AB$33, MATCH(S948/$AH948, F!$O$21:$O$33,1), MATCH(E948, F!$P$20:$AB$20,1)),0)  + IFERROR(Y948*INDEX(F!$P$21:$AB$33, MATCH(W948/$AH948, F!$O$21:$O$33,1), MATCH(E948, F!$P$20:$AB$20,1)),0)  + IFERROR( AC948*INDEX(F!$P$21:$AB$33, MATCH(AA948/$AH948, F!$O$21:$O$33,1), MATCH(E948, F!$P$20:$AB$20,1)),)</f>
        <v>0</v>
      </c>
      <c r="AL948" s="59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 ht="15.75" hidden="1" customHeight="1">
      <c r="A949" s="59"/>
      <c r="B949" s="173" t="str">
        <f t="shared" ref="B949:F949" si="1915">IF(B893="","",B893)</f>
        <v/>
      </c>
      <c r="C949" s="174" t="str">
        <f t="shared" si="1915"/>
        <v/>
      </c>
      <c r="D949" s="175" t="str">
        <f t="shared" si="1915"/>
        <v/>
      </c>
      <c r="E949" s="48" t="str">
        <f t="shared" si="1915"/>
        <v/>
      </c>
      <c r="F949" s="176" t="str">
        <f t="shared" si="1915"/>
        <v/>
      </c>
      <c r="G949" s="177" t="str">
        <f t="shared" si="1903"/>
        <v/>
      </c>
      <c r="H949" s="178"/>
      <c r="I949" s="178"/>
      <c r="J949" s="179"/>
      <c r="K949" s="177" t="str">
        <f t="shared" si="1904"/>
        <v/>
      </c>
      <c r="L949" s="178"/>
      <c r="M949" s="178"/>
      <c r="N949" s="179"/>
      <c r="O949" s="177" t="str">
        <f t="shared" si="1905"/>
        <v/>
      </c>
      <c r="P949" s="178"/>
      <c r="Q949" s="178"/>
      <c r="R949" s="179"/>
      <c r="S949" s="177" t="str">
        <f t="shared" si="1906"/>
        <v/>
      </c>
      <c r="T949" s="178"/>
      <c r="U949" s="178"/>
      <c r="V949" s="179"/>
      <c r="W949" s="177" t="str">
        <f t="shared" si="1907"/>
        <v/>
      </c>
      <c r="X949" s="178"/>
      <c r="Y949" s="178"/>
      <c r="Z949" s="179"/>
      <c r="AA949" s="177" t="str">
        <f t="shared" si="1908"/>
        <v/>
      </c>
      <c r="AB949" s="178"/>
      <c r="AC949" s="178"/>
      <c r="AD949" s="179"/>
      <c r="AE949" s="180">
        <f t="shared" si="1909"/>
        <v>0</v>
      </c>
      <c r="AF949" s="181">
        <f t="shared" si="1814"/>
        <v>0</v>
      </c>
      <c r="AG949" s="182">
        <f t="shared" si="1910"/>
        <v>0</v>
      </c>
      <c r="AH949" s="76" t="str">
        <f t="shared" si="1911"/>
        <v/>
      </c>
      <c r="AI949" s="181">
        <f> ( IF(ISNUMBER(G949), VLOOKUP(G949/$AH949,F!$A1:$B101,2,1)*G949*$H949*$I949,0)+IF(ISNUMBER(K949), VLOOKUP(K949/$AH949,F!$A1:$B101,2,1)*K949*$L949*$M949,0)+IF(ISNUMBER(O949), VLOOKUP(O949/$AH949,F!$A1:$B101,2,1)*O949*$P949*$Q949,0)+IF(ISNUMBER(S949), VLOOKUP(S949/$AH949,F!$A1:$B101,2,1)*S949*$T949*$U949,0)+IF(ISNUMBER(W949), VLOOKUP(W949/$AH949,F!$A1:$B101,2,1)*W949*$X949*$Y949,0)+IF(ISNUMBER(AA949), VLOOKUP(AA949/$AH949,F!$A1:$B101,2,1)*AA949*$AB949*$AC949,0))*IF(ISNUMBER(F949),F949,1)*IF(ISNUMBER(E949),E949,1)</f>
        <v>0</v>
      </c>
      <c r="AJ949" s="178">
        <f t="shared" si="1912"/>
        <v>0</v>
      </c>
      <c r="AK949" s="183">
        <f t="array" ref="AK949">IFERROR(I949*INDEX(F!$P$21:$AB$33, MATCH(G949/$AH949, F!$O$21:$O$33,1), MATCH(E949, F!$P$20:$AB$20,1)), 0 ) +IFERROR( M949*INDEX(F!$P$21:$AB$33, MATCH(K949/$AH949, F!$O$21:$O$33,1), MATCH(E949, F!$P$20:$AB$20,1)),0) +  IFERROR( Q949*INDEX(F!$P$21:$AB$33, MATCH(O949/$AH949, F!$O$21:$O$33,1), MATCH(E949, F!$P$20:$AB$20,1)), 0) + IFERROR( U949*INDEX(F!$P$21:$AB$33, MATCH(S949/$AH949, F!$O$21:$O$33,1), MATCH(E949, F!$P$20:$AB$20,1)),0)  + IFERROR(Y949*INDEX(F!$P$21:$AB$33, MATCH(W949/$AH949, F!$O$21:$O$33,1), MATCH(E949, F!$P$20:$AB$20,1)),0)  + IFERROR( AC949*INDEX(F!$P$21:$AB$33, MATCH(AA949/$AH949, F!$O$21:$O$33,1), MATCH(E949, F!$P$20:$AB$20,1)),)</f>
        <v>0</v>
      </c>
      <c r="AL949" s="59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 ht="15.75" hidden="1" customHeight="1">
      <c r="A950" s="59"/>
      <c r="B950" s="135" t="str">
        <f t="shared" ref="B950:F950" si="1916">IF(B894="","",B894)</f>
        <v/>
      </c>
      <c r="C950" s="136" t="str">
        <f t="shared" si="1916"/>
        <v/>
      </c>
      <c r="D950" s="137" t="str">
        <f t="shared" si="1916"/>
        <v/>
      </c>
      <c r="E950" s="48" t="str">
        <f t="shared" si="1916"/>
        <v/>
      </c>
      <c r="F950" s="138" t="str">
        <f t="shared" si="1916"/>
        <v/>
      </c>
      <c r="G950" s="139" t="str">
        <f t="shared" si="1903"/>
        <v/>
      </c>
      <c r="H950" s="140"/>
      <c r="I950" s="140"/>
      <c r="J950" s="141"/>
      <c r="K950" s="139" t="str">
        <f t="shared" si="1904"/>
        <v/>
      </c>
      <c r="L950" s="140"/>
      <c r="M950" s="140"/>
      <c r="N950" s="141"/>
      <c r="O950" s="139" t="str">
        <f t="shared" si="1905"/>
        <v/>
      </c>
      <c r="P950" s="140"/>
      <c r="Q950" s="140"/>
      <c r="R950" s="141"/>
      <c r="S950" s="139" t="str">
        <f t="shared" si="1906"/>
        <v/>
      </c>
      <c r="T950" s="140"/>
      <c r="U950" s="140"/>
      <c r="V950" s="141"/>
      <c r="W950" s="139" t="str">
        <f t="shared" si="1907"/>
        <v/>
      </c>
      <c r="X950" s="140"/>
      <c r="Y950" s="140"/>
      <c r="Z950" s="141"/>
      <c r="AA950" s="139" t="str">
        <f t="shared" si="1908"/>
        <v/>
      </c>
      <c r="AB950" s="140"/>
      <c r="AC950" s="140"/>
      <c r="AD950" s="141"/>
      <c r="AE950" s="142">
        <f t="shared" si="1909"/>
        <v>0</v>
      </c>
      <c r="AF950" s="143">
        <f t="shared" si="1814"/>
        <v>0</v>
      </c>
      <c r="AG950" s="144">
        <f t="shared" si="1910"/>
        <v>0</v>
      </c>
      <c r="AH950" s="76" t="str">
        <f t="shared" si="1911"/>
        <v/>
      </c>
      <c r="AI950" s="143">
        <f> ( IF(ISNUMBER(G950), VLOOKUP(G950/$AH950,F!$A1:$B101,2,1)*G950*$H950*$I950,0)+IF(ISNUMBER(K950), VLOOKUP(K950/$AH950,F!$A1:$B101,2,1)*K950*$L950*$M950,0)+IF(ISNUMBER(O950), VLOOKUP(O950/$AH950,F!$A1:$B101,2,1)*O950*$P950*$Q950,0)+IF(ISNUMBER(S950), VLOOKUP(S950/$AH950,F!$A1:$B101,2,1)*S950*$T950*$U950,0)+IF(ISNUMBER(W950), VLOOKUP(W950/$AH950,F!$A1:$B101,2,1)*W950*$X950*$Y950,0)+IF(ISNUMBER(AA950), VLOOKUP(AA950/$AH950,F!$A1:$B101,2,1)*AA950*$AB950*$AC950,0))*IF(ISNUMBER(F950),F950,1)*IF(ISNUMBER(E950),E950,1)</f>
        <v>0</v>
      </c>
      <c r="AJ950" s="140">
        <f t="shared" si="1912"/>
        <v>0</v>
      </c>
      <c r="AK950" s="145">
        <f t="array" ref="AK950">IFERROR(I950*INDEX(F!$P$21:$AB$33, MATCH(G950/$AH950, F!$O$21:$O$33,1), MATCH(E950, F!$P$20:$AB$20,1)), 0 ) +IFERROR( M950*INDEX(F!$P$21:$AB$33, MATCH(K950/$AH950, F!$O$21:$O$33,1), MATCH(E950, F!$P$20:$AB$20,1)),0) +  IFERROR( Q950*INDEX(F!$P$21:$AB$33, MATCH(O950/$AH950, F!$O$21:$O$33,1), MATCH(E950, F!$P$20:$AB$20,1)), 0) + IFERROR( U950*INDEX(F!$P$21:$AB$33, MATCH(S950/$AH950, F!$O$21:$O$33,1), MATCH(E950, F!$P$20:$AB$20,1)),0)  + IFERROR(Y950*INDEX(F!$P$21:$AB$33, MATCH(W950/$AH950, F!$O$21:$O$33,1), MATCH(E950, F!$P$20:$AB$20,1)),0)  + IFERROR( AC950*INDEX(F!$P$21:$AB$33, MATCH(AA950/$AH950, F!$O$21:$O$33,1), MATCH(E950, F!$P$20:$AB$20,1)),)</f>
        <v>0</v>
      </c>
      <c r="AL950" s="59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 ht="15.75" hidden="1" customHeight="1">
      <c r="A951" s="59"/>
      <c r="B951" s="173" t="str">
        <f t="shared" ref="B951:F951" si="1917">IF(B895="","",B895)</f>
        <v/>
      </c>
      <c r="C951" s="174" t="str">
        <f t="shared" si="1917"/>
        <v/>
      </c>
      <c r="D951" s="175" t="str">
        <f t="shared" si="1917"/>
        <v/>
      </c>
      <c r="E951" s="48" t="str">
        <f t="shared" si="1917"/>
        <v/>
      </c>
      <c r="F951" s="176" t="str">
        <f t="shared" si="1917"/>
        <v/>
      </c>
      <c r="G951" s="177" t="str">
        <f t="shared" si="1903"/>
        <v/>
      </c>
      <c r="H951" s="178"/>
      <c r="I951" s="178"/>
      <c r="J951" s="179"/>
      <c r="K951" s="177" t="str">
        <f t="shared" si="1904"/>
        <v/>
      </c>
      <c r="L951" s="178"/>
      <c r="M951" s="178"/>
      <c r="N951" s="179"/>
      <c r="O951" s="177" t="str">
        <f t="shared" si="1905"/>
        <v/>
      </c>
      <c r="P951" s="178"/>
      <c r="Q951" s="178"/>
      <c r="R951" s="179"/>
      <c r="S951" s="177" t="str">
        <f t="shared" si="1906"/>
        <v/>
      </c>
      <c r="T951" s="178"/>
      <c r="U951" s="178"/>
      <c r="V951" s="179"/>
      <c r="W951" s="177" t="str">
        <f t="shared" si="1907"/>
        <v/>
      </c>
      <c r="X951" s="178"/>
      <c r="Y951" s="178"/>
      <c r="Z951" s="179"/>
      <c r="AA951" s="177" t="str">
        <f t="shared" si="1908"/>
        <v/>
      </c>
      <c r="AB951" s="178"/>
      <c r="AC951" s="178"/>
      <c r="AD951" s="179"/>
      <c r="AE951" s="180">
        <f t="shared" si="1909"/>
        <v>0</v>
      </c>
      <c r="AF951" s="181">
        <f t="shared" si="1814"/>
        <v>0</v>
      </c>
      <c r="AG951" s="182">
        <f t="shared" si="1910"/>
        <v>0</v>
      </c>
      <c r="AH951" s="76" t="str">
        <f t="shared" si="1911"/>
        <v/>
      </c>
      <c r="AI951" s="181">
        <f> ( IF(ISNUMBER(G951), VLOOKUP(G951/$AH951,F!$A1:$B101,2,1)*G951*$H951*$I951,0)+IF(ISNUMBER(K951), VLOOKUP(K951/$AH951,F!$A1:$B101,2,1)*K951*$L951*$M951,0)+IF(ISNUMBER(O951), VLOOKUP(O951/$AH951,F!$A1:$B101,2,1)*O951*$P951*$Q951,0)+IF(ISNUMBER(S951), VLOOKUP(S951/$AH951,F!$A1:$B101,2,1)*S951*$T951*$U951,0)+IF(ISNUMBER(W951), VLOOKUP(W951/$AH951,F!$A1:$B101,2,1)*W951*$X951*$Y951,0)+IF(ISNUMBER(AA951), VLOOKUP(AA951/$AH951,F!$A1:$B101,2,1)*AA951*$AB951*$AC951,0))*IF(ISNUMBER(F951),F951,1)*IF(ISNUMBER(E951),E951,1)</f>
        <v>0</v>
      </c>
      <c r="AJ951" s="178">
        <f t="shared" si="1912"/>
        <v>0</v>
      </c>
      <c r="AK951" s="183">
        <f t="array" ref="AK951">IFERROR(I951*INDEX(F!$P$21:$AB$33, MATCH(G951/$AH951, F!$O$21:$O$33,1), MATCH(E951, F!$P$20:$AB$20,1)), 0 ) +IFERROR( M951*INDEX(F!$P$21:$AB$33, MATCH(K951/$AH951, F!$O$21:$O$33,1), MATCH(E951, F!$P$20:$AB$20,1)),0) +  IFERROR( Q951*INDEX(F!$P$21:$AB$33, MATCH(O951/$AH951, F!$O$21:$O$33,1), MATCH(E951, F!$P$20:$AB$20,1)), 0) + IFERROR( U951*INDEX(F!$P$21:$AB$33, MATCH(S951/$AH951, F!$O$21:$O$33,1), MATCH(E951, F!$P$20:$AB$20,1)),0)  + IFERROR(Y951*INDEX(F!$P$21:$AB$33, MATCH(W951/$AH951, F!$O$21:$O$33,1), MATCH(E951, F!$P$20:$AB$20,1)),0)  + IFERROR( AC951*INDEX(F!$P$21:$AB$33, MATCH(AA951/$AH951, F!$O$21:$O$33,1), MATCH(E951, F!$P$20:$AB$20,1)),)</f>
        <v>0</v>
      </c>
      <c r="AL951" s="59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 ht="15.75" hidden="1" customHeight="1">
      <c r="A952" s="59"/>
      <c r="B952" s="135" t="str">
        <f t="shared" ref="B952:F952" si="1918">IF(B896="","",B896)</f>
        <v/>
      </c>
      <c r="C952" s="136" t="str">
        <f t="shared" si="1918"/>
        <v/>
      </c>
      <c r="D952" s="137" t="str">
        <f t="shared" si="1918"/>
        <v/>
      </c>
      <c r="E952" s="48" t="str">
        <f t="shared" si="1918"/>
        <v/>
      </c>
      <c r="F952" s="138" t="str">
        <f t="shared" si="1918"/>
        <v/>
      </c>
      <c r="G952" s="139" t="str">
        <f t="shared" si="1903"/>
        <v/>
      </c>
      <c r="H952" s="140"/>
      <c r="I952" s="140"/>
      <c r="J952" s="141"/>
      <c r="K952" s="139" t="str">
        <f t="shared" si="1904"/>
        <v/>
      </c>
      <c r="L952" s="140"/>
      <c r="M952" s="140"/>
      <c r="N952" s="141"/>
      <c r="O952" s="139" t="str">
        <f t="shared" si="1905"/>
        <v/>
      </c>
      <c r="P952" s="140"/>
      <c r="Q952" s="140"/>
      <c r="R952" s="141"/>
      <c r="S952" s="139" t="str">
        <f t="shared" si="1906"/>
        <v/>
      </c>
      <c r="T952" s="140"/>
      <c r="U952" s="140"/>
      <c r="V952" s="141"/>
      <c r="W952" s="139" t="str">
        <f t="shared" si="1907"/>
        <v/>
      </c>
      <c r="X952" s="140"/>
      <c r="Y952" s="140"/>
      <c r="Z952" s="141"/>
      <c r="AA952" s="139" t="str">
        <f t="shared" si="1908"/>
        <v/>
      </c>
      <c r="AB952" s="140"/>
      <c r="AC952" s="140"/>
      <c r="AD952" s="141"/>
      <c r="AE952" s="142">
        <f t="shared" si="1909"/>
        <v>0</v>
      </c>
      <c r="AF952" s="143">
        <f t="shared" si="1814"/>
        <v>0</v>
      </c>
      <c r="AG952" s="144">
        <f t="shared" si="1910"/>
        <v>0</v>
      </c>
      <c r="AH952" s="76" t="str">
        <f t="shared" si="1911"/>
        <v/>
      </c>
      <c r="AI952" s="143">
        <f> ( IF(ISNUMBER(G952), VLOOKUP(G952/$AH952,F!$A1:$B101,2,1)*G952*$H952*$I952,0)+IF(ISNUMBER(K952), VLOOKUP(K952/$AH952,F!$A1:$B101,2,1)*K952*$L952*$M952,0)+IF(ISNUMBER(O952), VLOOKUP(O952/$AH952,F!$A1:$B101,2,1)*O952*$P952*$Q952,0)+IF(ISNUMBER(S952), VLOOKUP(S952/$AH952,F!$A1:$B101,2,1)*S952*$T952*$U952,0)+IF(ISNUMBER(W952), VLOOKUP(W952/$AH952,F!$A1:$B101,2,1)*W952*$X952*$Y952,0)+IF(ISNUMBER(AA952), VLOOKUP(AA952/$AH952,F!$A1:$B101,2,1)*AA952*$AB952*$AC952,0))*IF(ISNUMBER(F952),F952,1)*IF(ISNUMBER(E952),E952,1)</f>
        <v>0</v>
      </c>
      <c r="AJ952" s="140">
        <f t="shared" si="1912"/>
        <v>0</v>
      </c>
      <c r="AK952" s="145">
        <f t="array" ref="AK952">IFERROR(I952*INDEX(F!$P$21:$AB$33, MATCH(G952/$AH952, F!$O$21:$O$33,1), MATCH(E952, F!$P$20:$AB$20,1)), 0 ) +IFERROR( M952*INDEX(F!$P$21:$AB$33, MATCH(K952/$AH952, F!$O$21:$O$33,1), MATCH(E952, F!$P$20:$AB$20,1)),0) +  IFERROR( Q952*INDEX(F!$P$21:$AB$33, MATCH(O952/$AH952, F!$O$21:$O$33,1), MATCH(E952, F!$P$20:$AB$20,1)), 0) + IFERROR( U952*INDEX(F!$P$21:$AB$33, MATCH(S952/$AH952, F!$O$21:$O$33,1), MATCH(E952, F!$P$20:$AB$20,1)),0)  + IFERROR(Y952*INDEX(F!$P$21:$AB$33, MATCH(W952/$AH952, F!$O$21:$O$33,1), MATCH(E952, F!$P$20:$AB$20,1)),0)  + IFERROR( AC952*INDEX(F!$P$21:$AB$33, MATCH(AA952/$AH952, F!$O$21:$O$33,1), MATCH(E952, F!$P$20:$AB$20,1)),)</f>
        <v>0</v>
      </c>
      <c r="AL952" s="59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 ht="15.75" hidden="1" customHeight="1">
      <c r="A953" s="98"/>
      <c r="B953" s="188"/>
      <c r="C953" s="189"/>
      <c r="D953" s="190"/>
      <c r="E953" s="102">
        <f>ROUND(IFERROR(SUMPRODUCT(AJ945:AJ952,E945:E952)/AJ953,0),3)</f>
        <v>0</v>
      </c>
      <c r="F953" s="191"/>
      <c r="G953" s="201"/>
      <c r="H953" s="193"/>
      <c r="I953" s="193"/>
      <c r="J953" s="194"/>
      <c r="K953" s="201"/>
      <c r="L953" s="193"/>
      <c r="M953" s="193"/>
      <c r="N953" s="194"/>
      <c r="O953" s="201"/>
      <c r="P953" s="193"/>
      <c r="Q953" s="193"/>
      <c r="R953" s="194"/>
      <c r="S953" s="201"/>
      <c r="T953" s="193"/>
      <c r="U953" s="193"/>
      <c r="V953" s="194"/>
      <c r="W953" s="201"/>
      <c r="X953" s="193"/>
      <c r="Y953" s="193"/>
      <c r="Z953" s="194"/>
      <c r="AA953" s="201"/>
      <c r="AB953" s="193"/>
      <c r="AC953" s="193"/>
      <c r="AD953" s="194"/>
      <c r="AE953" s="107">
        <f>SUM(AE945:AE952)</f>
        <v>0</v>
      </c>
      <c r="AF953" s="108">
        <f t="shared" si="1814"/>
        <v>0</v>
      </c>
      <c r="AG953" s="109">
        <f>IFERROR(  SUMPRODUCT(AG945:AG952,AJ945:AJ952)/AJ953,0)</f>
        <v>0</v>
      </c>
      <c r="AH953" s="157"/>
      <c r="AI953" s="111">
        <f t="shared" ref="AI953:AJ953" si="1919">SUM(AI945:AI952)</f>
        <v>0</v>
      </c>
      <c r="AJ953" s="111">
        <f t="shared" si="1919"/>
        <v>0</v>
      </c>
      <c r="AK953" s="112">
        <f>IF(SUM(AK945:AK952)=0,TIME(,0,),TIME(,SUM(AK945:AK952)+F!$V$37,))</f>
        <v>0</v>
      </c>
      <c r="AL953" s="98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 ht="15.75" hidden="1" customHeight="1">
      <c r="A954" s="204">
        <f>A898</f>
        <v>7</v>
      </c>
      <c r="B954" s="205"/>
      <c r="C954" s="205"/>
      <c r="D954" s="205"/>
      <c r="E954" s="7">
        <f>IF(AJ954=0,0,(E964*AJ964 + E973*AJ973 + E982*AJ982 + E991*AJ991 + E1000*AJ1000 + E1009*AJ1009   ) /AJ954 )</f>
        <v>0</v>
      </c>
      <c r="F954" s="206" t="s">
        <v>0</v>
      </c>
      <c r="G954" s="9"/>
      <c r="H954" s="9"/>
      <c r="I954" s="9"/>
      <c r="J954" s="9"/>
      <c r="K954" s="9"/>
      <c r="L954" s="9"/>
      <c r="M954" s="10"/>
      <c r="N954" s="221">
        <f>N898+1</f>
        <v>18</v>
      </c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  <c r="AA954" s="222"/>
      <c r="AB954" s="222"/>
      <c r="AC954" s="222"/>
      <c r="AD954" s="223"/>
      <c r="AE954" s="224">
        <f>AE964+AE973+AE982+AE991+AE1000+AE1009</f>
        <v>0</v>
      </c>
      <c r="AF954" s="225">
        <f t="shared" si="1814"/>
        <v>0</v>
      </c>
      <c r="AG954" s="226">
        <f>IF(AJ954=0,0,(AG964*AJ964 + AG973*AJ973 + AG982*AJ982 + AG991*AJ991 + AG1000*AJ1000 + AG1009*AJ1009   ) /AJ954 )</f>
        <v>0</v>
      </c>
      <c r="AH954" s="210">
        <f>AH898</f>
        <v>0.02</v>
      </c>
      <c r="AI954" s="224">
        <f t="shared" ref="AI954:AK954" si="1920">AI964+AI973+AI982+AI991+AI1000+AI1009</f>
        <v>0</v>
      </c>
      <c r="AJ954" s="224">
        <f t="shared" si="1920"/>
        <v>0</v>
      </c>
      <c r="AK954" s="227">
        <f t="shared" si="1920"/>
        <v>0</v>
      </c>
      <c r="AL954" s="212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 ht="15.75" hidden="1" customHeight="1">
      <c r="A955" s="19" t="s">
        <v>1</v>
      </c>
      <c r="B955" s="20" t="s">
        <v>2</v>
      </c>
      <c r="C955" s="20" t="s">
        <v>3</v>
      </c>
      <c r="D955" s="20" t="s">
        <v>4</v>
      </c>
      <c r="E955" s="20" t="s">
        <v>5</v>
      </c>
      <c r="F955" s="20" t="s">
        <v>6</v>
      </c>
      <c r="G955" s="20" t="s">
        <v>7</v>
      </c>
      <c r="H955" s="20" t="s">
        <v>8</v>
      </c>
      <c r="I955" s="20" t="s">
        <v>9</v>
      </c>
      <c r="J955" s="20" t="s">
        <v>10</v>
      </c>
      <c r="K955" s="20" t="s">
        <v>7</v>
      </c>
      <c r="L955" s="20" t="s">
        <v>8</v>
      </c>
      <c r="M955" s="20" t="s">
        <v>9</v>
      </c>
      <c r="N955" s="20" t="s">
        <v>10</v>
      </c>
      <c r="O955" s="20" t="s">
        <v>7</v>
      </c>
      <c r="P955" s="20" t="s">
        <v>8</v>
      </c>
      <c r="Q955" s="20" t="s">
        <v>9</v>
      </c>
      <c r="R955" s="20" t="s">
        <v>10</v>
      </c>
      <c r="S955" s="20" t="s">
        <v>7</v>
      </c>
      <c r="T955" s="20" t="s">
        <v>8</v>
      </c>
      <c r="U955" s="20" t="s">
        <v>9</v>
      </c>
      <c r="V955" s="20" t="s">
        <v>10</v>
      </c>
      <c r="W955" s="20" t="s">
        <v>7</v>
      </c>
      <c r="X955" s="20" t="s">
        <v>8</v>
      </c>
      <c r="Y955" s="20" t="s">
        <v>9</v>
      </c>
      <c r="Z955" s="20" t="s">
        <v>10</v>
      </c>
      <c r="AA955" s="20" t="s">
        <v>7</v>
      </c>
      <c r="AB955" s="20" t="s">
        <v>8</v>
      </c>
      <c r="AC955" s="20" t="s">
        <v>9</v>
      </c>
      <c r="AD955" s="21" t="s">
        <v>10</v>
      </c>
      <c r="AE955" s="20" t="s">
        <v>11</v>
      </c>
      <c r="AF955" s="20" t="s">
        <v>12</v>
      </c>
      <c r="AG955" s="20" t="s">
        <v>13</v>
      </c>
      <c r="AH955" s="213" t="s">
        <v>14</v>
      </c>
      <c r="AI955" s="23" t="s">
        <v>15</v>
      </c>
      <c r="AJ955" s="20" t="s">
        <v>16</v>
      </c>
      <c r="AK955" s="21" t="s">
        <v>17</v>
      </c>
      <c r="AL955" s="214" t="s">
        <v>18</v>
      </c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 ht="15.75" hidden="1" customHeight="1">
      <c r="A956" s="25">
        <f>A957</f>
        <v>43899</v>
      </c>
      <c r="B956" s="26" t="str">
        <f t="shared" ref="B956:F956" si="1921">IF(B900="","",B900)</f>
        <v>Средняя</v>
      </c>
      <c r="C956" s="27" t="str">
        <f t="shared" si="1921"/>
        <v>ПР</v>
      </c>
      <c r="D956" s="28" t="str">
        <f t="shared" si="1921"/>
        <v>Присед</v>
      </c>
      <c r="E956" s="29">
        <f t="shared" si="1921"/>
        <v>1.2</v>
      </c>
      <c r="F956" s="30" t="str">
        <f t="shared" si="1921"/>
        <v/>
      </c>
      <c r="G956" s="31" t="str">
        <f t="shared" ref="G956:G963" si="1923">IF(J956&lt;&gt;0, IFERROR(IF( $F956=2,  MROUND($AH956*J956,1),    IF( OR($F956="",$F956=1),   MROUND($AH956*J956,2.5),  MROUND($AH956*J956, 0.1))), "" ), "")</f>
        <v/>
      </c>
      <c r="H956" s="32"/>
      <c r="I956" s="32"/>
      <c r="J956" s="33"/>
      <c r="K956" s="31" t="str">
        <f t="shared" ref="K956:K963" si="1924">IF(N956&lt;&gt;0, IFERROR(IF( $F956=2,  MROUND($AH956*N956,1),    IF( OR($F956="",$F956=1),   MROUND($AH956*N956,2.5),  MROUND($AH956*N956, 0.1))), "" ), "")</f>
        <v/>
      </c>
      <c r="L956" s="32"/>
      <c r="M956" s="32"/>
      <c r="N956" s="33"/>
      <c r="O956" s="31" t="str">
        <f t="shared" ref="O956:O963" si="1925">IF(R956&lt;&gt;0, IFERROR(IF( $F956=2,  MROUND($AH956*R956,1),    IF( OR($F956="",$F956=1),   MROUND($AH956*R956,2.5),  MROUND($AH956*R956, 0.1))), "" ), "")</f>
        <v/>
      </c>
      <c r="P956" s="32"/>
      <c r="Q956" s="32"/>
      <c r="R956" s="33"/>
      <c r="S956" s="31" t="str">
        <f t="shared" ref="S956:S963" si="1926">IF(V956&lt;&gt;0, IFERROR(IF( $F956=2,  MROUND($AH956*V956,1),    IF( OR($F956="",$F956=1),   MROUND($AH956*V956,2.5),  MROUND($AH956*V956, 0.1))), "" ), "")</f>
        <v/>
      </c>
      <c r="T956" s="32"/>
      <c r="U956" s="32"/>
      <c r="V956" s="33"/>
      <c r="W956" s="31" t="str">
        <f t="shared" ref="W956:W963" si="1927">IF(Z956&lt;&gt;0, IFERROR(IF( $F956=2,  MROUND($AH956*Z956,1),    IF( OR($F956="",$F956=1),   MROUND($AH956*Z956,2.5),  MROUND($AH956*Z956, 0.1))), "" ), "")</f>
        <v/>
      </c>
      <c r="X956" s="32"/>
      <c r="Y956" s="32"/>
      <c r="Z956" s="33"/>
      <c r="AA956" s="31" t="str">
        <f t="shared" ref="AA956:AA963" si="1928">IF(AD956&lt;&gt;0, IFERROR(IF( $F956=2,  MROUND($AH956*AD956,1),    IF( OR($F956="",$F956=1),   MROUND($AH956*AD956,2.5),  MROUND($AH956*AD956, 0.1))), "" ), "")</f>
        <v/>
      </c>
      <c r="AB956" s="32"/>
      <c r="AC956" s="32"/>
      <c r="AD956" s="33"/>
      <c r="AE956" s="35">
        <f t="shared" ref="AE956:AE963" si="1929">(IF(ISNUMBER(G956),G956,0)*H956*I956+IF(ISNUMBER(K956),K956,1)*L956*M956+IF(ISNUMBER(O956),O956,1)*P956*Q956+IF(ISNUMBER(S956),S956,1)*T956*U956+IF(ISNUMBER(W956),W956,1)*X956*Y956+IF(ISNUMBER(AA956),AA956,1)*AB956*AC956)*IF(ISNUMBER(F956),F956,1)</f>
        <v>0</v>
      </c>
      <c r="AF956" s="36">
        <f t="shared" ref="AF956:AF1010" si="1930">IFERROR(AE956/AJ956,0)</f>
        <v>0</v>
      </c>
      <c r="AG956" s="195">
        <f t="shared" ref="AG956:AG963" si="1931">IFERROR((AF956/(AH956*IF(ISNUMBER(F956),F956,1))),0)</f>
        <v>0</v>
      </c>
      <c r="AH956" s="169">
        <f t="shared" ref="AH956:AH963" si="1932">IF(ISNUMBER(AH900), AH900+(AH900*$AH$954),"")</f>
        <v>189.0325916</v>
      </c>
      <c r="AI956" s="70">
        <f> ( IF(ISNUMBER(G956), VLOOKUP(G956/$AH956,F!$A1:$B101,2,1)*G956*$H956*$I956,0)+IF(ISNUMBER(K956), VLOOKUP(K956/$AH956,F!$A1:$B101,2,1)*K956*$L956*$M956,0)+IF(ISNUMBER(O956), VLOOKUP(O956/$AH956,F!$A1:$B101,2,1)*O956*$P956*$Q956,0)+IF(ISNUMBER(S956), VLOOKUP(S956/$AH956,F!$A1:$B101,2,1)*S956*$T956*$U956,0)+IF(ISNUMBER(W956), VLOOKUP(W956/$AH956,F!$A1:$B101,2,1)*W956*$X956*$Y956,0)+IF(ISNUMBER(AA956), VLOOKUP(AA956/$AH956,F!$A1:$B101,2,1)*AA956*$AB956*$AC956,0))*IF(ISNUMBER(F956),F956,1)*IF(ISNUMBER(E956),E956,1)</f>
        <v>0</v>
      </c>
      <c r="AJ956" s="40">
        <f t="shared" ref="AJ956:AJ963" si="1933">H956*I956+L956*M956+P956*Q956+T956*U956+X956*Y956+AB956*AC956</f>
        <v>0</v>
      </c>
      <c r="AK956" s="41">
        <f t="array" ref="AK956">IFERROR(I956*INDEX(F!$P$21:$AB$33, MATCH(G956/$AH956, F!$O$21:$O$33,1), MATCH(E956, F!$P$20:$AB$20,1)), 0 ) +IFERROR( M956*INDEX(F!$P$21:$AB$33, MATCH(K956/$AH956, F!$O$21:$O$33,1), MATCH(E956, F!$P$20:$AB$20,1)),0) +  IFERROR( Q956*INDEX(F!$P$21:$AB$33, MATCH(O956/$AH956, F!$O$21:$O$33,1), MATCH(E956, F!$P$20:$AB$20,1)), 0) + IFERROR( U956*INDEX(F!$P$21:$AB$33, MATCH(S956/$AH956, F!$O$21:$O$33,1), MATCH(E956, F!$P$20:$AB$20,1)),0)  + IFERROR(Y956*INDEX(F!$P$21:$AB$33, MATCH(W956/$AH956, F!$O$21:$O$33,1), MATCH(E956, F!$P$20:$AB$20,1)),0)  + IFERROR( AC956*INDEX(F!$P$21:$AB$33, MATCH(AA956/$AH956, F!$O$21:$O$33,1), MATCH(E956, F!$P$20:$AB$20,1)),)</f>
        <v>0</v>
      </c>
      <c r="AL956" s="42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 ht="15.75" hidden="1" customHeight="1">
      <c r="A957" s="44">
        <f>A901+A898</f>
        <v>43899</v>
      </c>
      <c r="B957" s="45" t="str">
        <f t="shared" ref="B957:F957" si="1922">IF(B901="","",B901)</f>
        <v>Средняя</v>
      </c>
      <c r="C957" s="46" t="str">
        <f t="shared" si="1922"/>
        <v>ЖМ</v>
      </c>
      <c r="D957" s="47" t="str">
        <f t="shared" si="1922"/>
        <v>Жим лежа</v>
      </c>
      <c r="E957" s="48">
        <f t="shared" si="1922"/>
        <v>1</v>
      </c>
      <c r="F957" s="49" t="str">
        <f t="shared" si="1922"/>
        <v/>
      </c>
      <c r="G957" s="50" t="str">
        <f t="shared" si="1923"/>
        <v/>
      </c>
      <c r="H957" s="51"/>
      <c r="I957" s="51"/>
      <c r="J957" s="52"/>
      <c r="K957" s="50" t="str">
        <f t="shared" si="1924"/>
        <v/>
      </c>
      <c r="L957" s="51"/>
      <c r="M957" s="51"/>
      <c r="N957" s="52"/>
      <c r="O957" s="50" t="str">
        <f t="shared" si="1925"/>
        <v/>
      </c>
      <c r="P957" s="51"/>
      <c r="Q957" s="51"/>
      <c r="R957" s="52"/>
      <c r="S957" s="50" t="str">
        <f t="shared" si="1926"/>
        <v/>
      </c>
      <c r="T957" s="51"/>
      <c r="U957" s="51"/>
      <c r="V957" s="52"/>
      <c r="W957" s="50" t="str">
        <f t="shared" si="1927"/>
        <v/>
      </c>
      <c r="X957" s="51"/>
      <c r="Y957" s="51"/>
      <c r="Z957" s="52"/>
      <c r="AA957" s="50" t="str">
        <f t="shared" si="1928"/>
        <v/>
      </c>
      <c r="AB957" s="51"/>
      <c r="AC957" s="51"/>
      <c r="AD957" s="52"/>
      <c r="AE957" s="53">
        <f t="shared" si="1929"/>
        <v>0</v>
      </c>
      <c r="AF957" s="54">
        <f t="shared" si="1930"/>
        <v>0</v>
      </c>
      <c r="AG957" s="75">
        <f t="shared" si="1931"/>
        <v>0</v>
      </c>
      <c r="AH957" s="76">
        <f t="shared" si="1932"/>
        <v>133.0229348</v>
      </c>
      <c r="AI957" s="77">
        <f> ( IF(ISNUMBER(G957), VLOOKUP(G957/$AH957,F!$A1:$B101,2,1)*G957*$H957*$I957,0)+IF(ISNUMBER(K957), VLOOKUP(K957/$AH957,F!$A1:$B101,2,1)*K957*$L957*$M957,0)+IF(ISNUMBER(O957), VLOOKUP(O957/$AH957,F!$A1:$B101,2,1)*O957*$P957*$Q957,0)+IF(ISNUMBER(S957), VLOOKUP(S957/$AH957,F!$A1:$B101,2,1)*S957*$T957*$U957,0)+IF(ISNUMBER(W957), VLOOKUP(W957/$AH957,F!$A1:$B101,2,1)*W957*$X957*$Y957,0)+IF(ISNUMBER(AA957), VLOOKUP(AA957/$AH957,F!$A1:$B101,2,1)*AA957*$AB957*$AC957,0))*IF(ISNUMBER(F957),F957,1)*IF(ISNUMBER(E957),E957,1)</f>
        <v>0</v>
      </c>
      <c r="AJ957" s="57">
        <f t="shared" si="1933"/>
        <v>0</v>
      </c>
      <c r="AK957" s="58">
        <f t="array" ref="AK957">IFERROR(I957*INDEX(F!$P$21:$AB$33, MATCH(G957/$AH957, F!$O$21:$O$33,1), MATCH(E957, F!$P$20:$AB$20,1)), 0 ) +IFERROR( M957*INDEX(F!$P$21:$AB$33, MATCH(K957/$AH957, F!$O$21:$O$33,1), MATCH(E957, F!$P$20:$AB$20,1)),0) +  IFERROR( Q957*INDEX(F!$P$21:$AB$33, MATCH(O957/$AH957, F!$O$21:$O$33,1), MATCH(E957, F!$P$20:$AB$20,1)), 0) + IFERROR( U957*INDEX(F!$P$21:$AB$33, MATCH(S957/$AH957, F!$O$21:$O$33,1), MATCH(E957, F!$P$20:$AB$20,1)),0)  + IFERROR(Y957*INDEX(F!$P$21:$AB$33, MATCH(W957/$AH957, F!$O$21:$O$33,1), MATCH(E957, F!$P$20:$AB$20,1)),0)  + IFERROR( AC957*INDEX(F!$P$21:$AB$33, MATCH(AA957/$AH957, F!$O$21:$O$33,1), MATCH(E957, F!$P$20:$AB$20,1)),)</f>
        <v>0</v>
      </c>
      <c r="AL957" s="59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 ht="15.75" hidden="1" customHeight="1">
      <c r="A958" s="59"/>
      <c r="B958" s="60" t="str">
        <f t="shared" ref="B958:F958" si="1934">IF(B902="","",B902)</f>
        <v>Тяжелая</v>
      </c>
      <c r="C958" s="61" t="str">
        <f t="shared" si="1934"/>
        <v>ПР</v>
      </c>
      <c r="D958" s="62" t="str">
        <f t="shared" si="1934"/>
        <v>Присед</v>
      </c>
      <c r="E958" s="48">
        <f t="shared" si="1934"/>
        <v>1.2</v>
      </c>
      <c r="F958" s="63" t="str">
        <f t="shared" si="1934"/>
        <v/>
      </c>
      <c r="G958" s="64" t="str">
        <f t="shared" si="1923"/>
        <v/>
      </c>
      <c r="H958" s="34"/>
      <c r="I958" s="34"/>
      <c r="J958" s="65"/>
      <c r="K958" s="64" t="str">
        <f t="shared" si="1924"/>
        <v/>
      </c>
      <c r="L958" s="34"/>
      <c r="M958" s="34"/>
      <c r="N958" s="65"/>
      <c r="O958" s="64" t="str">
        <f t="shared" si="1925"/>
        <v/>
      </c>
      <c r="P958" s="34"/>
      <c r="Q958" s="34"/>
      <c r="R958" s="65"/>
      <c r="S958" s="64" t="str">
        <f t="shared" si="1926"/>
        <v/>
      </c>
      <c r="T958" s="34"/>
      <c r="U958" s="34"/>
      <c r="V958" s="65"/>
      <c r="W958" s="64" t="str">
        <f t="shared" si="1927"/>
        <v/>
      </c>
      <c r="X958" s="34"/>
      <c r="Y958" s="34"/>
      <c r="Z958" s="65"/>
      <c r="AA958" s="64" t="str">
        <f t="shared" si="1928"/>
        <v/>
      </c>
      <c r="AB958" s="34"/>
      <c r="AC958" s="34"/>
      <c r="AD958" s="65"/>
      <c r="AE958" s="66">
        <f t="shared" si="1929"/>
        <v>0</v>
      </c>
      <c r="AF958" s="67">
        <f t="shared" si="1930"/>
        <v>0</v>
      </c>
      <c r="AG958" s="68">
        <f t="shared" si="1931"/>
        <v>0</v>
      </c>
      <c r="AH958" s="76">
        <f t="shared" si="1932"/>
        <v>189.0325916</v>
      </c>
      <c r="AI958" s="70">
        <f> ( IF(ISNUMBER(G958), VLOOKUP(G958/$AH958,F!$A1:$B101,2,1)*G958*$H958*$I958,0)+IF(ISNUMBER(K958), VLOOKUP(K958/$AH958,F!$A1:$B101,2,1)*K958*$L958*$M958,0)+IF(ISNUMBER(O958), VLOOKUP(O958/$AH958,F!$A1:$B101,2,1)*O958*$P958*$Q958,0)+IF(ISNUMBER(S958), VLOOKUP(S958/$AH958,F!$A1:$B101,2,1)*S958*$T958*$U958,0)+IF(ISNUMBER(W958), VLOOKUP(W958/$AH958,F!$A1:$B101,2,1)*W958*$X958*$Y958,0)+IF(ISNUMBER(AA958), VLOOKUP(AA958/$AH958,F!$A1:$B101,2,1)*AA958*$AB958*$AC958,0))*IF(ISNUMBER(F958),F958,1)*IF(ISNUMBER(E958),E958,1)</f>
        <v>0</v>
      </c>
      <c r="AJ958" s="71">
        <f t="shared" si="1933"/>
        <v>0</v>
      </c>
      <c r="AK958" s="72">
        <f t="array" ref="AK958">IFERROR(I958*INDEX(F!$P$21:$AB$33, MATCH(G958/$AH958, F!$O$21:$O$33,1), MATCH(E958, F!$P$20:$AB$20,1)), 0 ) +IFERROR( M958*INDEX(F!$P$21:$AB$33, MATCH(K958/$AH958, F!$O$21:$O$33,1), MATCH(E958, F!$P$20:$AB$20,1)),0) +  IFERROR( Q958*INDEX(F!$P$21:$AB$33, MATCH(O958/$AH958, F!$O$21:$O$33,1), MATCH(E958, F!$P$20:$AB$20,1)), 0) + IFERROR( U958*INDEX(F!$P$21:$AB$33, MATCH(S958/$AH958, F!$O$21:$O$33,1), MATCH(E958, F!$P$20:$AB$20,1)),0)  + IFERROR(Y958*INDEX(F!$P$21:$AB$33, MATCH(W958/$AH958, F!$O$21:$O$33,1), MATCH(E958, F!$P$20:$AB$20,1)),0)  + IFERROR( AC958*INDEX(F!$P$21:$AB$33, MATCH(AA958/$AH958, F!$O$21:$O$33,1), MATCH(E958, F!$P$20:$AB$20,1)),)</f>
        <v>0</v>
      </c>
      <c r="AL958" s="59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 ht="15.75" hidden="1" customHeight="1">
      <c r="A959" s="59"/>
      <c r="B959" s="215" t="str">
        <f t="shared" ref="B959:F959" si="1935">IF(B903="","",B903)</f>
        <v>Средняя</v>
      </c>
      <c r="C959" s="73" t="str">
        <f t="shared" si="1935"/>
        <v>ЖМ</v>
      </c>
      <c r="D959" s="47" t="str">
        <f t="shared" si="1935"/>
        <v>Жим гантелей</v>
      </c>
      <c r="E959" s="48">
        <f t="shared" si="1935"/>
        <v>1</v>
      </c>
      <c r="F959" s="74">
        <f t="shared" si="1935"/>
        <v>2</v>
      </c>
      <c r="G959" s="50" t="str">
        <f t="shared" si="1923"/>
        <v/>
      </c>
      <c r="H959" s="51"/>
      <c r="I959" s="51"/>
      <c r="J959" s="52"/>
      <c r="K959" s="50" t="str">
        <f t="shared" si="1924"/>
        <v/>
      </c>
      <c r="L959" s="51"/>
      <c r="M959" s="51"/>
      <c r="N959" s="52"/>
      <c r="O959" s="50" t="str">
        <f t="shared" si="1925"/>
        <v/>
      </c>
      <c r="P959" s="51"/>
      <c r="Q959" s="51"/>
      <c r="R959" s="52"/>
      <c r="S959" s="50" t="str">
        <f t="shared" si="1926"/>
        <v/>
      </c>
      <c r="T959" s="51"/>
      <c r="U959" s="51"/>
      <c r="V959" s="52"/>
      <c r="W959" s="50" t="str">
        <f t="shared" si="1927"/>
        <v/>
      </c>
      <c r="X959" s="51"/>
      <c r="Y959" s="51"/>
      <c r="Z959" s="52"/>
      <c r="AA959" s="50" t="str">
        <f t="shared" si="1928"/>
        <v/>
      </c>
      <c r="AB959" s="51"/>
      <c r="AC959" s="51"/>
      <c r="AD959" s="52"/>
      <c r="AE959" s="53">
        <f t="shared" si="1929"/>
        <v>0</v>
      </c>
      <c r="AF959" s="54">
        <f t="shared" si="1930"/>
        <v>0</v>
      </c>
      <c r="AG959" s="75">
        <f t="shared" si="1931"/>
        <v>0</v>
      </c>
      <c r="AH959" s="76">
        <f t="shared" si="1932"/>
        <v>42.56733914</v>
      </c>
      <c r="AI959" s="77">
        <f> ( IF(ISNUMBER(G959), VLOOKUP(G959/$AH959,F!$A1:$B101,2,1)*G959*$H959*$I959,0)+IF(ISNUMBER(K959), VLOOKUP(K959/$AH959,F!$A1:$B101,2,1)*K959*$L959*$M959,0)+IF(ISNUMBER(O959), VLOOKUP(O959/$AH959,F!$A1:$B101,2,1)*O959*$P959*$Q959,0)+IF(ISNUMBER(S959), VLOOKUP(S959/$AH959,F!$A1:$B101,2,1)*S959*$T959*$U959,0)+IF(ISNUMBER(W959), VLOOKUP(W959/$AH959,F!$A1:$B101,2,1)*W959*$X959*$Y959,0)+IF(ISNUMBER(AA959), VLOOKUP(AA959/$AH959,F!$A1:$B101,2,1)*AA959*$AB959*$AC959,0))*IF(ISNUMBER(F959),F959,1)*IF(ISNUMBER(E959),E959,1)</f>
        <v>0</v>
      </c>
      <c r="AJ959" s="57">
        <f t="shared" si="1933"/>
        <v>0</v>
      </c>
      <c r="AK959" s="58">
        <f t="array" ref="AK959">IFERROR(I959*INDEX(F!$P$21:$AB$33, MATCH(G959/$AH959, F!$O$21:$O$33,1), MATCH(E959, F!$P$20:$AB$20,1)), 0 ) +IFERROR( M959*INDEX(F!$P$21:$AB$33, MATCH(K959/$AH959, F!$O$21:$O$33,1), MATCH(E959, F!$P$20:$AB$20,1)),0) +  IFERROR( Q959*INDEX(F!$P$21:$AB$33, MATCH(O959/$AH959, F!$O$21:$O$33,1), MATCH(E959, F!$P$20:$AB$20,1)), 0) + IFERROR( U959*INDEX(F!$P$21:$AB$33, MATCH(S959/$AH959, F!$O$21:$O$33,1), MATCH(E959, F!$P$20:$AB$20,1)),0)  + IFERROR(Y959*INDEX(F!$P$21:$AB$33, MATCH(W959/$AH959, F!$O$21:$O$33,1), MATCH(E959, F!$P$20:$AB$20,1)),0)  + IFERROR( AC959*INDEX(F!$P$21:$AB$33, MATCH(AA959/$AH959, F!$O$21:$O$33,1), MATCH(E959, F!$P$20:$AB$20,1)),)</f>
        <v>0</v>
      </c>
      <c r="AL959" s="59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 ht="15.75" hidden="1" customHeight="1">
      <c r="A960" s="59"/>
      <c r="B960" s="216" t="str">
        <f t="shared" ref="B960:F960" si="1936">IF(B904="","",B904)</f>
        <v>Средняя</v>
      </c>
      <c r="C960" s="78" t="str">
        <f t="shared" si="1936"/>
        <v>ОФП</v>
      </c>
      <c r="D960" s="62" t="str">
        <f t="shared" si="1936"/>
        <v>Французский жим</v>
      </c>
      <c r="E960" s="48">
        <f t="shared" si="1936"/>
        <v>0.4</v>
      </c>
      <c r="F960" s="79" t="str">
        <f t="shared" si="1936"/>
        <v/>
      </c>
      <c r="G960" s="64" t="str">
        <f t="shared" si="1923"/>
        <v/>
      </c>
      <c r="H960" s="34"/>
      <c r="I960" s="34"/>
      <c r="J960" s="65"/>
      <c r="K960" s="64" t="str">
        <f t="shared" si="1924"/>
        <v/>
      </c>
      <c r="L960" s="34"/>
      <c r="M960" s="34"/>
      <c r="N960" s="65"/>
      <c r="O960" s="64" t="str">
        <f t="shared" si="1925"/>
        <v/>
      </c>
      <c r="P960" s="34"/>
      <c r="Q960" s="34"/>
      <c r="R960" s="65"/>
      <c r="S960" s="64" t="str">
        <f t="shared" si="1926"/>
        <v/>
      </c>
      <c r="T960" s="34"/>
      <c r="U960" s="34"/>
      <c r="V960" s="65"/>
      <c r="W960" s="64" t="str">
        <f t="shared" si="1927"/>
        <v/>
      </c>
      <c r="X960" s="34"/>
      <c r="Y960" s="34"/>
      <c r="Z960" s="65"/>
      <c r="AA960" s="64" t="str">
        <f t="shared" si="1928"/>
        <v/>
      </c>
      <c r="AB960" s="34"/>
      <c r="AC960" s="34"/>
      <c r="AD960" s="65"/>
      <c r="AE960" s="66">
        <f t="shared" si="1929"/>
        <v>0</v>
      </c>
      <c r="AF960" s="67">
        <f t="shared" si="1930"/>
        <v>0</v>
      </c>
      <c r="AG960" s="68">
        <f t="shared" si="1931"/>
        <v>0</v>
      </c>
      <c r="AH960" s="76">
        <f t="shared" si="1932"/>
        <v>61.19055002</v>
      </c>
      <c r="AI960" s="70">
        <f> ( IF(ISNUMBER(G960), VLOOKUP(G960/$AH960,F!$A1:$B101,2,1)*G960*$H960*$I960,0)+IF(ISNUMBER(K960), VLOOKUP(K960/$AH960,F!$A1:$B101,2,1)*K960*$L960*$M960,0)+IF(ISNUMBER(O960), VLOOKUP(O960/$AH960,F!$A1:$B101,2,1)*O960*$P960*$Q960,0)+IF(ISNUMBER(S960), VLOOKUP(S960/$AH960,F!$A1:$B101,2,1)*S960*$T960*$U960,0)+IF(ISNUMBER(W960), VLOOKUP(W960/$AH960,F!$A1:$B101,2,1)*W960*$X960*$Y960,0)+IF(ISNUMBER(AA960), VLOOKUP(AA960/$AH960,F!$A1:$B101,2,1)*AA960*$AB960*$AC960,0))*IF(ISNUMBER(F960),F960,1)*IF(ISNUMBER(E960),E960,1)</f>
        <v>0</v>
      </c>
      <c r="AJ960" s="71">
        <f t="shared" si="1933"/>
        <v>0</v>
      </c>
      <c r="AK960" s="72">
        <f t="array" ref="AK960">IFERROR(I960*INDEX(F!$P$21:$AB$33, MATCH(G960/$AH960, F!$O$21:$O$33,1), MATCH(E960, F!$P$20:$AB$20,1)), 0 ) +IFERROR( M960*INDEX(F!$P$21:$AB$33, MATCH(K960/$AH960, F!$O$21:$O$33,1), MATCH(E960, F!$P$20:$AB$20,1)),0) +  IFERROR( Q960*INDEX(F!$P$21:$AB$33, MATCH(O960/$AH960, F!$O$21:$O$33,1), MATCH(E960, F!$P$20:$AB$20,1)), 0) + IFERROR( U960*INDEX(F!$P$21:$AB$33, MATCH(S960/$AH960, F!$O$21:$O$33,1), MATCH(E960, F!$P$20:$AB$20,1)),0)  + IFERROR(Y960*INDEX(F!$P$21:$AB$33, MATCH(W960/$AH960, F!$O$21:$O$33,1), MATCH(E960, F!$P$20:$AB$20,1)),0)  + IFERROR( AC960*INDEX(F!$P$21:$AB$33, MATCH(AA960/$AH960, F!$O$21:$O$33,1), MATCH(E960, F!$P$20:$AB$20,1)),)</f>
        <v>0</v>
      </c>
      <c r="AL960" s="59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 ht="15.75" hidden="1" customHeight="1">
      <c r="A961" s="59"/>
      <c r="B961" s="45" t="str">
        <f t="shared" ref="B961:F961" si="1937">IF(B905="","",B905)</f>
        <v/>
      </c>
      <c r="C961" s="46" t="str">
        <f t="shared" si="1937"/>
        <v/>
      </c>
      <c r="D961" s="197" t="str">
        <f t="shared" si="1937"/>
        <v/>
      </c>
      <c r="E961" s="48" t="str">
        <f t="shared" si="1937"/>
        <v/>
      </c>
      <c r="F961" s="83" t="str">
        <f t="shared" si="1937"/>
        <v/>
      </c>
      <c r="G961" s="50" t="str">
        <f t="shared" si="1923"/>
        <v/>
      </c>
      <c r="H961" s="51"/>
      <c r="I961" s="51"/>
      <c r="J961" s="52"/>
      <c r="K961" s="50" t="str">
        <f t="shared" si="1924"/>
        <v/>
      </c>
      <c r="L961" s="51"/>
      <c r="M961" s="51"/>
      <c r="N961" s="52"/>
      <c r="O961" s="50" t="str">
        <f t="shared" si="1925"/>
        <v/>
      </c>
      <c r="P961" s="51"/>
      <c r="Q961" s="51"/>
      <c r="R961" s="52"/>
      <c r="S961" s="50" t="str">
        <f t="shared" si="1926"/>
        <v/>
      </c>
      <c r="T961" s="51"/>
      <c r="U961" s="51"/>
      <c r="V961" s="52"/>
      <c r="W961" s="50" t="str">
        <f t="shared" si="1927"/>
        <v/>
      </c>
      <c r="X961" s="51"/>
      <c r="Y961" s="51"/>
      <c r="Z961" s="52"/>
      <c r="AA961" s="50" t="str">
        <f t="shared" si="1928"/>
        <v/>
      </c>
      <c r="AB961" s="51"/>
      <c r="AC961" s="51"/>
      <c r="AD961" s="52"/>
      <c r="AE961" s="53">
        <f t="shared" si="1929"/>
        <v>0</v>
      </c>
      <c r="AF961" s="54">
        <f t="shared" si="1930"/>
        <v>0</v>
      </c>
      <c r="AG961" s="75">
        <f t="shared" si="1931"/>
        <v>0</v>
      </c>
      <c r="AH961" s="76" t="str">
        <f t="shared" si="1932"/>
        <v/>
      </c>
      <c r="AI961" s="77">
        <f> ( IF(ISNUMBER(G961), VLOOKUP(G961/$AH961,F!$A1:$B101,2,1)*G961*$H961*$I961,0)+IF(ISNUMBER(K961), VLOOKUP(K961/$AH961,F!$A1:$B101,2,1)*K961*$L961*$M961,0)+IF(ISNUMBER(O961), VLOOKUP(O961/$AH961,F!$A1:$B101,2,1)*O961*$P961*$Q961,0)+IF(ISNUMBER(S961), VLOOKUP(S961/$AH961,F!$A1:$B101,2,1)*S961*$T961*$U961,0)+IF(ISNUMBER(W961), VLOOKUP(W961/$AH961,F!$A1:$B101,2,1)*W961*$X961*$Y961,0)+IF(ISNUMBER(AA961), VLOOKUP(AA961/$AH961,F!$A1:$B101,2,1)*AA961*$AB961*$AC961,0))*IF(ISNUMBER(F961),F961,1)*IF(ISNUMBER(E961),E961,1)</f>
        <v>0</v>
      </c>
      <c r="AJ961" s="86">
        <f t="shared" si="1933"/>
        <v>0</v>
      </c>
      <c r="AK961" s="58">
        <f t="array" ref="AK961">IFERROR(I961*INDEX(F!$P$21:$AB$33, MATCH(G961/$AH961, F!$O$21:$O$33,1), MATCH(E961, F!$P$20:$AB$20,1)), 0 ) +IFERROR( M961*INDEX(F!$P$21:$AB$33, MATCH(K961/$AH961, F!$O$21:$O$33,1), MATCH(E961, F!$P$20:$AB$20,1)),0) +  IFERROR( Q961*INDEX(F!$P$21:$AB$33, MATCH(O961/$AH961, F!$O$21:$O$33,1), MATCH(E961, F!$P$20:$AB$20,1)), 0) + IFERROR( U961*INDEX(F!$P$21:$AB$33, MATCH(S961/$AH961, F!$O$21:$O$33,1), MATCH(E961, F!$P$20:$AB$20,1)),0)  + IFERROR(Y961*INDEX(F!$P$21:$AB$33, MATCH(W961/$AH961, F!$O$21:$O$33,1), MATCH(E961, F!$P$20:$AB$20,1)),0)  + IFERROR( AC961*INDEX(F!$P$21:$AB$33, MATCH(AA961/$AH961, F!$O$21:$O$33,1), MATCH(E961, F!$P$20:$AB$20,1)),)</f>
        <v>0</v>
      </c>
      <c r="AL961" s="59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 ht="15.0" hidden="1" customHeight="1">
      <c r="A962" s="59"/>
      <c r="B962" s="60" t="str">
        <f t="shared" ref="B962:F962" si="1938">IF(B906="","",B906)</f>
        <v/>
      </c>
      <c r="C962" s="61" t="str">
        <f t="shared" si="1938"/>
        <v/>
      </c>
      <c r="D962" s="198" t="str">
        <f t="shared" si="1938"/>
        <v/>
      </c>
      <c r="E962" s="48" t="str">
        <f t="shared" si="1938"/>
        <v/>
      </c>
      <c r="F962" s="79" t="str">
        <f t="shared" si="1938"/>
        <v/>
      </c>
      <c r="G962" s="64" t="str">
        <f t="shared" si="1923"/>
        <v/>
      </c>
      <c r="H962" s="34"/>
      <c r="I962" s="34"/>
      <c r="J962" s="65"/>
      <c r="K962" s="64" t="str">
        <f t="shared" si="1924"/>
        <v/>
      </c>
      <c r="L962" s="34"/>
      <c r="M962" s="34"/>
      <c r="N962" s="65"/>
      <c r="O962" s="64" t="str">
        <f t="shared" si="1925"/>
        <v/>
      </c>
      <c r="P962" s="34"/>
      <c r="Q962" s="34"/>
      <c r="R962" s="65"/>
      <c r="S962" s="64" t="str">
        <f t="shared" si="1926"/>
        <v/>
      </c>
      <c r="T962" s="34"/>
      <c r="U962" s="34"/>
      <c r="V962" s="65"/>
      <c r="W962" s="64" t="str">
        <f t="shared" si="1927"/>
        <v/>
      </c>
      <c r="X962" s="34"/>
      <c r="Y962" s="34"/>
      <c r="Z962" s="65"/>
      <c r="AA962" s="64" t="str">
        <f t="shared" si="1928"/>
        <v/>
      </c>
      <c r="AB962" s="34"/>
      <c r="AC962" s="34"/>
      <c r="AD962" s="65"/>
      <c r="AE962" s="66">
        <f t="shared" si="1929"/>
        <v>0</v>
      </c>
      <c r="AF962" s="67">
        <f t="shared" si="1930"/>
        <v>0</v>
      </c>
      <c r="AG962" s="68">
        <f t="shared" si="1931"/>
        <v>0</v>
      </c>
      <c r="AH962" s="76" t="str">
        <f t="shared" si="1932"/>
        <v/>
      </c>
      <c r="AI962" s="90">
        <f> ( IF(ISNUMBER(G962), VLOOKUP(G962/$AH962,F!$A1:$B101,2,1)*G962*$H962*$I962,0)+IF(ISNUMBER(K962), VLOOKUP(K962/$AH962,F!$A1:$B101,2,1)*K962*$L962*$M962,0)+IF(ISNUMBER(O962), VLOOKUP(O962/$AH962,F!$A1:$B101,2,1)*O962*$P962*$Q962,0)+IF(ISNUMBER(S962), VLOOKUP(S962/$AH962,F!$A1:$B101,2,1)*S962*$T962*$U962,0)+IF(ISNUMBER(W962), VLOOKUP(W962/$AH962,F!$A1:$B101,2,1)*W962*$X962*$Y962,0)+IF(ISNUMBER(AA962), VLOOKUP(AA962/$AH962,F!$A1:$B101,2,1)*AA962*$AB962*$AC962,0))*IF(ISNUMBER(F962),F962,1)*IF(ISNUMBER(E962),E962,1)</f>
        <v>0</v>
      </c>
      <c r="AJ962" s="34">
        <f t="shared" si="1933"/>
        <v>0</v>
      </c>
      <c r="AK962" s="91">
        <f t="array" ref="AK962">IFERROR(I962*INDEX(F!$P$21:$AB$33, MATCH(G962/$AH962, F!$O$21:$O$33,1), MATCH(E962, F!$P$20:$AB$20,1)), 0 ) +IFERROR( M962*INDEX(F!$P$21:$AB$33, MATCH(K962/$AH962, F!$O$21:$O$33,1), MATCH(E962, F!$P$20:$AB$20,1)),0) +  IFERROR( Q962*INDEX(F!$P$21:$AB$33, MATCH(O962/$AH962, F!$O$21:$O$33,1), MATCH(E962, F!$P$20:$AB$20,1)), 0) + IFERROR( U962*INDEX(F!$P$21:$AB$33, MATCH(S962/$AH962, F!$O$21:$O$33,1), MATCH(E962, F!$P$20:$AB$20,1)),0)  + IFERROR(Y962*INDEX(F!$P$21:$AB$33, MATCH(W962/$AH962, F!$O$21:$O$33,1), MATCH(E962, F!$P$20:$AB$20,1)),0)  + IFERROR( AC962*INDEX(F!$P$21:$AB$33, MATCH(AA962/$AH962, F!$O$21:$O$33,1), MATCH(E962, F!$P$20:$AB$20,1)),)</f>
        <v>0</v>
      </c>
      <c r="AL962" s="59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 ht="15.0" hidden="1" customHeight="1">
      <c r="A963" s="59"/>
      <c r="B963" s="45" t="str">
        <f t="shared" ref="B963:F963" si="1939">IF(B907="","",B907)</f>
        <v/>
      </c>
      <c r="C963" s="46" t="str">
        <f t="shared" si="1939"/>
        <v/>
      </c>
      <c r="D963" s="92" t="str">
        <f t="shared" si="1939"/>
        <v/>
      </c>
      <c r="E963" s="48" t="str">
        <f t="shared" si="1939"/>
        <v/>
      </c>
      <c r="F963" s="74" t="str">
        <f t="shared" si="1939"/>
        <v/>
      </c>
      <c r="G963" s="50" t="str">
        <f t="shared" si="1923"/>
        <v/>
      </c>
      <c r="H963" s="51"/>
      <c r="I963" s="51"/>
      <c r="J963" s="52"/>
      <c r="K963" s="50" t="str">
        <f t="shared" si="1924"/>
        <v/>
      </c>
      <c r="L963" s="51"/>
      <c r="M963" s="51"/>
      <c r="N963" s="52"/>
      <c r="O963" s="50" t="str">
        <f t="shared" si="1925"/>
        <v/>
      </c>
      <c r="P963" s="51"/>
      <c r="Q963" s="51"/>
      <c r="R963" s="52"/>
      <c r="S963" s="50" t="str">
        <f t="shared" si="1926"/>
        <v/>
      </c>
      <c r="T963" s="51"/>
      <c r="U963" s="51"/>
      <c r="V963" s="52"/>
      <c r="W963" s="50" t="str">
        <f t="shared" si="1927"/>
        <v/>
      </c>
      <c r="X963" s="51"/>
      <c r="Y963" s="51"/>
      <c r="Z963" s="52"/>
      <c r="AA963" s="50" t="str">
        <f t="shared" si="1928"/>
        <v/>
      </c>
      <c r="AB963" s="51"/>
      <c r="AC963" s="51"/>
      <c r="AD963" s="52"/>
      <c r="AE963" s="53">
        <f t="shared" si="1929"/>
        <v>0</v>
      </c>
      <c r="AF963" s="93">
        <f t="shared" si="1930"/>
        <v>0</v>
      </c>
      <c r="AG963" s="94">
        <f t="shared" si="1931"/>
        <v>0</v>
      </c>
      <c r="AH963" s="76" t="str">
        <f t="shared" si="1932"/>
        <v/>
      </c>
      <c r="AI963" s="95">
        <f> ( IF(ISNUMBER(G963), VLOOKUP(G963/$AH963,F!$A1:$B101,2,1)*G963*$H963*$I963,0)+IF(ISNUMBER(K963), VLOOKUP(K963/$AH963,F!$A1:$B101,2,1)*K963*$L963*$M963,0)+IF(ISNUMBER(O963), VLOOKUP(O963/$AH963,F!$A1:$B101,2,1)*O963*$P963*$Q963,0)+IF(ISNUMBER(S963), VLOOKUP(S963/$AH963,F!$A1:$B101,2,1)*S963*$T963*$U963,0)+IF(ISNUMBER(W963), VLOOKUP(W963/$AH963,F!$A1:$B101,2,1)*W963*$X963*$Y963,0)+IF(ISNUMBER(AA963), VLOOKUP(AA963/$AH963,F!$A1:$B101,2,1)*AA963*$AB963*$AC963,0))*IF(ISNUMBER(F963),F963,1)*IF(ISNUMBER(E963),E963,1)</f>
        <v>0</v>
      </c>
      <c r="AJ963" s="96">
        <f t="shared" si="1933"/>
        <v>0</v>
      </c>
      <c r="AK963" s="97">
        <f t="array" ref="AK963">IFERROR(I963*INDEX(F!$P$21:$AB$33, MATCH(G963/$AH963, F!$O$21:$O$33,1), MATCH(E963, F!$P$20:$AB$20,1)), 0 ) +IFERROR( M963*INDEX(F!$P$21:$AB$33, MATCH(K963/$AH963, F!$O$21:$O$33,1), MATCH(E963, F!$P$20:$AB$20,1)),0) +  IFERROR( Q963*INDEX(F!$P$21:$AB$33, MATCH(O963/$AH963, F!$O$21:$O$33,1), MATCH(E963, F!$P$20:$AB$20,1)), 0) + IFERROR( U963*INDEX(F!$P$21:$AB$33, MATCH(S963/$AH963, F!$O$21:$O$33,1), MATCH(E963, F!$P$20:$AB$20,1)),0)  + IFERROR(Y963*INDEX(F!$P$21:$AB$33, MATCH(W963/$AH963, F!$O$21:$O$33,1), MATCH(E963, F!$P$20:$AB$20,1)),0)  + IFERROR( AC963*INDEX(F!$P$21:$AB$33, MATCH(AA963/$AH963, F!$O$21:$O$33,1), MATCH(E963, F!$P$20:$AB$20,1)),)</f>
        <v>0</v>
      </c>
      <c r="AL963" s="59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 ht="15.75" hidden="1" customHeight="1">
      <c r="A964" s="98"/>
      <c r="B964" s="99"/>
      <c r="C964" s="100"/>
      <c r="D964" s="101"/>
      <c r="E964" s="102">
        <f>ROUND(IFERROR(SUMPRODUCT(AJ956:AJ963,E956:E963)/AJ964,0),3)</f>
        <v>0</v>
      </c>
      <c r="F964" s="199"/>
      <c r="G964" s="104"/>
      <c r="H964" s="105"/>
      <c r="I964" s="105"/>
      <c r="J964" s="106"/>
      <c r="K964" s="104"/>
      <c r="L964" s="105"/>
      <c r="M964" s="105"/>
      <c r="N964" s="106"/>
      <c r="O964" s="104"/>
      <c r="P964" s="105"/>
      <c r="Q964" s="105"/>
      <c r="R964" s="106"/>
      <c r="S964" s="104"/>
      <c r="T964" s="105"/>
      <c r="U964" s="105"/>
      <c r="V964" s="106"/>
      <c r="W964" s="104"/>
      <c r="X964" s="105"/>
      <c r="Y964" s="105"/>
      <c r="Z964" s="106"/>
      <c r="AA964" s="104"/>
      <c r="AB964" s="105"/>
      <c r="AC964" s="105"/>
      <c r="AD964" s="106"/>
      <c r="AE964" s="107">
        <f>SUM(AE956:AE963)</f>
        <v>0</v>
      </c>
      <c r="AF964" s="108">
        <f t="shared" si="1930"/>
        <v>0</v>
      </c>
      <c r="AG964" s="109">
        <f>IFERROR(  SUMPRODUCT(AG956:AG963,AJ956:AJ963)/AJ964,0)</f>
        <v>0</v>
      </c>
      <c r="AH964" s="157"/>
      <c r="AI964" s="111">
        <f t="shared" ref="AI964:AJ964" si="1940">SUM(AI956:AI963)</f>
        <v>0</v>
      </c>
      <c r="AJ964" s="111">
        <f t="shared" si="1940"/>
        <v>0</v>
      </c>
      <c r="AK964" s="112">
        <f>IF(SUM(AK956:AK963)=0,TIME(,0,),TIME(,SUM(AK956:AK963)+F!$V$37,))</f>
        <v>0</v>
      </c>
      <c r="AL964" s="98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 ht="15.75" hidden="1" customHeight="1">
      <c r="A965" s="113">
        <f>A966</f>
        <v>43901</v>
      </c>
      <c r="B965" s="114" t="str">
        <f t="shared" ref="B965:F965" si="1941">IF(B909="","",B909)</f>
        <v>Тяжелая</v>
      </c>
      <c r="C965" s="115" t="str">
        <f t="shared" si="1941"/>
        <v>ТГ</v>
      </c>
      <c r="D965" s="116" t="str">
        <f t="shared" si="1941"/>
        <v>Становая тяга</v>
      </c>
      <c r="E965" s="29">
        <f t="shared" si="1941"/>
        <v>1.4</v>
      </c>
      <c r="F965" s="117" t="str">
        <f t="shared" si="1941"/>
        <v/>
      </c>
      <c r="G965" s="118" t="str">
        <f t="shared" ref="G965:G972" si="1943">IF(J965&lt;&gt;0, IFERROR(IF( $F965=2,  MROUND($AH965*J965,1),    IF( OR($F965="",$F965=1),   MROUND($AH965*J965,2.5),  MROUND($AH965*J965, 0.1))), "" ), "")</f>
        <v/>
      </c>
      <c r="H965" s="119"/>
      <c r="I965" s="119"/>
      <c r="J965" s="120"/>
      <c r="K965" s="118" t="str">
        <f t="shared" ref="K965:K972" si="1944">IF(N965&lt;&gt;0, IFERROR(IF( $F965=2,  MROUND($AH965*N965,1),    IF( OR($F965="",$F965=1),   MROUND($AH965*N965,2.5),  MROUND($AH965*N965, 0.1))), "" ), "")</f>
        <v/>
      </c>
      <c r="L965" s="119"/>
      <c r="M965" s="119"/>
      <c r="N965" s="120"/>
      <c r="O965" s="118" t="str">
        <f t="shared" ref="O965:O972" si="1945">IF(R965&lt;&gt;0, IFERROR(IF( $F965=2,  MROUND($AH965*R965,1),    IF( OR($F965="",$F965=1),   MROUND($AH965*R965,2.5),  MROUND($AH965*R965, 0.1))), "" ), "")</f>
        <v/>
      </c>
      <c r="P965" s="119"/>
      <c r="Q965" s="119"/>
      <c r="R965" s="120"/>
      <c r="S965" s="118" t="str">
        <f t="shared" ref="S965:S972" si="1946">IF(V965&lt;&gt;0, IFERROR(IF( $F965=2,  MROUND($AH965*V965,1),    IF( OR($F965="",$F965=1),   MROUND($AH965*V965,2.5),  MROUND($AH965*V965, 0.1))), "" ), "")</f>
        <v/>
      </c>
      <c r="T965" s="119"/>
      <c r="U965" s="119"/>
      <c r="V965" s="120"/>
      <c r="W965" s="118" t="str">
        <f t="shared" ref="W965:W972" si="1947">IF(Z965&lt;&gt;0, IFERROR(IF( $F965=2,  MROUND($AH965*Z965,1),    IF( OR($F965="",$F965=1),   MROUND($AH965*Z965,2.5),  MROUND($AH965*Z965, 0.1))), "" ), "")</f>
        <v/>
      </c>
      <c r="X965" s="119"/>
      <c r="Y965" s="119"/>
      <c r="Z965" s="120"/>
      <c r="AA965" s="118" t="str">
        <f t="shared" ref="AA965:AA972" si="1948">IF(AD965&lt;&gt;0, IFERROR(IF( $F965=2,  MROUND($AH965*AD965,1),    IF( OR($F965="",$F965=1),   MROUND($AH965*AD965,2.5),  MROUND($AH965*AD965, 0.1))), "" ), "")</f>
        <v/>
      </c>
      <c r="AB965" s="119"/>
      <c r="AC965" s="119"/>
      <c r="AD965" s="120"/>
      <c r="AE965" s="121">
        <f t="shared" ref="AE965:AE972" si="1949">(IF(ISNUMBER(G965),G965,0)*H965*I965+IF(ISNUMBER(K965),K965,1)*L965*M965+IF(ISNUMBER(O965),O965,1)*P965*Q965+IF(ISNUMBER(S965),S965,1)*T965*U965+IF(ISNUMBER(W965),W965,1)*X965*Y965+IF(ISNUMBER(AA965),AA965,1)*AB965*AC965)*IF(ISNUMBER(F965),F965,1)</f>
        <v>0</v>
      </c>
      <c r="AF965" s="122">
        <f t="shared" si="1930"/>
        <v>0</v>
      </c>
      <c r="AG965" s="200">
        <f t="shared" ref="AG965:AG972" si="1950">IFERROR((AF965/(AH965*IF(ISNUMBER(F965),F965,1))),0)</f>
        <v>0</v>
      </c>
      <c r="AH965" s="169">
        <f t="shared" ref="AH965:AH972" si="1951">IF(ISNUMBER(AH909), AH909+(AH909*$AH$954),"")</f>
        <v>259.0446626</v>
      </c>
      <c r="AI965" s="122">
        <f> ( IF(ISNUMBER(G965), VLOOKUP(G965/$AH965,F!$A1:$B101,2,1)*G965*$H965*$I965,0)+IF(ISNUMBER(K965), VLOOKUP(K965/$AH965,F!$A1:$B101,2,1)*K965*$L965*$M965,0)+IF(ISNUMBER(O965), VLOOKUP(O965/$AH965,F!$A1:$B101,2,1)*O965*$P965*$Q965,0)+IF(ISNUMBER(S965), VLOOKUP(S965/$AH965,F!$A1:$B101,2,1)*S965*$T965*$U965,0)+IF(ISNUMBER(W965), VLOOKUP(W965/$AH965,F!$A1:$B101,2,1)*W965*$X965*$Y965,0)+IF(ISNUMBER(AA965), VLOOKUP(AA965/$AH965,F!$A1:$B101,2,1)*AA965*$AB965*$AC965,0))*IF(ISNUMBER(F965),F965,1)*IF(ISNUMBER(E965),E965,1)</f>
        <v>0</v>
      </c>
      <c r="AJ965" s="119">
        <f t="shared" ref="AJ965:AJ972" si="1952">H965*I965+L965*M965+P965*Q965+T965*U965+X965*Y965+AB965*AC965</f>
        <v>0</v>
      </c>
      <c r="AK965" s="125">
        <f t="array" ref="AK965">IFERROR(I965*INDEX(F!$P$21:$AB$33, MATCH(G965/$AH965, F!$O$21:$O$33,1), MATCH(E965, F!$P$20:$AB$20,1)), 0 ) +IFERROR( M965*INDEX(F!$P$21:$AB$33, MATCH(K965/$AH965, F!$O$21:$O$33,1), MATCH(E965, F!$P$20:$AB$20,1)),0) +  IFERROR( Q965*INDEX(F!$P$21:$AB$33, MATCH(O965/$AH965, F!$O$21:$O$33,1), MATCH(E965, F!$P$20:$AB$20,1)), 0) + IFERROR( U965*INDEX(F!$P$21:$AB$33, MATCH(S965/$AH965, F!$O$21:$O$33,1), MATCH(E965, F!$P$20:$AB$20,1)),0)  + IFERROR(Y965*INDEX(F!$P$21:$AB$33, MATCH(W965/$AH965, F!$O$21:$O$33,1), MATCH(E965, F!$P$20:$AB$20,1)),0)  + IFERROR( AC965*INDEX(F!$P$21:$AB$33, MATCH(AA965/$AH965, F!$O$21:$O$33,1), MATCH(E965, F!$P$20:$AB$20,1)),)</f>
        <v>0</v>
      </c>
      <c r="AL965" s="42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 ht="15.75" hidden="1" customHeight="1">
      <c r="A966" s="44">
        <f>A910+A898</f>
        <v>43901</v>
      </c>
      <c r="B966" s="126" t="str">
        <f t="shared" ref="B966:F966" si="1942">IF(B910="","",B910)</f>
        <v>Средняя</v>
      </c>
      <c r="C966" s="127" t="str">
        <f t="shared" si="1942"/>
        <v>ЖМ</v>
      </c>
      <c r="D966" s="128" t="str">
        <f t="shared" si="1942"/>
        <v>Жим лежа</v>
      </c>
      <c r="E966" s="48">
        <f t="shared" si="1942"/>
        <v>1</v>
      </c>
      <c r="F966" s="129" t="str">
        <f t="shared" si="1942"/>
        <v/>
      </c>
      <c r="G966" s="130" t="str">
        <f t="shared" si="1943"/>
        <v/>
      </c>
      <c r="H966" s="34"/>
      <c r="I966" s="34"/>
      <c r="J966" s="65"/>
      <c r="K966" s="130" t="str">
        <f t="shared" si="1944"/>
        <v/>
      </c>
      <c r="L966" s="34"/>
      <c r="M966" s="34"/>
      <c r="N966" s="65"/>
      <c r="O966" s="130" t="str">
        <f t="shared" si="1945"/>
        <v/>
      </c>
      <c r="P966" s="34"/>
      <c r="Q966" s="34"/>
      <c r="R966" s="65"/>
      <c r="S966" s="130" t="str">
        <f t="shared" si="1946"/>
        <v/>
      </c>
      <c r="T966" s="34"/>
      <c r="U966" s="34"/>
      <c r="V966" s="65"/>
      <c r="W966" s="130" t="str">
        <f t="shared" si="1947"/>
        <v/>
      </c>
      <c r="X966" s="34"/>
      <c r="Y966" s="34"/>
      <c r="Z966" s="65"/>
      <c r="AA966" s="130" t="str">
        <f t="shared" si="1948"/>
        <v/>
      </c>
      <c r="AB966" s="34"/>
      <c r="AC966" s="34"/>
      <c r="AD966" s="65"/>
      <c r="AE966" s="131">
        <f t="shared" si="1949"/>
        <v>0</v>
      </c>
      <c r="AF966" s="132">
        <f t="shared" si="1930"/>
        <v>0</v>
      </c>
      <c r="AG966" s="133">
        <f t="shared" si="1950"/>
        <v>0</v>
      </c>
      <c r="AH966" s="76">
        <f t="shared" si="1951"/>
        <v>133.0229348</v>
      </c>
      <c r="AI966" s="132">
        <f> ( IF(ISNUMBER(G966), VLOOKUP(G966/$AH966,F!$A1:$B101,2,1)*G966*$H966*$I966,0)+IF(ISNUMBER(K966), VLOOKUP(K966/$AH966,F!$A1:$B101,2,1)*K966*$L966*$M966,0)+IF(ISNUMBER(O966), VLOOKUP(O966/$AH966,F!$A1:$B101,2,1)*O966*$P966*$Q966,0)+IF(ISNUMBER(S966), VLOOKUP(S966/$AH966,F!$A1:$B101,2,1)*S966*$T966*$U966,0)+IF(ISNUMBER(W966), VLOOKUP(W966/$AH966,F!$A1:$B101,2,1)*W966*$X966*$Y966,0)+IF(ISNUMBER(AA966), VLOOKUP(AA966/$AH966,F!$A1:$B101,2,1)*AA966*$AB966*$AC966,0))*IF(ISNUMBER(F966),F966,1)*IF(ISNUMBER(E966),E966,1)</f>
        <v>0</v>
      </c>
      <c r="AJ966" s="34">
        <f t="shared" si="1952"/>
        <v>0</v>
      </c>
      <c r="AK966" s="134">
        <f t="array" ref="AK966">IFERROR(I966*INDEX(F!$P$21:$AB$33, MATCH(G966/$AH966, F!$O$21:$O$33,1), MATCH(E966, F!$P$20:$AB$20,1)), 0 ) +IFERROR( M966*INDEX(F!$P$21:$AB$33, MATCH(K966/$AH966, F!$O$21:$O$33,1), MATCH(E966, F!$P$20:$AB$20,1)),0) +  IFERROR( Q966*INDEX(F!$P$21:$AB$33, MATCH(O966/$AH966, F!$O$21:$O$33,1), MATCH(E966, F!$P$20:$AB$20,1)), 0) + IFERROR( U966*INDEX(F!$P$21:$AB$33, MATCH(S966/$AH966, F!$O$21:$O$33,1), MATCH(E966, F!$P$20:$AB$20,1)),0)  + IFERROR(Y966*INDEX(F!$P$21:$AB$33, MATCH(W966/$AH966, F!$O$21:$O$33,1), MATCH(E966, F!$P$20:$AB$20,1)),0)  + IFERROR( AC966*INDEX(F!$P$21:$AB$33, MATCH(AA966/$AH966, F!$O$21:$O$33,1), MATCH(E966, F!$P$20:$AB$20,1)),)</f>
        <v>0</v>
      </c>
      <c r="AL966" s="59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 ht="15.75" hidden="1" customHeight="1">
      <c r="A967" s="59"/>
      <c r="B967" s="135" t="str">
        <f t="shared" ref="B967:F967" si="1953">IF(B911="","",B911)</f>
        <v>Легкая</v>
      </c>
      <c r="C967" s="136" t="str">
        <f t="shared" si="1953"/>
        <v>ОФП</v>
      </c>
      <c r="D967" s="137" t="str">
        <f t="shared" si="1953"/>
        <v>Наклоны со штангой</v>
      </c>
      <c r="E967" s="48">
        <f t="shared" si="1953"/>
        <v>0.8</v>
      </c>
      <c r="F967" s="138" t="str">
        <f t="shared" si="1953"/>
        <v/>
      </c>
      <c r="G967" s="139" t="str">
        <f t="shared" si="1943"/>
        <v/>
      </c>
      <c r="H967" s="140"/>
      <c r="I967" s="140"/>
      <c r="J967" s="141"/>
      <c r="K967" s="139" t="str">
        <f t="shared" si="1944"/>
        <v/>
      </c>
      <c r="L967" s="140"/>
      <c r="M967" s="140"/>
      <c r="N967" s="141"/>
      <c r="O967" s="139" t="str">
        <f t="shared" si="1945"/>
        <v/>
      </c>
      <c r="P967" s="140"/>
      <c r="Q967" s="140"/>
      <c r="R967" s="141"/>
      <c r="S967" s="139" t="str">
        <f t="shared" si="1946"/>
        <v/>
      </c>
      <c r="T967" s="140"/>
      <c r="U967" s="140"/>
      <c r="V967" s="141"/>
      <c r="W967" s="139" t="str">
        <f t="shared" si="1947"/>
        <v/>
      </c>
      <c r="X967" s="140"/>
      <c r="Y967" s="140"/>
      <c r="Z967" s="141"/>
      <c r="AA967" s="139" t="str">
        <f t="shared" si="1948"/>
        <v/>
      </c>
      <c r="AB967" s="140"/>
      <c r="AC967" s="140"/>
      <c r="AD967" s="141"/>
      <c r="AE967" s="142">
        <f t="shared" si="1949"/>
        <v>0</v>
      </c>
      <c r="AF967" s="143">
        <f t="shared" si="1930"/>
        <v>0</v>
      </c>
      <c r="AG967" s="144">
        <f t="shared" si="1950"/>
        <v>0</v>
      </c>
      <c r="AH967" s="76">
        <f t="shared" si="1951"/>
        <v>142.4745644</v>
      </c>
      <c r="AI967" s="143">
        <f> ( IF(ISNUMBER(G967), VLOOKUP(G967/$AH967,F!$A1:$B101,2,1)*G967*$H967*$I967,0)+IF(ISNUMBER(K967), VLOOKUP(K967/$AH967,F!$A1:$B101,2,1)*K967*$L967*$M967,0)+IF(ISNUMBER(O967), VLOOKUP(O967/$AH967,F!$A1:$B101,2,1)*O967*$P967*$Q967,0)+IF(ISNUMBER(S967), VLOOKUP(S967/$AH967,F!$A1:$B101,2,1)*S967*$T967*$U967,0)+IF(ISNUMBER(W967), VLOOKUP(W967/$AH967,F!$A1:$B101,2,1)*W967*$X967*$Y967,0)+IF(ISNUMBER(AA967), VLOOKUP(AA967/$AH967,F!$A1:$B101,2,1)*AA967*$AB967*$AC967,0))*IF(ISNUMBER(F967),F967,1)*IF(ISNUMBER(E967),E967,1)</f>
        <v>0</v>
      </c>
      <c r="AJ967" s="140">
        <f t="shared" si="1952"/>
        <v>0</v>
      </c>
      <c r="AK967" s="145">
        <f t="array" ref="AK967">IFERROR(I967*INDEX(F!$P$21:$AB$33, MATCH(G967/$AH967, F!$O$21:$O$33,1), MATCH(E967, F!$P$20:$AB$20,1)), 0 ) +IFERROR( M967*INDEX(F!$P$21:$AB$33, MATCH(K967/$AH967, F!$O$21:$O$33,1), MATCH(E967, F!$P$20:$AB$20,1)),0) +  IFERROR( Q967*INDEX(F!$P$21:$AB$33, MATCH(O967/$AH967, F!$O$21:$O$33,1), MATCH(E967, F!$P$20:$AB$20,1)), 0) + IFERROR( U967*INDEX(F!$P$21:$AB$33, MATCH(S967/$AH967, F!$O$21:$O$33,1), MATCH(E967, F!$P$20:$AB$20,1)),0)  + IFERROR(Y967*INDEX(F!$P$21:$AB$33, MATCH(W967/$AH967, F!$O$21:$O$33,1), MATCH(E967, F!$P$20:$AB$20,1)),0)  + IFERROR( AC967*INDEX(F!$P$21:$AB$33, MATCH(AA967/$AH967, F!$O$21:$O$33,1), MATCH(E967, F!$P$20:$AB$20,1)),)</f>
        <v>0</v>
      </c>
      <c r="AL967" s="59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 ht="15.75" hidden="1" customHeight="1">
      <c r="A968" s="59"/>
      <c r="B968" s="126" t="str">
        <f t="shared" ref="B968:F968" si="1954">IF(B912="","",B912)</f>
        <v>Средняя</v>
      </c>
      <c r="C968" s="127" t="str">
        <f t="shared" si="1954"/>
        <v>ОФП</v>
      </c>
      <c r="D968" s="128" t="str">
        <f t="shared" si="1954"/>
        <v>Жим стоя</v>
      </c>
      <c r="E968" s="48">
        <f t="shared" si="1954"/>
        <v>1</v>
      </c>
      <c r="F968" s="129" t="str">
        <f t="shared" si="1954"/>
        <v/>
      </c>
      <c r="G968" s="130" t="str">
        <f t="shared" si="1943"/>
        <v/>
      </c>
      <c r="H968" s="34"/>
      <c r="I968" s="34"/>
      <c r="J968" s="65"/>
      <c r="K968" s="130" t="str">
        <f t="shared" si="1944"/>
        <v/>
      </c>
      <c r="L968" s="34"/>
      <c r="M968" s="34"/>
      <c r="N968" s="65"/>
      <c r="O968" s="130" t="str">
        <f t="shared" si="1945"/>
        <v/>
      </c>
      <c r="P968" s="34"/>
      <c r="Q968" s="34"/>
      <c r="R968" s="65"/>
      <c r="S968" s="130" t="str">
        <f t="shared" si="1946"/>
        <v/>
      </c>
      <c r="T968" s="34"/>
      <c r="U968" s="34"/>
      <c r="V968" s="65"/>
      <c r="W968" s="130" t="str">
        <f t="shared" si="1947"/>
        <v/>
      </c>
      <c r="X968" s="34"/>
      <c r="Y968" s="34"/>
      <c r="Z968" s="65"/>
      <c r="AA968" s="130" t="str">
        <f t="shared" si="1948"/>
        <v/>
      </c>
      <c r="AB968" s="34"/>
      <c r="AC968" s="34"/>
      <c r="AD968" s="65"/>
      <c r="AE968" s="131">
        <f t="shared" si="1949"/>
        <v>0</v>
      </c>
      <c r="AF968" s="132">
        <f t="shared" si="1930"/>
        <v>0</v>
      </c>
      <c r="AG968" s="133">
        <f t="shared" si="1950"/>
        <v>0</v>
      </c>
      <c r="AH968" s="76">
        <f t="shared" si="1951"/>
        <v>79.81376089</v>
      </c>
      <c r="AI968" s="132">
        <f> ( IF(ISNUMBER(G968), VLOOKUP(G968/$AH968,F!$A1:$B101,2,1)*G968*$H968*$I968,0)+IF(ISNUMBER(K968), VLOOKUP(K968/$AH968,F!$A1:$B101,2,1)*K968*$L968*$M968,0)+IF(ISNUMBER(O968), VLOOKUP(O968/$AH968,F!$A1:$B101,2,1)*O968*$P968*$Q968,0)+IF(ISNUMBER(S968), VLOOKUP(S968/$AH968,F!$A1:$B101,2,1)*S968*$T968*$U968,0)+IF(ISNUMBER(W968), VLOOKUP(W968/$AH968,F!$A1:$B101,2,1)*W968*$X968*$Y968,0)+IF(ISNUMBER(AA968), VLOOKUP(AA968/$AH968,F!$A1:$B101,2,1)*AA968*$AB968*$AC968,0))*IF(ISNUMBER(F968),F968,1)*IF(ISNUMBER(E968),E968,1)</f>
        <v>0</v>
      </c>
      <c r="AJ968" s="34">
        <f t="shared" si="1952"/>
        <v>0</v>
      </c>
      <c r="AK968" s="134">
        <f t="array" ref="AK968">IFERROR(I968*INDEX(F!$P$21:$AB$33, MATCH(G968/$AH968, F!$O$21:$O$33,1), MATCH(E968, F!$P$20:$AB$20,1)), 0 ) +IFERROR( M968*INDEX(F!$P$21:$AB$33, MATCH(K968/$AH968, F!$O$21:$O$33,1), MATCH(E968, F!$P$20:$AB$20,1)),0) +  IFERROR( Q968*INDEX(F!$P$21:$AB$33, MATCH(O968/$AH968, F!$O$21:$O$33,1), MATCH(E968, F!$P$20:$AB$20,1)), 0) + IFERROR( U968*INDEX(F!$P$21:$AB$33, MATCH(S968/$AH968, F!$O$21:$O$33,1), MATCH(E968, F!$P$20:$AB$20,1)),0)  + IFERROR(Y968*INDEX(F!$P$21:$AB$33, MATCH(W968/$AH968, F!$O$21:$O$33,1), MATCH(E968, F!$P$20:$AB$20,1)),0)  + IFERROR( AC968*INDEX(F!$P$21:$AB$33, MATCH(AA968/$AH968, F!$O$21:$O$33,1), MATCH(E968, F!$P$20:$AB$20,1)),)</f>
        <v>0</v>
      </c>
      <c r="AL968" s="59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 ht="15.75" hidden="1" customHeight="1">
      <c r="A969" s="59"/>
      <c r="B969" s="135" t="str">
        <f t="shared" ref="B969:F969" si="1955">IF(B913="","",B913)</f>
        <v>Средняя</v>
      </c>
      <c r="C969" s="136" t="str">
        <f t="shared" si="1955"/>
        <v>ЖМ</v>
      </c>
      <c r="D969" s="137" t="str">
        <f t="shared" si="1955"/>
        <v>Жим средним хватом</v>
      </c>
      <c r="E969" s="48">
        <f t="shared" si="1955"/>
        <v>1</v>
      </c>
      <c r="F969" s="138" t="str">
        <f t="shared" si="1955"/>
        <v/>
      </c>
      <c r="G969" s="139" t="str">
        <f t="shared" si="1943"/>
        <v/>
      </c>
      <c r="H969" s="140"/>
      <c r="I969" s="140"/>
      <c r="J969" s="141"/>
      <c r="K969" s="139" t="str">
        <f t="shared" si="1944"/>
        <v/>
      </c>
      <c r="L969" s="140"/>
      <c r="M969" s="140"/>
      <c r="N969" s="141"/>
      <c r="O969" s="139" t="str">
        <f t="shared" si="1945"/>
        <v/>
      </c>
      <c r="P969" s="140"/>
      <c r="Q969" s="140"/>
      <c r="R969" s="141"/>
      <c r="S969" s="139" t="str">
        <f t="shared" si="1946"/>
        <v/>
      </c>
      <c r="T969" s="140"/>
      <c r="U969" s="140"/>
      <c r="V969" s="141"/>
      <c r="W969" s="139" t="str">
        <f t="shared" si="1947"/>
        <v/>
      </c>
      <c r="X969" s="140"/>
      <c r="Y969" s="140"/>
      <c r="Z969" s="141"/>
      <c r="AA969" s="139" t="str">
        <f t="shared" si="1948"/>
        <v/>
      </c>
      <c r="AB969" s="140"/>
      <c r="AC969" s="140"/>
      <c r="AD969" s="141"/>
      <c r="AE969" s="142">
        <f t="shared" si="1949"/>
        <v>0</v>
      </c>
      <c r="AF969" s="143">
        <f t="shared" si="1930"/>
        <v>0</v>
      </c>
      <c r="AG969" s="144">
        <f t="shared" si="1950"/>
        <v>0</v>
      </c>
      <c r="AH969" s="76">
        <f t="shared" si="1951"/>
        <v>113.0694946</v>
      </c>
      <c r="AI969" s="143">
        <f> ( IF(ISNUMBER(G969), VLOOKUP(G969/$AH969,F!$A1:$B101,2,1)*G969*$H969*$I969,0)+IF(ISNUMBER(K969), VLOOKUP(K969/$AH969,F!$A1:$B101,2,1)*K969*$L969*$M969,0)+IF(ISNUMBER(O969), VLOOKUP(O969/$AH969,F!$A1:$B101,2,1)*O969*$P969*$Q969,0)+IF(ISNUMBER(S969), VLOOKUP(S969/$AH969,F!$A1:$B101,2,1)*S969*$T969*$U969,0)+IF(ISNUMBER(W969), VLOOKUP(W969/$AH969,F!$A1:$B101,2,1)*W969*$X969*$Y969,0)+IF(ISNUMBER(AA969), VLOOKUP(AA969/$AH969,F!$A1:$B101,2,1)*AA969*$AB969*$AC969,0))*IF(ISNUMBER(F969),F969,1)*IF(ISNUMBER(E969),E969,1)</f>
        <v>0</v>
      </c>
      <c r="AJ969" s="140">
        <f t="shared" si="1952"/>
        <v>0</v>
      </c>
      <c r="AK969" s="145">
        <f t="array" ref="AK969">IFERROR(I969*INDEX(F!$P$21:$AB$33, MATCH(G969/$AH969, F!$O$21:$O$33,1), MATCH(E969, F!$P$20:$AB$20,1)), 0 ) +IFERROR( M969*INDEX(F!$P$21:$AB$33, MATCH(K969/$AH969, F!$O$21:$O$33,1), MATCH(E969, F!$P$20:$AB$20,1)),0) +  IFERROR( Q969*INDEX(F!$P$21:$AB$33, MATCH(O969/$AH969, F!$O$21:$O$33,1), MATCH(E969, F!$P$20:$AB$20,1)), 0) + IFERROR( U969*INDEX(F!$P$21:$AB$33, MATCH(S969/$AH969, F!$O$21:$O$33,1), MATCH(E969, F!$P$20:$AB$20,1)),0)  + IFERROR(Y969*INDEX(F!$P$21:$AB$33, MATCH(W969/$AH969, F!$O$21:$O$33,1), MATCH(E969, F!$P$20:$AB$20,1)),0)  + IFERROR( AC969*INDEX(F!$P$21:$AB$33, MATCH(AA969/$AH969, F!$O$21:$O$33,1), MATCH(E969, F!$P$20:$AB$20,1)),)</f>
        <v>0</v>
      </c>
      <c r="AL969" s="59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 ht="15.75" hidden="1" customHeight="1">
      <c r="A970" s="59"/>
      <c r="B970" s="126" t="str">
        <f t="shared" ref="B970:F970" si="1956">IF(B914="","",B914)</f>
        <v/>
      </c>
      <c r="C970" s="127" t="str">
        <f t="shared" si="1956"/>
        <v/>
      </c>
      <c r="D970" s="128" t="str">
        <f t="shared" si="1956"/>
        <v/>
      </c>
      <c r="E970" s="48" t="str">
        <f t="shared" si="1956"/>
        <v/>
      </c>
      <c r="F970" s="129" t="str">
        <f t="shared" si="1956"/>
        <v/>
      </c>
      <c r="G970" s="130" t="str">
        <f t="shared" si="1943"/>
        <v/>
      </c>
      <c r="H970" s="34"/>
      <c r="I970" s="34"/>
      <c r="J970" s="65"/>
      <c r="K970" s="130" t="str">
        <f t="shared" si="1944"/>
        <v/>
      </c>
      <c r="L970" s="34"/>
      <c r="M970" s="34"/>
      <c r="N970" s="65"/>
      <c r="O970" s="130" t="str">
        <f t="shared" si="1945"/>
        <v/>
      </c>
      <c r="P970" s="34"/>
      <c r="Q970" s="34"/>
      <c r="R970" s="65"/>
      <c r="S970" s="130" t="str">
        <f t="shared" si="1946"/>
        <v/>
      </c>
      <c r="T970" s="34"/>
      <c r="U970" s="34"/>
      <c r="V970" s="65"/>
      <c r="W970" s="130" t="str">
        <f t="shared" si="1947"/>
        <v/>
      </c>
      <c r="X970" s="34"/>
      <c r="Y970" s="34"/>
      <c r="Z970" s="65"/>
      <c r="AA970" s="130" t="str">
        <f t="shared" si="1948"/>
        <v/>
      </c>
      <c r="AB970" s="34"/>
      <c r="AC970" s="34"/>
      <c r="AD970" s="65"/>
      <c r="AE970" s="131">
        <f t="shared" si="1949"/>
        <v>0</v>
      </c>
      <c r="AF970" s="132">
        <f t="shared" si="1930"/>
        <v>0</v>
      </c>
      <c r="AG970" s="133">
        <f t="shared" si="1950"/>
        <v>0</v>
      </c>
      <c r="AH970" s="76" t="str">
        <f t="shared" si="1951"/>
        <v/>
      </c>
      <c r="AI970" s="132">
        <f> ( IF(ISNUMBER(G970), VLOOKUP(G970/$AH970,F!$A1:$B101,2,1)*G970*$H970*$I970,0)+IF(ISNUMBER(K970), VLOOKUP(K970/$AH970,F!$A1:$B101,2,1)*K970*$L970*$M970,0)+IF(ISNUMBER(O970), VLOOKUP(O970/$AH970,F!$A1:$B101,2,1)*O970*$P970*$Q970,0)+IF(ISNUMBER(S970), VLOOKUP(S970/$AH970,F!$A1:$B101,2,1)*S970*$T970*$U970,0)+IF(ISNUMBER(W970), VLOOKUP(W970/$AH970,F!$A1:$B101,2,1)*W970*$X970*$Y970,0)+IF(ISNUMBER(AA970), VLOOKUP(AA970/$AH970,F!$A1:$B101,2,1)*AA970*$AB970*$AC970,0))*IF(ISNUMBER(F970),F970,1)*IF(ISNUMBER(E970),E970,1)</f>
        <v>0</v>
      </c>
      <c r="AJ970" s="34">
        <f t="shared" si="1952"/>
        <v>0</v>
      </c>
      <c r="AK970" s="134">
        <f t="array" ref="AK970">IFERROR(I970*INDEX(F!$P$21:$AB$33, MATCH(G970/$AH970, F!$O$21:$O$33,1), MATCH(E970, F!$P$20:$AB$20,1)), 0 ) +IFERROR( M970*INDEX(F!$P$21:$AB$33, MATCH(K970/$AH970, F!$O$21:$O$33,1), MATCH(E970, F!$P$20:$AB$20,1)),0) +  IFERROR( Q970*INDEX(F!$P$21:$AB$33, MATCH(O970/$AH970, F!$O$21:$O$33,1), MATCH(E970, F!$P$20:$AB$20,1)), 0) + IFERROR( U970*INDEX(F!$P$21:$AB$33, MATCH(S970/$AH970, F!$O$21:$O$33,1), MATCH(E970, F!$P$20:$AB$20,1)),0)  + IFERROR(Y970*INDEX(F!$P$21:$AB$33, MATCH(W970/$AH970, F!$O$21:$O$33,1), MATCH(E970, F!$P$20:$AB$20,1)),0)  + IFERROR( AC970*INDEX(F!$P$21:$AB$33, MATCH(AA970/$AH970, F!$O$21:$O$33,1), MATCH(E970, F!$P$20:$AB$20,1)),)</f>
        <v>0</v>
      </c>
      <c r="AL970" s="59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 ht="15.75" hidden="1" customHeight="1">
      <c r="A971" s="59"/>
      <c r="B971" s="135" t="str">
        <f t="shared" ref="B971:F971" si="1957">IF(B915="","",B915)</f>
        <v/>
      </c>
      <c r="C971" s="136" t="str">
        <f t="shared" si="1957"/>
        <v/>
      </c>
      <c r="D971" s="137" t="str">
        <f t="shared" si="1957"/>
        <v/>
      </c>
      <c r="E971" s="48" t="str">
        <f t="shared" si="1957"/>
        <v/>
      </c>
      <c r="F971" s="138" t="str">
        <f t="shared" si="1957"/>
        <v/>
      </c>
      <c r="G971" s="139" t="str">
        <f t="shared" si="1943"/>
        <v/>
      </c>
      <c r="H971" s="140"/>
      <c r="I971" s="140"/>
      <c r="J971" s="141"/>
      <c r="K971" s="139" t="str">
        <f t="shared" si="1944"/>
        <v/>
      </c>
      <c r="L971" s="140"/>
      <c r="M971" s="140"/>
      <c r="N971" s="141"/>
      <c r="O971" s="139" t="str">
        <f t="shared" si="1945"/>
        <v/>
      </c>
      <c r="P971" s="140"/>
      <c r="Q971" s="140"/>
      <c r="R971" s="141"/>
      <c r="S971" s="139" t="str">
        <f t="shared" si="1946"/>
        <v/>
      </c>
      <c r="T971" s="140"/>
      <c r="U971" s="140"/>
      <c r="V971" s="141"/>
      <c r="W971" s="139" t="str">
        <f t="shared" si="1947"/>
        <v/>
      </c>
      <c r="X971" s="140"/>
      <c r="Y971" s="140"/>
      <c r="Z971" s="141"/>
      <c r="AA971" s="139" t="str">
        <f t="shared" si="1948"/>
        <v/>
      </c>
      <c r="AB971" s="140"/>
      <c r="AC971" s="140"/>
      <c r="AD971" s="141"/>
      <c r="AE971" s="142">
        <f t="shared" si="1949"/>
        <v>0</v>
      </c>
      <c r="AF971" s="143">
        <f t="shared" si="1930"/>
        <v>0</v>
      </c>
      <c r="AG971" s="144">
        <f t="shared" si="1950"/>
        <v>0</v>
      </c>
      <c r="AH971" s="76" t="str">
        <f t="shared" si="1951"/>
        <v/>
      </c>
      <c r="AI971" s="143">
        <f> ( IF(ISNUMBER(G971), VLOOKUP(G971/$AH971,F!$A1:$B101,2,1)*G971*$H971*$I971,0)+IF(ISNUMBER(K971), VLOOKUP(K971/$AH971,F!$A1:$B101,2,1)*K971*$L971*$M971,0)+IF(ISNUMBER(O971), VLOOKUP(O971/$AH971,F!$A1:$B101,2,1)*O971*$P971*$Q971,0)+IF(ISNUMBER(S971), VLOOKUP(S971/$AH971,F!$A1:$B101,2,1)*S971*$T971*$U971,0)+IF(ISNUMBER(W971), VLOOKUP(W971/$AH971,F!$A1:$B101,2,1)*W971*$X971*$Y971,0)+IF(ISNUMBER(AA971), VLOOKUP(AA971/$AH971,F!$A1:$B101,2,1)*AA971*$AB971*$AC971,0))*IF(ISNUMBER(F971),F971,1)*IF(ISNUMBER(E971),E971,1)</f>
        <v>0</v>
      </c>
      <c r="AJ971" s="140">
        <f t="shared" si="1952"/>
        <v>0</v>
      </c>
      <c r="AK971" s="145">
        <f t="array" ref="AK971">IFERROR(I971*INDEX(F!$P$21:$AB$33, MATCH(G971/$AH971, F!$O$21:$O$33,1), MATCH(E971, F!$P$20:$AB$20,1)), 0 ) +IFERROR( M971*INDEX(F!$P$21:$AB$33, MATCH(K971/$AH971, F!$O$21:$O$33,1), MATCH(E971, F!$P$20:$AB$20,1)),0) +  IFERROR( Q971*INDEX(F!$P$21:$AB$33, MATCH(O971/$AH971, F!$O$21:$O$33,1), MATCH(E971, F!$P$20:$AB$20,1)), 0) + IFERROR( U971*INDEX(F!$P$21:$AB$33, MATCH(S971/$AH971, F!$O$21:$O$33,1), MATCH(E971, F!$P$20:$AB$20,1)),0)  + IFERROR(Y971*INDEX(F!$P$21:$AB$33, MATCH(W971/$AH971, F!$O$21:$O$33,1), MATCH(E971, F!$P$20:$AB$20,1)),0)  + IFERROR( AC971*INDEX(F!$P$21:$AB$33, MATCH(AA971/$AH971, F!$O$21:$O$33,1), MATCH(E971, F!$P$20:$AB$20,1)),)</f>
        <v>0</v>
      </c>
      <c r="AL971" s="59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 ht="15.75" hidden="1" customHeight="1">
      <c r="A972" s="59"/>
      <c r="B972" s="126" t="str">
        <f t="shared" ref="B972:F972" si="1958">IF(B916="","",B916)</f>
        <v/>
      </c>
      <c r="C972" s="127" t="str">
        <f t="shared" si="1958"/>
        <v/>
      </c>
      <c r="D972" s="128" t="str">
        <f t="shared" si="1958"/>
        <v/>
      </c>
      <c r="E972" s="48" t="str">
        <f t="shared" si="1958"/>
        <v/>
      </c>
      <c r="F972" s="129" t="str">
        <f t="shared" si="1958"/>
        <v/>
      </c>
      <c r="G972" s="130" t="str">
        <f t="shared" si="1943"/>
        <v/>
      </c>
      <c r="H972" s="34"/>
      <c r="I972" s="34"/>
      <c r="J972" s="65"/>
      <c r="K972" s="130" t="str">
        <f t="shared" si="1944"/>
        <v/>
      </c>
      <c r="L972" s="34"/>
      <c r="M972" s="34"/>
      <c r="N972" s="65"/>
      <c r="O972" s="130" t="str">
        <f t="shared" si="1945"/>
        <v/>
      </c>
      <c r="P972" s="34"/>
      <c r="Q972" s="34"/>
      <c r="R972" s="65"/>
      <c r="S972" s="130" t="str">
        <f t="shared" si="1946"/>
        <v/>
      </c>
      <c r="T972" s="34"/>
      <c r="U972" s="34"/>
      <c r="V972" s="65"/>
      <c r="W972" s="130" t="str">
        <f t="shared" si="1947"/>
        <v/>
      </c>
      <c r="X972" s="34"/>
      <c r="Y972" s="34"/>
      <c r="Z972" s="65"/>
      <c r="AA972" s="130" t="str">
        <f t="shared" si="1948"/>
        <v/>
      </c>
      <c r="AB972" s="34"/>
      <c r="AC972" s="34"/>
      <c r="AD972" s="65"/>
      <c r="AE972" s="131">
        <f t="shared" si="1949"/>
        <v>0</v>
      </c>
      <c r="AF972" s="132">
        <f t="shared" si="1930"/>
        <v>0</v>
      </c>
      <c r="AG972" s="133">
        <f t="shared" si="1950"/>
        <v>0</v>
      </c>
      <c r="AH972" s="76" t="str">
        <f t="shared" si="1951"/>
        <v/>
      </c>
      <c r="AI972" s="132">
        <f> ( IF(ISNUMBER(G972), VLOOKUP(G972/$AH972,F!$A1:$B101,2,1)*G972*$H972*$I972,0)+IF(ISNUMBER(K972), VLOOKUP(K972/$AH972,F!$A1:$B101,2,1)*K972*$L972*$M972,0)+IF(ISNUMBER(O972), VLOOKUP(O972/$AH972,F!$A1:$B101,2,1)*O972*$P972*$Q972,0)+IF(ISNUMBER(S972), VLOOKUP(S972/$AH972,F!$A1:$B101,2,1)*S972*$T972*$U972,0)+IF(ISNUMBER(W972), VLOOKUP(W972/$AH972,F!$A1:$B101,2,1)*W972*$X972*$Y972,0)+IF(ISNUMBER(AA972), VLOOKUP(AA972/$AH972,F!$A1:$B101,2,1)*AA972*$AB972*$AC972,0))*IF(ISNUMBER(F972),F972,1)*IF(ISNUMBER(E972),E972,1)</f>
        <v>0</v>
      </c>
      <c r="AJ972" s="34">
        <f t="shared" si="1952"/>
        <v>0</v>
      </c>
      <c r="AK972" s="134">
        <f t="array" ref="AK972">IFERROR(I972*INDEX(F!$P$21:$AB$33, MATCH(G972/$AH972, F!$O$21:$O$33,1), MATCH(E972, F!$P$20:$AB$20,1)), 0 ) +IFERROR( M972*INDEX(F!$P$21:$AB$33, MATCH(K972/$AH972, F!$O$21:$O$33,1), MATCH(E972, F!$P$20:$AB$20,1)),0) +  IFERROR( Q972*INDEX(F!$P$21:$AB$33, MATCH(O972/$AH972, F!$O$21:$O$33,1), MATCH(E972, F!$P$20:$AB$20,1)), 0) + IFERROR( U972*INDEX(F!$P$21:$AB$33, MATCH(S972/$AH972, F!$O$21:$O$33,1), MATCH(E972, F!$P$20:$AB$20,1)),0)  + IFERROR(Y972*INDEX(F!$P$21:$AB$33, MATCH(W972/$AH972, F!$O$21:$O$33,1), MATCH(E972, F!$P$20:$AB$20,1)),0)  + IFERROR( AC972*INDEX(F!$P$21:$AB$33, MATCH(AA972/$AH972, F!$O$21:$O$33,1), MATCH(E972, F!$P$20:$AB$20,1)),)</f>
        <v>0</v>
      </c>
      <c r="AL972" s="59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 ht="15.75" hidden="1" customHeight="1">
      <c r="A973" s="98"/>
      <c r="B973" s="150"/>
      <c r="C973" s="151"/>
      <c r="D973" s="152"/>
      <c r="E973" s="102">
        <f>ROUND(IFERROR(SUMPRODUCT(AJ965:AJ972,E965:E972)/AJ973,0),3)</f>
        <v>0</v>
      </c>
      <c r="F973" s="153"/>
      <c r="G973" s="154"/>
      <c r="H973" s="155"/>
      <c r="I973" s="155"/>
      <c r="J973" s="156"/>
      <c r="K973" s="154"/>
      <c r="L973" s="155"/>
      <c r="M973" s="155"/>
      <c r="N973" s="156"/>
      <c r="O973" s="154"/>
      <c r="P973" s="155"/>
      <c r="Q973" s="155"/>
      <c r="R973" s="156"/>
      <c r="S973" s="154"/>
      <c r="T973" s="155"/>
      <c r="U973" s="155"/>
      <c r="V973" s="156"/>
      <c r="W973" s="154"/>
      <c r="X973" s="155"/>
      <c r="Y973" s="155"/>
      <c r="Z973" s="156"/>
      <c r="AA973" s="154"/>
      <c r="AB973" s="155"/>
      <c r="AC973" s="155"/>
      <c r="AD973" s="156"/>
      <c r="AE973" s="107">
        <f>SUM(AE965:AE972)</f>
        <v>0</v>
      </c>
      <c r="AF973" s="108">
        <f t="shared" si="1930"/>
        <v>0</v>
      </c>
      <c r="AG973" s="109">
        <f>IFERROR(  SUMPRODUCT(AG965:AG972,AJ965:AJ972)/AJ973,0)</f>
        <v>0</v>
      </c>
      <c r="AH973" s="157"/>
      <c r="AI973" s="111">
        <f t="shared" ref="AI973:AJ973" si="1959">SUM(AI965:AI972)</f>
        <v>0</v>
      </c>
      <c r="AJ973" s="111">
        <f t="shared" si="1959"/>
        <v>0</v>
      </c>
      <c r="AK973" s="112">
        <f>IF(SUM(AK965:AK972)=0,TIME(,0,),TIME(,SUM(AK965:AK972)+F!$V$37,))</f>
        <v>0</v>
      </c>
      <c r="AL973" s="98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 ht="15.75" hidden="1" customHeight="1">
      <c r="A974" s="158">
        <f>A975</f>
        <v>43903</v>
      </c>
      <c r="B974" s="159" t="str">
        <f t="shared" ref="B974:F974" si="1960">IF(B918="","",B918)</f>
        <v>Тяжелая</v>
      </c>
      <c r="C974" s="160" t="str">
        <f t="shared" si="1960"/>
        <v>ПР</v>
      </c>
      <c r="D974" s="161" t="str">
        <f t="shared" si="1960"/>
        <v>Присед</v>
      </c>
      <c r="E974" s="29">
        <f t="shared" si="1960"/>
        <v>1.2</v>
      </c>
      <c r="F974" s="162" t="str">
        <f t="shared" si="1960"/>
        <v/>
      </c>
      <c r="G974" s="163" t="str">
        <f t="shared" ref="G974:G981" si="1962">IF(J974&lt;&gt;0, IFERROR(IF( $F974=2,  MROUND($AH974*J974,1),    IF( OR($F974="",$F974=1),   MROUND($AH974*J974,2.5),  MROUND($AH974*J974, 0.1))), "" ), "")</f>
        <v/>
      </c>
      <c r="H974" s="164"/>
      <c r="I974" s="164"/>
      <c r="J974" s="165"/>
      <c r="K974" s="163" t="str">
        <f t="shared" ref="K974:K981" si="1963">IF(N974&lt;&gt;0, IFERROR(IF( $F974=2,  MROUND($AH974*N974,1),    IF( OR($F974="",$F974=1),   MROUND($AH974*N974,2.5),  MROUND($AH974*N974, 0.1))), "" ), "")</f>
        <v/>
      </c>
      <c r="L974" s="164"/>
      <c r="M974" s="164"/>
      <c r="N974" s="165"/>
      <c r="O974" s="163" t="str">
        <f t="shared" ref="O974:O981" si="1964">IF(R974&lt;&gt;0, IFERROR(IF( $F974=2,  MROUND($AH974*R974,1),    IF( OR($F974="",$F974=1),   MROUND($AH974*R974,2.5),  MROUND($AH974*R974, 0.1))), "" ), "")</f>
        <v/>
      </c>
      <c r="P974" s="164"/>
      <c r="Q974" s="164"/>
      <c r="R974" s="165"/>
      <c r="S974" s="163" t="str">
        <f t="shared" ref="S974:S981" si="1965">IF(V974&lt;&gt;0, IFERROR(IF( $F974=2,  MROUND($AH974*V974,1),    IF( OR($F974="",$F974=1),   MROUND($AH974*V974,2.5),  MROUND($AH974*V974, 0.1))), "" ), "")</f>
        <v/>
      </c>
      <c r="T974" s="164"/>
      <c r="U974" s="164"/>
      <c r="V974" s="165"/>
      <c r="W974" s="163" t="str">
        <f t="shared" ref="W974:W981" si="1966">IF(Z974&lt;&gt;0, IFERROR(IF( $F974=2,  MROUND($AH974*Z974,1),    IF( OR($F974="",$F974=1),   MROUND($AH974*Z974,2.5),  MROUND($AH974*Z974, 0.1))), "" ), "")</f>
        <v/>
      </c>
      <c r="X974" s="164"/>
      <c r="Y974" s="164"/>
      <c r="Z974" s="165"/>
      <c r="AA974" s="163" t="str">
        <f t="shared" ref="AA974:AA981" si="1967">IF(AD974&lt;&gt;0, IFERROR(IF( $F974=2,  MROUND($AH974*AD974,1),    IF( OR($F974="",$F974=1),   MROUND($AH974*AD974,2.5),  MROUND($AH974*AD974, 0.1))), "" ), "")</f>
        <v/>
      </c>
      <c r="AB974" s="164"/>
      <c r="AC974" s="164"/>
      <c r="AD974" s="165"/>
      <c r="AE974" s="166">
        <f t="shared" ref="AE974:AE981" si="1968">(IF(ISNUMBER(G974),G974,0)*H974*I974+IF(ISNUMBER(K974),K974,1)*L974*M974+IF(ISNUMBER(O974),O974,1)*P974*Q974+IF(ISNUMBER(S974),S974,1)*T974*U974+IF(ISNUMBER(W974),W974,1)*X974*Y974+IF(ISNUMBER(AA974),AA974,1)*AB974*AC974)*IF(ISNUMBER(F974),F974,1)</f>
        <v>0</v>
      </c>
      <c r="AF974" s="167">
        <f t="shared" si="1930"/>
        <v>0</v>
      </c>
      <c r="AG974" s="168">
        <f t="shared" ref="AG974:AG981" si="1969">IFERROR((AF974/(AH974*IF(ISNUMBER(F974),F974,1))),0)</f>
        <v>0</v>
      </c>
      <c r="AH974" s="169">
        <f t="shared" ref="AH974:AH981" si="1970">IF(ISNUMBER(AH918), AH918+(AH918*$AH$954),"")</f>
        <v>189.0325916</v>
      </c>
      <c r="AI974" s="167">
        <f> ( IF(ISNUMBER(G974), VLOOKUP(G974/$AH974,F!$A1:$B101,2,1)*G974*$H974*$I974,0)+IF(ISNUMBER(K974), VLOOKUP(K974/$AH974,F!$A1:$B101,2,1)*K974*$L974*$M974,0)+IF(ISNUMBER(O974), VLOOKUP(O974/$AH974,F!$A1:$B101,2,1)*O974*$P974*$Q974,0)+IF(ISNUMBER(S974), VLOOKUP(S974/$AH974,F!$A1:$B101,2,1)*S974*$T974*$U974,0)+IF(ISNUMBER(W974), VLOOKUP(W974/$AH974,F!$A1:$B101,2,1)*W974*$X974*$Y974,0)+IF(ISNUMBER(AA974), VLOOKUP(AA974/$AH974,F!$A1:$B101,2,1)*AA974*$AB974*$AC974,0))*IF(ISNUMBER(F974),F974,1)*IF(ISNUMBER(E974),E974,1)</f>
        <v>0</v>
      </c>
      <c r="AJ974" s="164">
        <f t="shared" ref="AJ974:AJ981" si="1971">H974*I974+L974*M974+P974*Q974+T974*U974+X974*Y974+AB974*AC974</f>
        <v>0</v>
      </c>
      <c r="AK974" s="170">
        <f t="array" ref="AK974">IFERROR(I974*INDEX(F!$P$21:$AB$33, MATCH(G974/$AH974, F!$O$21:$O$33,1), MATCH(E974, F!$P$20:$AB$20,1)), 0 ) +IFERROR( M974*INDEX(F!$P$21:$AB$33, MATCH(K974/$AH974, F!$O$21:$O$33,1), MATCH(E974, F!$P$20:$AB$20,1)),0) +  IFERROR( Q974*INDEX(F!$P$21:$AB$33, MATCH(O974/$AH974, F!$O$21:$O$33,1), MATCH(E974, F!$P$20:$AB$20,1)), 0) + IFERROR( U974*INDEX(F!$P$21:$AB$33, MATCH(S974/$AH974, F!$O$21:$O$33,1), MATCH(E974, F!$P$20:$AB$20,1)),0)  + IFERROR(Y974*INDEX(F!$P$21:$AB$33, MATCH(W974/$AH974, F!$O$21:$O$33,1), MATCH(E974, F!$P$20:$AB$20,1)),0)  + IFERROR( AC974*INDEX(F!$P$21:$AB$33, MATCH(AA974/$AH974, F!$O$21:$O$33,1), MATCH(E974, F!$P$20:$AB$20,1)),)</f>
        <v>0</v>
      </c>
      <c r="AL974" s="42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 ht="15.75" hidden="1" customHeight="1">
      <c r="A975" s="44">
        <f>A919+A898</f>
        <v>43903</v>
      </c>
      <c r="B975" s="135" t="str">
        <f t="shared" ref="B975:F975" si="1961">IF(B919="","",B919)</f>
        <v>Тяжелая</v>
      </c>
      <c r="C975" s="136" t="str">
        <f t="shared" si="1961"/>
        <v>ЖМ</v>
      </c>
      <c r="D975" s="137" t="str">
        <f t="shared" si="1961"/>
        <v>Жим лежа</v>
      </c>
      <c r="E975" s="48">
        <f t="shared" si="1961"/>
        <v>1</v>
      </c>
      <c r="F975" s="138" t="str">
        <f t="shared" si="1961"/>
        <v/>
      </c>
      <c r="G975" s="139" t="str">
        <f t="shared" si="1962"/>
        <v/>
      </c>
      <c r="H975" s="140"/>
      <c r="I975" s="140"/>
      <c r="J975" s="141"/>
      <c r="K975" s="139" t="str">
        <f t="shared" si="1963"/>
        <v/>
      </c>
      <c r="L975" s="140"/>
      <c r="M975" s="140"/>
      <c r="N975" s="141"/>
      <c r="O975" s="139" t="str">
        <f t="shared" si="1964"/>
        <v/>
      </c>
      <c r="P975" s="140"/>
      <c r="Q975" s="140"/>
      <c r="R975" s="141"/>
      <c r="S975" s="139" t="str">
        <f t="shared" si="1965"/>
        <v/>
      </c>
      <c r="T975" s="140"/>
      <c r="U975" s="140"/>
      <c r="V975" s="141"/>
      <c r="W975" s="139" t="str">
        <f t="shared" si="1966"/>
        <v/>
      </c>
      <c r="X975" s="140"/>
      <c r="Y975" s="140"/>
      <c r="Z975" s="141"/>
      <c r="AA975" s="139" t="str">
        <f t="shared" si="1967"/>
        <v/>
      </c>
      <c r="AB975" s="140"/>
      <c r="AC975" s="140"/>
      <c r="AD975" s="141"/>
      <c r="AE975" s="142">
        <f t="shared" si="1968"/>
        <v>0</v>
      </c>
      <c r="AF975" s="143">
        <f t="shared" si="1930"/>
        <v>0</v>
      </c>
      <c r="AG975" s="144">
        <f t="shared" si="1969"/>
        <v>0</v>
      </c>
      <c r="AH975" s="76">
        <f t="shared" si="1970"/>
        <v>133.0229348</v>
      </c>
      <c r="AI975" s="143">
        <f> ( IF(ISNUMBER(G975), VLOOKUP(G975/$AH975,F!$A1:$B101,2,1)*G975*$H975*$I975,0)+IF(ISNUMBER(K975), VLOOKUP(K975/$AH975,F!$A1:$B101,2,1)*K975*$L975*$M975,0)+IF(ISNUMBER(O975), VLOOKUP(O975/$AH975,F!$A1:$B101,2,1)*O975*$P975*$Q975,0)+IF(ISNUMBER(S975), VLOOKUP(S975/$AH975,F!$A1:$B101,2,1)*S975*$T975*$U975,0)+IF(ISNUMBER(W975), VLOOKUP(W975/$AH975,F!$A1:$B101,2,1)*W975*$X975*$Y975,0)+IF(ISNUMBER(AA975), VLOOKUP(AA975/$AH975,F!$A1:$B101,2,1)*AA975*$AB975*$AC975,0))*IF(ISNUMBER(F975),F975,1)*IF(ISNUMBER(E975),E975,1)</f>
        <v>0</v>
      </c>
      <c r="AJ975" s="140">
        <f t="shared" si="1971"/>
        <v>0</v>
      </c>
      <c r="AK975" s="145">
        <f t="array" ref="AK975">IFERROR(I975*INDEX(F!$P$21:$AB$33, MATCH(G975/$AH975, F!$O$21:$O$33,1), MATCH(E975, F!$P$20:$AB$20,1)), 0 ) +IFERROR( M975*INDEX(F!$P$21:$AB$33, MATCH(K975/$AH975, F!$O$21:$O$33,1), MATCH(E975, F!$P$20:$AB$20,1)),0) +  IFERROR( Q975*INDEX(F!$P$21:$AB$33, MATCH(O975/$AH975, F!$O$21:$O$33,1), MATCH(E975, F!$P$20:$AB$20,1)), 0) + IFERROR( U975*INDEX(F!$P$21:$AB$33, MATCH(S975/$AH975, F!$O$21:$O$33,1), MATCH(E975, F!$P$20:$AB$20,1)),0)  + IFERROR(Y975*INDEX(F!$P$21:$AB$33, MATCH(W975/$AH975, F!$O$21:$O$33,1), MATCH(E975, F!$P$20:$AB$20,1)),0)  + IFERROR( AC975*INDEX(F!$P$21:$AB$33, MATCH(AA975/$AH975, F!$O$21:$O$33,1), MATCH(E975, F!$P$20:$AB$20,1)),)</f>
        <v>0</v>
      </c>
      <c r="AL975" s="59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 ht="15.75" hidden="1" customHeight="1">
      <c r="A976" s="59"/>
      <c r="B976" s="173" t="str">
        <f t="shared" ref="B976:F976" si="1972">IF(B920="","",B920)</f>
        <v>Средняя</v>
      </c>
      <c r="C976" s="174" t="str">
        <f t="shared" si="1972"/>
        <v>ПР</v>
      </c>
      <c r="D976" s="175" t="str">
        <f t="shared" si="1972"/>
        <v>Присед</v>
      </c>
      <c r="E976" s="48">
        <f t="shared" si="1972"/>
        <v>1.2</v>
      </c>
      <c r="F976" s="176" t="str">
        <f t="shared" si="1972"/>
        <v/>
      </c>
      <c r="G976" s="177" t="str">
        <f t="shared" si="1962"/>
        <v/>
      </c>
      <c r="H976" s="178"/>
      <c r="I976" s="178"/>
      <c r="J976" s="179"/>
      <c r="K976" s="177" t="str">
        <f t="shared" si="1963"/>
        <v/>
      </c>
      <c r="L976" s="178"/>
      <c r="M976" s="178"/>
      <c r="N976" s="179"/>
      <c r="O976" s="177" t="str">
        <f t="shared" si="1964"/>
        <v/>
      </c>
      <c r="P976" s="178"/>
      <c r="Q976" s="178"/>
      <c r="R976" s="179"/>
      <c r="S976" s="177" t="str">
        <f t="shared" si="1965"/>
        <v/>
      </c>
      <c r="T976" s="178"/>
      <c r="U976" s="178"/>
      <c r="V976" s="179"/>
      <c r="W976" s="177" t="str">
        <f t="shared" si="1966"/>
        <v/>
      </c>
      <c r="X976" s="178"/>
      <c r="Y976" s="178"/>
      <c r="Z976" s="179"/>
      <c r="AA976" s="177" t="str">
        <f t="shared" si="1967"/>
        <v/>
      </c>
      <c r="AB976" s="178"/>
      <c r="AC976" s="178"/>
      <c r="AD976" s="179"/>
      <c r="AE976" s="180">
        <f t="shared" si="1968"/>
        <v>0</v>
      </c>
      <c r="AF976" s="181">
        <f t="shared" si="1930"/>
        <v>0</v>
      </c>
      <c r="AG976" s="182">
        <f t="shared" si="1969"/>
        <v>0</v>
      </c>
      <c r="AH976" s="76">
        <f t="shared" si="1970"/>
        <v>189.0325916</v>
      </c>
      <c r="AI976" s="181">
        <f> ( IF(ISNUMBER(G976), VLOOKUP(G976/$AH976,F!$A1:$B101,2,1)*G976*$H976*$I976,0)+IF(ISNUMBER(K976), VLOOKUP(K976/$AH976,F!$A1:$B101,2,1)*K976*$L976*$M976,0)+IF(ISNUMBER(O976), VLOOKUP(O976/$AH976,F!$A1:$B101,2,1)*O976*$P976*$Q976,0)+IF(ISNUMBER(S976), VLOOKUP(S976/$AH976,F!$A1:$B101,2,1)*S976*$T976*$U976,0)+IF(ISNUMBER(W976), VLOOKUP(W976/$AH976,F!$A1:$B101,2,1)*W976*$X976*$Y976,0)+IF(ISNUMBER(AA976), VLOOKUP(AA976/$AH976,F!$A1:$B101,2,1)*AA976*$AB976*$AC976,0))*IF(ISNUMBER(F976),F976,1)*IF(ISNUMBER(E976),E976,1)</f>
        <v>0</v>
      </c>
      <c r="AJ976" s="178">
        <f t="shared" si="1971"/>
        <v>0</v>
      </c>
      <c r="AK976" s="183">
        <f t="array" ref="AK976">IFERROR(I976*INDEX(F!$P$21:$AB$33, MATCH(G976/$AH976, F!$O$21:$O$33,1), MATCH(E976, F!$P$20:$AB$20,1)), 0 ) +IFERROR( M976*INDEX(F!$P$21:$AB$33, MATCH(K976/$AH976, F!$O$21:$O$33,1), MATCH(E976, F!$P$20:$AB$20,1)),0) +  IFERROR( Q976*INDEX(F!$P$21:$AB$33, MATCH(O976/$AH976, F!$O$21:$O$33,1), MATCH(E976, F!$P$20:$AB$20,1)), 0) + IFERROR( U976*INDEX(F!$P$21:$AB$33, MATCH(S976/$AH976, F!$O$21:$O$33,1), MATCH(E976, F!$P$20:$AB$20,1)),0)  + IFERROR(Y976*INDEX(F!$P$21:$AB$33, MATCH(W976/$AH976, F!$O$21:$O$33,1), MATCH(E976, F!$P$20:$AB$20,1)),0)  + IFERROR( AC976*INDEX(F!$P$21:$AB$33, MATCH(AA976/$AH976, F!$O$21:$O$33,1), MATCH(E976, F!$P$20:$AB$20,1)),)</f>
        <v>0</v>
      </c>
      <c r="AL976" s="59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 ht="15.75" hidden="1" customHeight="1">
      <c r="A977" s="59"/>
      <c r="B977" s="135" t="str">
        <f t="shared" ref="B977:F977" si="1973">IF(B921="","",B921)</f>
        <v>Средняя</v>
      </c>
      <c r="C977" s="136" t="str">
        <f t="shared" si="1973"/>
        <v>ЖМ</v>
      </c>
      <c r="D977" s="137" t="str">
        <f t="shared" si="1973"/>
        <v>Жим на наклонной скамье</v>
      </c>
      <c r="E977" s="48">
        <f t="shared" si="1973"/>
        <v>1</v>
      </c>
      <c r="F977" s="138" t="str">
        <f t="shared" si="1973"/>
        <v/>
      </c>
      <c r="G977" s="139" t="str">
        <f t="shared" si="1962"/>
        <v/>
      </c>
      <c r="H977" s="140"/>
      <c r="I977" s="140"/>
      <c r="J977" s="141"/>
      <c r="K977" s="139" t="str">
        <f t="shared" si="1963"/>
        <v/>
      </c>
      <c r="L977" s="140"/>
      <c r="M977" s="140"/>
      <c r="N977" s="141"/>
      <c r="O977" s="139" t="str">
        <f t="shared" si="1964"/>
        <v/>
      </c>
      <c r="P977" s="140"/>
      <c r="Q977" s="140"/>
      <c r="R977" s="141"/>
      <c r="S977" s="139" t="str">
        <f t="shared" si="1965"/>
        <v/>
      </c>
      <c r="T977" s="140"/>
      <c r="U977" s="140"/>
      <c r="V977" s="141"/>
      <c r="W977" s="139" t="str">
        <f t="shared" si="1966"/>
        <v/>
      </c>
      <c r="X977" s="140"/>
      <c r="Y977" s="140"/>
      <c r="Z977" s="141"/>
      <c r="AA977" s="139" t="str">
        <f t="shared" si="1967"/>
        <v/>
      </c>
      <c r="AB977" s="140"/>
      <c r="AC977" s="140"/>
      <c r="AD977" s="141"/>
      <c r="AE977" s="142">
        <f t="shared" si="1968"/>
        <v>0</v>
      </c>
      <c r="AF977" s="143">
        <f t="shared" si="1930"/>
        <v>0</v>
      </c>
      <c r="AG977" s="144">
        <f t="shared" si="1969"/>
        <v>0</v>
      </c>
      <c r="AH977" s="76">
        <f t="shared" si="1970"/>
        <v>106.4183479</v>
      </c>
      <c r="AI977" s="143">
        <f> ( IF(ISNUMBER(G977), VLOOKUP(G977/$AH977,F!$A1:$B101,2,1)*G977*$H977*$I977,0)+IF(ISNUMBER(K977), VLOOKUP(K977/$AH977,F!$A1:$B101,2,1)*K977*$L977*$M977,0)+IF(ISNUMBER(O977), VLOOKUP(O977/$AH977,F!$A1:$B101,2,1)*O977*$P977*$Q977,0)+IF(ISNUMBER(S977), VLOOKUP(S977/$AH977,F!$A1:$B101,2,1)*S977*$T977*$U977,0)+IF(ISNUMBER(W977), VLOOKUP(W977/$AH977,F!$A1:$B101,2,1)*W977*$X977*$Y977,0)+IF(ISNUMBER(AA977), VLOOKUP(AA977/$AH977,F!$A1:$B101,2,1)*AA977*$AB977*$AC977,0))*IF(ISNUMBER(F977),F977,1)*IF(ISNUMBER(E977),E977,1)</f>
        <v>0</v>
      </c>
      <c r="AJ977" s="140">
        <f t="shared" si="1971"/>
        <v>0</v>
      </c>
      <c r="AK977" s="145">
        <f t="array" ref="AK977">IFERROR(I977*INDEX(F!$P$21:$AB$33, MATCH(G977/$AH977, F!$O$21:$O$33,1), MATCH(E977, F!$P$20:$AB$20,1)), 0 ) +IFERROR( M977*INDEX(F!$P$21:$AB$33, MATCH(K977/$AH977, F!$O$21:$O$33,1), MATCH(E977, F!$P$20:$AB$20,1)),0) +  IFERROR( Q977*INDEX(F!$P$21:$AB$33, MATCH(O977/$AH977, F!$O$21:$O$33,1), MATCH(E977, F!$P$20:$AB$20,1)), 0) + IFERROR( U977*INDEX(F!$P$21:$AB$33, MATCH(S977/$AH977, F!$O$21:$O$33,1), MATCH(E977, F!$P$20:$AB$20,1)),0)  + IFERROR(Y977*INDEX(F!$P$21:$AB$33, MATCH(W977/$AH977, F!$O$21:$O$33,1), MATCH(E977, F!$P$20:$AB$20,1)),0)  + IFERROR( AC977*INDEX(F!$P$21:$AB$33, MATCH(AA977/$AH977, F!$O$21:$O$33,1), MATCH(E977, F!$P$20:$AB$20,1)),)</f>
        <v>0</v>
      </c>
      <c r="AL977" s="59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 ht="15.75" hidden="1" customHeight="1">
      <c r="A978" s="59"/>
      <c r="B978" s="173" t="str">
        <f t="shared" ref="B978:F978" si="1974">IF(B922="","",B922)</f>
        <v>Средняя</v>
      </c>
      <c r="C978" s="174" t="str">
        <f t="shared" si="1974"/>
        <v>ОФП</v>
      </c>
      <c r="D978" s="175" t="str">
        <f t="shared" si="1974"/>
        <v>Бицепс стоя</v>
      </c>
      <c r="E978" s="48">
        <f t="shared" si="1974"/>
        <v>0.5</v>
      </c>
      <c r="F978" s="176" t="str">
        <f t="shared" si="1974"/>
        <v/>
      </c>
      <c r="G978" s="177" t="str">
        <f t="shared" si="1962"/>
        <v/>
      </c>
      <c r="H978" s="178"/>
      <c r="I978" s="178"/>
      <c r="J978" s="179"/>
      <c r="K978" s="177" t="str">
        <f t="shared" si="1963"/>
        <v/>
      </c>
      <c r="L978" s="178"/>
      <c r="M978" s="178"/>
      <c r="N978" s="179"/>
      <c r="O978" s="177" t="str">
        <f t="shared" si="1964"/>
        <v/>
      </c>
      <c r="P978" s="178"/>
      <c r="Q978" s="178"/>
      <c r="R978" s="179"/>
      <c r="S978" s="177" t="str">
        <f t="shared" si="1965"/>
        <v/>
      </c>
      <c r="T978" s="178"/>
      <c r="U978" s="178"/>
      <c r="V978" s="179"/>
      <c r="W978" s="177" t="str">
        <f t="shared" si="1966"/>
        <v/>
      </c>
      <c r="X978" s="178"/>
      <c r="Y978" s="178"/>
      <c r="Z978" s="179"/>
      <c r="AA978" s="177" t="str">
        <f t="shared" si="1967"/>
        <v/>
      </c>
      <c r="AB978" s="178"/>
      <c r="AC978" s="178"/>
      <c r="AD978" s="179"/>
      <c r="AE978" s="180">
        <f t="shared" si="1968"/>
        <v>0</v>
      </c>
      <c r="AF978" s="181">
        <f t="shared" si="1930"/>
        <v>0</v>
      </c>
      <c r="AG978" s="182">
        <f t="shared" si="1969"/>
        <v>0</v>
      </c>
      <c r="AH978" s="76" t="str">
        <f t="shared" si="1970"/>
        <v/>
      </c>
      <c r="AI978" s="181">
        <f> ( IF(ISNUMBER(G978), VLOOKUP(G978/$AH978,F!$A1:$B101,2,1)*G978*$H978*$I978,0)+IF(ISNUMBER(K978), VLOOKUP(K978/$AH978,F!$A1:$B101,2,1)*K978*$L978*$M978,0)+IF(ISNUMBER(O978), VLOOKUP(O978/$AH978,F!$A1:$B101,2,1)*O978*$P978*$Q978,0)+IF(ISNUMBER(S978), VLOOKUP(S978/$AH978,F!$A1:$B101,2,1)*S978*$T978*$U978,0)+IF(ISNUMBER(W978), VLOOKUP(W978/$AH978,F!$A1:$B101,2,1)*W978*$X978*$Y978,0)+IF(ISNUMBER(AA978), VLOOKUP(AA978/$AH978,F!$A1:$B101,2,1)*AA978*$AB978*$AC978,0))*IF(ISNUMBER(F978),F978,1)*IF(ISNUMBER(E978),E978,1)</f>
        <v>0</v>
      </c>
      <c r="AJ978" s="178">
        <f t="shared" si="1971"/>
        <v>0</v>
      </c>
      <c r="AK978" s="183">
        <f t="array" ref="AK978">IFERROR(I978*INDEX(F!$P$21:$AB$33, MATCH(G978/$AH978, F!$O$21:$O$33,1), MATCH(E978, F!$P$20:$AB$20,1)), 0 ) +IFERROR( M978*INDEX(F!$P$21:$AB$33, MATCH(K978/$AH978, F!$O$21:$O$33,1), MATCH(E978, F!$P$20:$AB$20,1)),0) +  IFERROR( Q978*INDEX(F!$P$21:$AB$33, MATCH(O978/$AH978, F!$O$21:$O$33,1), MATCH(E978, F!$P$20:$AB$20,1)), 0) + IFERROR( U978*INDEX(F!$P$21:$AB$33, MATCH(S978/$AH978, F!$O$21:$O$33,1), MATCH(E978, F!$P$20:$AB$20,1)),0)  + IFERROR(Y978*INDEX(F!$P$21:$AB$33, MATCH(W978/$AH978, F!$O$21:$O$33,1), MATCH(E978, F!$P$20:$AB$20,1)),0)  + IFERROR( AC978*INDEX(F!$P$21:$AB$33, MATCH(AA978/$AH978, F!$O$21:$O$33,1), MATCH(E978, F!$P$20:$AB$20,1)),)</f>
        <v>0</v>
      </c>
      <c r="AL978" s="59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 ht="15.75" hidden="1" customHeight="1">
      <c r="A979" s="59"/>
      <c r="B979" s="135" t="str">
        <f t="shared" ref="B979:F979" si="1975">IF(B923="","",B923)</f>
        <v/>
      </c>
      <c r="C979" s="136" t="str">
        <f t="shared" si="1975"/>
        <v/>
      </c>
      <c r="D979" s="137" t="str">
        <f t="shared" si="1975"/>
        <v/>
      </c>
      <c r="E979" s="48" t="str">
        <f t="shared" si="1975"/>
        <v/>
      </c>
      <c r="F979" s="138" t="str">
        <f t="shared" si="1975"/>
        <v/>
      </c>
      <c r="G979" s="139" t="str">
        <f t="shared" si="1962"/>
        <v/>
      </c>
      <c r="H979" s="140"/>
      <c r="I979" s="140"/>
      <c r="J979" s="141"/>
      <c r="K979" s="139" t="str">
        <f t="shared" si="1963"/>
        <v/>
      </c>
      <c r="L979" s="140"/>
      <c r="M979" s="140"/>
      <c r="N979" s="141"/>
      <c r="O979" s="139" t="str">
        <f t="shared" si="1964"/>
        <v/>
      </c>
      <c r="P979" s="140"/>
      <c r="Q979" s="140"/>
      <c r="R979" s="141"/>
      <c r="S979" s="139" t="str">
        <f t="shared" si="1965"/>
        <v/>
      </c>
      <c r="T979" s="140"/>
      <c r="U979" s="140"/>
      <c r="V979" s="141"/>
      <c r="W979" s="139" t="str">
        <f t="shared" si="1966"/>
        <v/>
      </c>
      <c r="X979" s="140"/>
      <c r="Y979" s="140"/>
      <c r="Z979" s="141"/>
      <c r="AA979" s="139" t="str">
        <f t="shared" si="1967"/>
        <v/>
      </c>
      <c r="AB979" s="140"/>
      <c r="AC979" s="140"/>
      <c r="AD979" s="141"/>
      <c r="AE979" s="142">
        <f t="shared" si="1968"/>
        <v>0</v>
      </c>
      <c r="AF979" s="143">
        <f t="shared" si="1930"/>
        <v>0</v>
      </c>
      <c r="AG979" s="144">
        <f t="shared" si="1969"/>
        <v>0</v>
      </c>
      <c r="AH979" s="76" t="str">
        <f t="shared" si="1970"/>
        <v/>
      </c>
      <c r="AI979" s="143">
        <f> ( IF(ISNUMBER(G979), VLOOKUP(G979/$AH979,F!$A1:$B101,2,1)*G979*$H979*$I979,0)+IF(ISNUMBER(K979), VLOOKUP(K979/$AH979,F!$A1:$B101,2,1)*K979*$L979*$M979,0)+IF(ISNUMBER(O979), VLOOKUP(O979/$AH979,F!$A1:$B101,2,1)*O979*$P979*$Q979,0)+IF(ISNUMBER(S979), VLOOKUP(S979/$AH979,F!$A1:$B101,2,1)*S979*$T979*$U979,0)+IF(ISNUMBER(W979), VLOOKUP(W979/$AH979,F!$A1:$B101,2,1)*W979*$X979*$Y979,0)+IF(ISNUMBER(AA979), VLOOKUP(AA979/$AH979,F!$A1:$B101,2,1)*AA979*$AB979*$AC979,0))*IF(ISNUMBER(F979),F979,1)*IF(ISNUMBER(E979),E979,1)</f>
        <v>0</v>
      </c>
      <c r="AJ979" s="140">
        <f t="shared" si="1971"/>
        <v>0</v>
      </c>
      <c r="AK979" s="145">
        <f t="array" ref="AK979">IFERROR(I979*INDEX(F!$P$21:$AB$33, MATCH(G979/$AH979, F!$O$21:$O$33,1), MATCH(E979, F!$P$20:$AB$20,1)), 0 ) +IFERROR( M979*INDEX(F!$P$21:$AB$33, MATCH(K979/$AH979, F!$O$21:$O$33,1), MATCH(E979, F!$P$20:$AB$20,1)),0) +  IFERROR( Q979*INDEX(F!$P$21:$AB$33, MATCH(O979/$AH979, F!$O$21:$O$33,1), MATCH(E979, F!$P$20:$AB$20,1)), 0) + IFERROR( U979*INDEX(F!$P$21:$AB$33, MATCH(S979/$AH979, F!$O$21:$O$33,1), MATCH(E979, F!$P$20:$AB$20,1)),0)  + IFERROR(Y979*INDEX(F!$P$21:$AB$33, MATCH(W979/$AH979, F!$O$21:$O$33,1), MATCH(E979, F!$P$20:$AB$20,1)),0)  + IFERROR( AC979*INDEX(F!$P$21:$AB$33, MATCH(AA979/$AH979, F!$O$21:$O$33,1), MATCH(E979, F!$P$20:$AB$20,1)),)</f>
        <v>0</v>
      </c>
      <c r="AL979" s="59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 ht="15.75" hidden="1" customHeight="1">
      <c r="A980" s="59"/>
      <c r="B980" s="173" t="str">
        <f t="shared" ref="B980:F980" si="1976">IF(B924="","",B924)</f>
        <v/>
      </c>
      <c r="C980" s="174" t="str">
        <f t="shared" si="1976"/>
        <v/>
      </c>
      <c r="D980" s="175" t="str">
        <f t="shared" si="1976"/>
        <v/>
      </c>
      <c r="E980" s="48" t="str">
        <f t="shared" si="1976"/>
        <v/>
      </c>
      <c r="F980" s="176" t="str">
        <f t="shared" si="1976"/>
        <v/>
      </c>
      <c r="G980" s="177" t="str">
        <f t="shared" si="1962"/>
        <v/>
      </c>
      <c r="H980" s="178"/>
      <c r="I980" s="178"/>
      <c r="J980" s="179"/>
      <c r="K980" s="177" t="str">
        <f t="shared" si="1963"/>
        <v/>
      </c>
      <c r="L980" s="178"/>
      <c r="M980" s="178"/>
      <c r="N980" s="179"/>
      <c r="O980" s="177" t="str">
        <f t="shared" si="1964"/>
        <v/>
      </c>
      <c r="P980" s="178"/>
      <c r="Q980" s="178"/>
      <c r="R980" s="179"/>
      <c r="S980" s="177" t="str">
        <f t="shared" si="1965"/>
        <v/>
      </c>
      <c r="T980" s="178"/>
      <c r="U980" s="178"/>
      <c r="V980" s="179"/>
      <c r="W980" s="177" t="str">
        <f t="shared" si="1966"/>
        <v/>
      </c>
      <c r="X980" s="178"/>
      <c r="Y980" s="178"/>
      <c r="Z980" s="179"/>
      <c r="AA980" s="177" t="str">
        <f t="shared" si="1967"/>
        <v/>
      </c>
      <c r="AB980" s="178"/>
      <c r="AC980" s="178"/>
      <c r="AD980" s="179"/>
      <c r="AE980" s="180">
        <f t="shared" si="1968"/>
        <v>0</v>
      </c>
      <c r="AF980" s="181">
        <f t="shared" si="1930"/>
        <v>0</v>
      </c>
      <c r="AG980" s="182">
        <f t="shared" si="1969"/>
        <v>0</v>
      </c>
      <c r="AH980" s="76" t="str">
        <f t="shared" si="1970"/>
        <v/>
      </c>
      <c r="AI980" s="181">
        <f> ( IF(ISNUMBER(G980), VLOOKUP(G980/$AH980,F!$A1:$B101,2,1)*G980*$H980*$I980,0)+IF(ISNUMBER(K980), VLOOKUP(K980/$AH980,F!$A1:$B101,2,1)*K980*$L980*$M980,0)+IF(ISNUMBER(O980), VLOOKUP(O980/$AH980,F!$A1:$B101,2,1)*O980*$P980*$Q980,0)+IF(ISNUMBER(S980), VLOOKUP(S980/$AH980,F!$A1:$B101,2,1)*S980*$T980*$U980,0)+IF(ISNUMBER(W980), VLOOKUP(W980/$AH980,F!$A1:$B101,2,1)*W980*$X980*$Y980,0)+IF(ISNUMBER(AA980), VLOOKUP(AA980/$AH980,F!$A1:$B101,2,1)*AA980*$AB980*$AC980,0))*IF(ISNUMBER(F980),F980,1)*IF(ISNUMBER(E980),E980,1)</f>
        <v>0</v>
      </c>
      <c r="AJ980" s="178">
        <f t="shared" si="1971"/>
        <v>0</v>
      </c>
      <c r="AK980" s="183">
        <f t="array" ref="AK980">IFERROR(I980*INDEX(F!$P$21:$AB$33, MATCH(G980/$AH980, F!$O$21:$O$33,1), MATCH(E980, F!$P$20:$AB$20,1)), 0 ) +IFERROR( M980*INDEX(F!$P$21:$AB$33, MATCH(K980/$AH980, F!$O$21:$O$33,1), MATCH(E980, F!$P$20:$AB$20,1)),0) +  IFERROR( Q980*INDEX(F!$P$21:$AB$33, MATCH(O980/$AH980, F!$O$21:$O$33,1), MATCH(E980, F!$P$20:$AB$20,1)), 0) + IFERROR( U980*INDEX(F!$P$21:$AB$33, MATCH(S980/$AH980, F!$O$21:$O$33,1), MATCH(E980, F!$P$20:$AB$20,1)),0)  + IFERROR(Y980*INDEX(F!$P$21:$AB$33, MATCH(W980/$AH980, F!$O$21:$O$33,1), MATCH(E980, F!$P$20:$AB$20,1)),0)  + IFERROR( AC980*INDEX(F!$P$21:$AB$33, MATCH(AA980/$AH980, F!$O$21:$O$33,1), MATCH(E980, F!$P$20:$AB$20,1)),)</f>
        <v>0</v>
      </c>
      <c r="AL980" s="59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 ht="15.75" hidden="1" customHeight="1">
      <c r="A981" s="59"/>
      <c r="B981" s="135" t="str">
        <f t="shared" ref="B981:F981" si="1977">IF(B925="","",B925)</f>
        <v/>
      </c>
      <c r="C981" s="136" t="str">
        <f t="shared" si="1977"/>
        <v/>
      </c>
      <c r="D981" s="137" t="str">
        <f t="shared" si="1977"/>
        <v/>
      </c>
      <c r="E981" s="48" t="str">
        <f t="shared" si="1977"/>
        <v/>
      </c>
      <c r="F981" s="138" t="str">
        <f t="shared" si="1977"/>
        <v/>
      </c>
      <c r="G981" s="139" t="str">
        <f t="shared" si="1962"/>
        <v/>
      </c>
      <c r="H981" s="140"/>
      <c r="I981" s="140"/>
      <c r="J981" s="141"/>
      <c r="K981" s="139" t="str">
        <f t="shared" si="1963"/>
        <v/>
      </c>
      <c r="L981" s="140"/>
      <c r="M981" s="140"/>
      <c r="N981" s="141"/>
      <c r="O981" s="139" t="str">
        <f t="shared" si="1964"/>
        <v/>
      </c>
      <c r="P981" s="140"/>
      <c r="Q981" s="140"/>
      <c r="R981" s="141"/>
      <c r="S981" s="139" t="str">
        <f t="shared" si="1965"/>
        <v/>
      </c>
      <c r="T981" s="140"/>
      <c r="U981" s="140"/>
      <c r="V981" s="141"/>
      <c r="W981" s="139" t="str">
        <f t="shared" si="1966"/>
        <v/>
      </c>
      <c r="X981" s="140"/>
      <c r="Y981" s="140"/>
      <c r="Z981" s="141"/>
      <c r="AA981" s="139" t="str">
        <f t="shared" si="1967"/>
        <v/>
      </c>
      <c r="AB981" s="140"/>
      <c r="AC981" s="140"/>
      <c r="AD981" s="141"/>
      <c r="AE981" s="142">
        <f t="shared" si="1968"/>
        <v>0</v>
      </c>
      <c r="AF981" s="143">
        <f t="shared" si="1930"/>
        <v>0</v>
      </c>
      <c r="AG981" s="144">
        <f t="shared" si="1969"/>
        <v>0</v>
      </c>
      <c r="AH981" s="76" t="str">
        <f t="shared" si="1970"/>
        <v/>
      </c>
      <c r="AI981" s="143">
        <f> ( IF(ISNUMBER(G981), VLOOKUP(G981/$AH981,F!$A1:$B101,2,1)*G981*$H981*$I981,0)+IF(ISNUMBER(K981), VLOOKUP(K981/$AH981,F!$A1:$B101,2,1)*K981*$L981*$M981,0)+IF(ISNUMBER(O981), VLOOKUP(O981/$AH981,F!$A1:$B101,2,1)*O981*$P981*$Q981,0)+IF(ISNUMBER(S981), VLOOKUP(S981/$AH981,F!$A1:$B101,2,1)*S981*$T981*$U981,0)+IF(ISNUMBER(W981), VLOOKUP(W981/$AH981,F!$A1:$B101,2,1)*W981*$X981*$Y981,0)+IF(ISNUMBER(AA981), VLOOKUP(AA981/$AH981,F!$A1:$B101,2,1)*AA981*$AB981*$AC981,0))*IF(ISNUMBER(F981),F981,1)*IF(ISNUMBER(E981),E981,1)</f>
        <v>0</v>
      </c>
      <c r="AJ981" s="140">
        <f t="shared" si="1971"/>
        <v>0</v>
      </c>
      <c r="AK981" s="145">
        <f t="array" ref="AK981">IFERROR(I981*INDEX(F!$P$21:$AB$33, MATCH(G981/$AH981, F!$O$21:$O$33,1), MATCH(E981, F!$P$20:$AB$20,1)), 0 ) +IFERROR( M981*INDEX(F!$P$21:$AB$33, MATCH(K981/$AH981, F!$O$21:$O$33,1), MATCH(E981, F!$P$20:$AB$20,1)),0) +  IFERROR( Q981*INDEX(F!$P$21:$AB$33, MATCH(O981/$AH981, F!$O$21:$O$33,1), MATCH(E981, F!$P$20:$AB$20,1)), 0) + IFERROR( U981*INDEX(F!$P$21:$AB$33, MATCH(S981/$AH981, F!$O$21:$O$33,1), MATCH(E981, F!$P$20:$AB$20,1)),0)  + IFERROR(Y981*INDEX(F!$P$21:$AB$33, MATCH(W981/$AH981, F!$O$21:$O$33,1), MATCH(E981, F!$P$20:$AB$20,1)),0)  + IFERROR( AC981*INDEX(F!$P$21:$AB$33, MATCH(AA981/$AH981, F!$O$21:$O$33,1), MATCH(E981, F!$P$20:$AB$20,1)),)</f>
        <v>0</v>
      </c>
      <c r="AL981" s="59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 ht="15.75" hidden="1" customHeight="1">
      <c r="A982" s="98"/>
      <c r="B982" s="188"/>
      <c r="C982" s="189"/>
      <c r="D982" s="190"/>
      <c r="E982" s="102">
        <f>ROUND(IFERROR(SUMPRODUCT(AJ974:AJ981,E974:E981)/AJ982,0),3)</f>
        <v>0</v>
      </c>
      <c r="F982" s="191"/>
      <c r="G982" s="192"/>
      <c r="H982" s="193"/>
      <c r="I982" s="193"/>
      <c r="J982" s="194"/>
      <c r="K982" s="192"/>
      <c r="L982" s="193"/>
      <c r="M982" s="193"/>
      <c r="N982" s="194"/>
      <c r="O982" s="192"/>
      <c r="P982" s="193"/>
      <c r="Q982" s="193"/>
      <c r="R982" s="194"/>
      <c r="S982" s="192"/>
      <c r="T982" s="193"/>
      <c r="U982" s="193"/>
      <c r="V982" s="194"/>
      <c r="W982" s="192"/>
      <c r="X982" s="193"/>
      <c r="Y982" s="193"/>
      <c r="Z982" s="194"/>
      <c r="AA982" s="192"/>
      <c r="AB982" s="193"/>
      <c r="AC982" s="193"/>
      <c r="AD982" s="194"/>
      <c r="AE982" s="107">
        <f>SUM(AE974:AE981)</f>
        <v>0</v>
      </c>
      <c r="AF982" s="108">
        <f t="shared" si="1930"/>
        <v>0</v>
      </c>
      <c r="AG982" s="109">
        <f>IFERROR(  SUMPRODUCT(AG974:AG981,AJ974:AJ981)/AJ982,0)</f>
        <v>0</v>
      </c>
      <c r="AH982" s="157"/>
      <c r="AI982" s="111">
        <f t="shared" ref="AI982:AJ982" si="1978">SUM(AI974:AI981)</f>
        <v>0</v>
      </c>
      <c r="AJ982" s="111">
        <f t="shared" si="1978"/>
        <v>0</v>
      </c>
      <c r="AK982" s="112">
        <f>IF(SUM(AK974:AK981)=0,TIME(,0,),TIME(,SUM(AK974:AK981)+F!$V$37,))</f>
        <v>0</v>
      </c>
      <c r="AL982" s="98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 ht="15.75" hidden="1" customHeight="1">
      <c r="A983" s="25">
        <f>A984</f>
        <v>43904</v>
      </c>
      <c r="B983" s="26" t="str">
        <f t="shared" ref="B983:F983" si="1979">IF(B927="","",B927)</f>
        <v/>
      </c>
      <c r="C983" s="27" t="str">
        <f t="shared" si="1979"/>
        <v/>
      </c>
      <c r="D983" s="28" t="str">
        <f t="shared" si="1979"/>
        <v/>
      </c>
      <c r="E983" s="29" t="str">
        <f t="shared" si="1979"/>
        <v/>
      </c>
      <c r="F983" s="30" t="str">
        <f t="shared" si="1979"/>
        <v/>
      </c>
      <c r="G983" s="31" t="str">
        <f t="shared" ref="G983:G990" si="1981">IF(J983&lt;&gt;0, IFERROR(IF( $F983=2,  MROUND($AH983*J983,1),    IF( OR($F983="",$F983=1),   MROUND($AH983*J983,2.5),  MROUND($AH983*J983, 0.1))), "" ), "")</f>
        <v/>
      </c>
      <c r="H983" s="32"/>
      <c r="I983" s="32"/>
      <c r="J983" s="33"/>
      <c r="K983" s="31" t="str">
        <f t="shared" ref="K983:K990" si="1982">IF(N983&lt;&gt;0, IFERROR(IF( $F983=2,  MROUND($AH983*N983,1),    IF( OR($F983="",$F983=1),   MROUND($AH983*N983,2.5),  MROUND($AH983*N983, 0.1))), "" ), "")</f>
        <v/>
      </c>
      <c r="L983" s="32"/>
      <c r="M983" s="32"/>
      <c r="N983" s="33"/>
      <c r="O983" s="31" t="str">
        <f t="shared" ref="O983:O990" si="1983">IF(R983&lt;&gt;0, IFERROR(IF( $F983=2,  MROUND($AH983*R983,1),    IF( OR($F983="",$F983=1),   MROUND($AH983*R983,2.5),  MROUND($AH983*R983, 0.1))), "" ), "")</f>
        <v/>
      </c>
      <c r="P983" s="32"/>
      <c r="Q983" s="32"/>
      <c r="R983" s="33"/>
      <c r="S983" s="31" t="str">
        <f t="shared" ref="S983:S990" si="1984">IF(V983&lt;&gt;0, IFERROR(IF( $F983=2,  MROUND($AH983*V983,1),    IF( OR($F983="",$F983=1),   MROUND($AH983*V983,2.5),  MROUND($AH983*V983, 0.1))), "" ), "")</f>
        <v/>
      </c>
      <c r="T983" s="32"/>
      <c r="U983" s="32"/>
      <c r="V983" s="33"/>
      <c r="W983" s="31" t="str">
        <f t="shared" ref="W983:W990" si="1985">IF(Z983&lt;&gt;0, IFERROR(IF( $F983=2,  MROUND($AH983*Z983,1),    IF( OR($F983="",$F983=1),   MROUND($AH983*Z983,2.5),  MROUND($AH983*Z983, 0.1))), "" ), "")</f>
        <v/>
      </c>
      <c r="X983" s="32"/>
      <c r="Y983" s="32"/>
      <c r="Z983" s="33"/>
      <c r="AA983" s="31" t="str">
        <f t="shared" ref="AA983:AA990" si="1986">IF(AD983&lt;&gt;0, IFERROR(IF( $F983=2,  MROUND($AH983*AD983,1),    IF( OR($F983="",$F983=1),   MROUND($AH983*AD983,2.5),  MROUND($AH983*AD983, 0.1))), "" ), "")</f>
        <v/>
      </c>
      <c r="AB983" s="32"/>
      <c r="AC983" s="32"/>
      <c r="AD983" s="33"/>
      <c r="AE983" s="35">
        <f t="shared" ref="AE983:AE990" si="1987">(IF(ISNUMBER(G983),G983,0)*H983*I983+IF(ISNUMBER(K983),K983,1)*L983*M983+IF(ISNUMBER(O983),O983,1)*P983*Q983+IF(ISNUMBER(S983),S983,1)*T983*U983+IF(ISNUMBER(W983),W983,1)*X983*Y983+IF(ISNUMBER(AA983),AA983,1)*AB983*AC983)*IF(ISNUMBER(F983),F983,1)</f>
        <v>0</v>
      </c>
      <c r="AF983" s="36">
        <f t="shared" si="1930"/>
        <v>0</v>
      </c>
      <c r="AG983" s="195">
        <f t="shared" ref="AG983:AG990" si="1988">IFERROR((AF983/(AH983*IF(ISNUMBER(F983),F983,1))),0)</f>
        <v>0</v>
      </c>
      <c r="AH983" s="169" t="str">
        <f t="shared" ref="AH983:AH990" si="1989">IF(ISNUMBER(AH927), AH927+(AH927*$AH$954),"")</f>
        <v/>
      </c>
      <c r="AI983" s="196">
        <f> ( IF(ISNUMBER(G983), VLOOKUP(G983/$AH983,F!$A1:$B101,2,1)*G983*$H983*$I983,0)+IF(ISNUMBER(K983), VLOOKUP(K983/$AH983,F!$A1:$B101,2,1)*K983*$L983*$M983,0)+IF(ISNUMBER(O983), VLOOKUP(O983/$AH983,F!$A1:$B101,2,1)*O983*$P983*$Q983,0)+IF(ISNUMBER(S983), VLOOKUP(S983/$AH983,F!$A1:$B101,2,1)*S983*$T983*$U983,0)+IF(ISNUMBER(W983), VLOOKUP(W983/$AH983,F!$A1:$B101,2,1)*W983*$X983*$Y983,0)+IF(ISNUMBER(AA983), VLOOKUP(AA983/$AH983,F!$A1:$B101,2,1)*AA983*$AB983*$AC983,0))*IF(ISNUMBER(F983),F983,1)*IF(ISNUMBER(E983),E983,1)</f>
        <v>0</v>
      </c>
      <c r="AJ983" s="40">
        <f t="shared" ref="AJ983:AJ990" si="1990">H983*I983+L983*M983+P983*Q983+T983*U983+X983*Y983+AB983*AC983</f>
        <v>0</v>
      </c>
      <c r="AK983" s="41">
        <f t="array" ref="AK983">IFERROR(I983*INDEX(F!$P$21:$AB$33, MATCH(G983/$AH983, F!$O$21:$O$33,1), MATCH(E983, F!$P$20:$AB$20,1)), 0 ) +IFERROR( M983*INDEX(F!$P$21:$AB$33, MATCH(K983/$AH983, F!$O$21:$O$33,1), MATCH(E983, F!$P$20:$AB$20,1)),0) +  IFERROR( Q983*INDEX(F!$P$21:$AB$33, MATCH(O983/$AH983, F!$O$21:$O$33,1), MATCH(E983, F!$P$20:$AB$20,1)), 0) + IFERROR( U983*INDEX(F!$P$21:$AB$33, MATCH(S983/$AH983, F!$O$21:$O$33,1), MATCH(E983, F!$P$20:$AB$20,1)),0)  + IFERROR(Y983*INDEX(F!$P$21:$AB$33, MATCH(W983/$AH983, F!$O$21:$O$33,1), MATCH(E983, F!$P$20:$AB$20,1)),0)  + IFERROR( AC983*INDEX(F!$P$21:$AB$33, MATCH(AA983/$AH983, F!$O$21:$O$33,1), MATCH(E983, F!$P$20:$AB$20,1)),)</f>
        <v>0</v>
      </c>
      <c r="AL983" s="42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 ht="15.75" hidden="1" customHeight="1">
      <c r="A984" s="44">
        <f>A928+A898</f>
        <v>43904</v>
      </c>
      <c r="B984" s="45" t="str">
        <f t="shared" ref="B984:F984" si="1980">IF(B928="","",B928)</f>
        <v/>
      </c>
      <c r="C984" s="46" t="str">
        <f t="shared" si="1980"/>
        <v/>
      </c>
      <c r="D984" s="47" t="str">
        <f t="shared" si="1980"/>
        <v/>
      </c>
      <c r="E984" s="48" t="str">
        <f t="shared" si="1980"/>
        <v/>
      </c>
      <c r="F984" s="49" t="str">
        <f t="shared" si="1980"/>
        <v/>
      </c>
      <c r="G984" s="50" t="str">
        <f t="shared" si="1981"/>
        <v/>
      </c>
      <c r="H984" s="51"/>
      <c r="I984" s="51"/>
      <c r="J984" s="52"/>
      <c r="K984" s="50" t="str">
        <f t="shared" si="1982"/>
        <v/>
      </c>
      <c r="L984" s="51"/>
      <c r="M984" s="51"/>
      <c r="N984" s="52"/>
      <c r="O984" s="50" t="str">
        <f t="shared" si="1983"/>
        <v/>
      </c>
      <c r="P984" s="51"/>
      <c r="Q984" s="51"/>
      <c r="R984" s="52"/>
      <c r="S984" s="50" t="str">
        <f t="shared" si="1984"/>
        <v/>
      </c>
      <c r="T984" s="51"/>
      <c r="U984" s="51"/>
      <c r="V984" s="52"/>
      <c r="W984" s="50" t="str">
        <f t="shared" si="1985"/>
        <v/>
      </c>
      <c r="X984" s="51"/>
      <c r="Y984" s="51"/>
      <c r="Z984" s="52"/>
      <c r="AA984" s="50" t="str">
        <f t="shared" si="1986"/>
        <v/>
      </c>
      <c r="AB984" s="51"/>
      <c r="AC984" s="51"/>
      <c r="AD984" s="52"/>
      <c r="AE984" s="53">
        <f t="shared" si="1987"/>
        <v>0</v>
      </c>
      <c r="AF984" s="54">
        <f t="shared" si="1930"/>
        <v>0</v>
      </c>
      <c r="AG984" s="75">
        <f t="shared" si="1988"/>
        <v>0</v>
      </c>
      <c r="AH984" s="76" t="str">
        <f t="shared" si="1989"/>
        <v/>
      </c>
      <c r="AI984" s="77">
        <f> ( IF(ISNUMBER(G984), VLOOKUP(G984/$AH984,F!$A1:$B101,2,1)*G984*$H984*$I984,0)+IF(ISNUMBER(K984), VLOOKUP(K984/$AH984,F!$A1:$B101,2,1)*K984*$L984*$M984,0)+IF(ISNUMBER(O984), VLOOKUP(O984/$AH984,F!$A1:$B101,2,1)*O984*$P984*$Q984,0)+IF(ISNUMBER(S984), VLOOKUP(S984/$AH984,F!$A1:$B101,2,1)*S984*$T984*$U984,0)+IF(ISNUMBER(W984), VLOOKUP(W984/$AH984,F!$A1:$B101,2,1)*W984*$X984*$Y984,0)+IF(ISNUMBER(AA984), VLOOKUP(AA984/$AH984,F!$A1:$B101,2,1)*AA984*$AB984*$AC984,0))*IF(ISNUMBER(F984),F984,1)*IF(ISNUMBER(E984),E984,1)</f>
        <v>0</v>
      </c>
      <c r="AJ984" s="57">
        <f t="shared" si="1990"/>
        <v>0</v>
      </c>
      <c r="AK984" s="58">
        <f t="array" ref="AK984">IFERROR(I984*INDEX(F!$P$21:$AB$33, MATCH(G984/$AH984, F!$O$21:$O$33,1), MATCH(E984, F!$P$20:$AB$20,1)), 0 ) +IFERROR( M984*INDEX(F!$P$21:$AB$33, MATCH(K984/$AH984, F!$O$21:$O$33,1), MATCH(E984, F!$P$20:$AB$20,1)),0) +  IFERROR( Q984*INDEX(F!$P$21:$AB$33, MATCH(O984/$AH984, F!$O$21:$O$33,1), MATCH(E984, F!$P$20:$AB$20,1)), 0) + IFERROR( U984*INDEX(F!$P$21:$AB$33, MATCH(S984/$AH984, F!$O$21:$O$33,1), MATCH(E984, F!$P$20:$AB$20,1)),0)  + IFERROR(Y984*INDEX(F!$P$21:$AB$33, MATCH(W984/$AH984, F!$O$21:$O$33,1), MATCH(E984, F!$P$20:$AB$20,1)),0)  + IFERROR( AC984*INDEX(F!$P$21:$AB$33, MATCH(AA984/$AH984, F!$O$21:$O$33,1), MATCH(E984, F!$P$20:$AB$20,1)),)</f>
        <v>0</v>
      </c>
      <c r="AL984" s="59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 ht="15.75" hidden="1" customHeight="1">
      <c r="A985" s="59"/>
      <c r="B985" s="60" t="str">
        <f t="shared" ref="B985:F985" si="1991">IF(B929="","",B929)</f>
        <v/>
      </c>
      <c r="C985" s="61" t="str">
        <f t="shared" si="1991"/>
        <v/>
      </c>
      <c r="D985" s="62" t="str">
        <f t="shared" si="1991"/>
        <v/>
      </c>
      <c r="E985" s="48" t="str">
        <f t="shared" si="1991"/>
        <v/>
      </c>
      <c r="F985" s="63" t="str">
        <f t="shared" si="1991"/>
        <v/>
      </c>
      <c r="G985" s="64" t="str">
        <f t="shared" si="1981"/>
        <v/>
      </c>
      <c r="H985" s="34"/>
      <c r="I985" s="34"/>
      <c r="J985" s="65"/>
      <c r="K985" s="64" t="str">
        <f t="shared" si="1982"/>
        <v/>
      </c>
      <c r="L985" s="34"/>
      <c r="M985" s="34"/>
      <c r="N985" s="65"/>
      <c r="O985" s="64" t="str">
        <f t="shared" si="1983"/>
        <v/>
      </c>
      <c r="P985" s="34"/>
      <c r="Q985" s="34"/>
      <c r="R985" s="65"/>
      <c r="S985" s="64" t="str">
        <f t="shared" si="1984"/>
        <v/>
      </c>
      <c r="T985" s="34"/>
      <c r="U985" s="34"/>
      <c r="V985" s="65"/>
      <c r="W985" s="64" t="str">
        <f t="shared" si="1985"/>
        <v/>
      </c>
      <c r="X985" s="34"/>
      <c r="Y985" s="34"/>
      <c r="Z985" s="65"/>
      <c r="AA985" s="64" t="str">
        <f t="shared" si="1986"/>
        <v/>
      </c>
      <c r="AB985" s="34"/>
      <c r="AC985" s="34"/>
      <c r="AD985" s="65"/>
      <c r="AE985" s="66">
        <f t="shared" si="1987"/>
        <v>0</v>
      </c>
      <c r="AF985" s="67">
        <f t="shared" si="1930"/>
        <v>0</v>
      </c>
      <c r="AG985" s="68">
        <f t="shared" si="1988"/>
        <v>0</v>
      </c>
      <c r="AH985" s="76" t="str">
        <f t="shared" si="1989"/>
        <v/>
      </c>
      <c r="AI985" s="70">
        <f> ( IF(ISNUMBER(G985), VLOOKUP(G985/$AH985,F!$A1:$B101,2,1)*G985*$H985*$I985,0)+IF(ISNUMBER(K985), VLOOKUP(K985/$AH985,F!$A1:$B101,2,1)*K985*$L985*$M985,0)+IF(ISNUMBER(O985), VLOOKUP(O985/$AH985,F!$A1:$B101,2,1)*O985*$P985*$Q985,0)+IF(ISNUMBER(S985), VLOOKUP(S985/$AH985,F!$A1:$B101,2,1)*S985*$T985*$U985,0)+IF(ISNUMBER(W985), VLOOKUP(W985/$AH985,F!$A1:$B101,2,1)*W985*$X985*$Y985,0)+IF(ISNUMBER(AA985), VLOOKUP(AA985/$AH985,F!$A1:$B101,2,1)*AA985*$AB985*$AC985,0))*IF(ISNUMBER(F985),F985,1)*IF(ISNUMBER(E985),E985,1)</f>
        <v>0</v>
      </c>
      <c r="AJ985" s="71">
        <f t="shared" si="1990"/>
        <v>0</v>
      </c>
      <c r="AK985" s="72">
        <f t="array" ref="AK985">IFERROR(I985*INDEX(F!$P$21:$AB$33, MATCH(G985/$AH985, F!$O$21:$O$33,1), MATCH(E985, F!$P$20:$AB$20,1)), 0 ) +IFERROR( M985*INDEX(F!$P$21:$AB$33, MATCH(K985/$AH985, F!$O$21:$O$33,1), MATCH(E985, F!$P$20:$AB$20,1)),0) +  IFERROR( Q985*INDEX(F!$P$21:$AB$33, MATCH(O985/$AH985, F!$O$21:$O$33,1), MATCH(E985, F!$P$20:$AB$20,1)), 0) + IFERROR( U985*INDEX(F!$P$21:$AB$33, MATCH(S985/$AH985, F!$O$21:$O$33,1), MATCH(E985, F!$P$20:$AB$20,1)),0)  + IFERROR(Y985*INDEX(F!$P$21:$AB$33, MATCH(W985/$AH985, F!$O$21:$O$33,1), MATCH(E985, F!$P$20:$AB$20,1)),0)  + IFERROR( AC985*INDEX(F!$P$21:$AB$33, MATCH(AA985/$AH985, F!$O$21:$O$33,1), MATCH(E985, F!$P$20:$AB$20,1)),)</f>
        <v>0</v>
      </c>
      <c r="AL985" s="59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 ht="15.75" hidden="1" customHeight="1">
      <c r="A986" s="59"/>
      <c r="B986" s="215" t="str">
        <f t="shared" ref="B986:F986" si="1992">IF(B930="","",B930)</f>
        <v/>
      </c>
      <c r="C986" s="73" t="str">
        <f t="shared" si="1992"/>
        <v/>
      </c>
      <c r="D986" s="47" t="str">
        <f t="shared" si="1992"/>
        <v/>
      </c>
      <c r="E986" s="48" t="str">
        <f t="shared" si="1992"/>
        <v/>
      </c>
      <c r="F986" s="74" t="str">
        <f t="shared" si="1992"/>
        <v/>
      </c>
      <c r="G986" s="50" t="str">
        <f t="shared" si="1981"/>
        <v/>
      </c>
      <c r="H986" s="51"/>
      <c r="I986" s="51"/>
      <c r="J986" s="52"/>
      <c r="K986" s="50" t="str">
        <f t="shared" si="1982"/>
        <v/>
      </c>
      <c r="L986" s="51"/>
      <c r="M986" s="51"/>
      <c r="N986" s="52"/>
      <c r="O986" s="50" t="str">
        <f t="shared" si="1983"/>
        <v/>
      </c>
      <c r="P986" s="51"/>
      <c r="Q986" s="51"/>
      <c r="R986" s="52"/>
      <c r="S986" s="50" t="str">
        <f t="shared" si="1984"/>
        <v/>
      </c>
      <c r="T986" s="51"/>
      <c r="U986" s="51"/>
      <c r="V986" s="52"/>
      <c r="W986" s="50" t="str">
        <f t="shared" si="1985"/>
        <v/>
      </c>
      <c r="X986" s="51"/>
      <c r="Y986" s="51"/>
      <c r="Z986" s="52"/>
      <c r="AA986" s="50" t="str">
        <f t="shared" si="1986"/>
        <v/>
      </c>
      <c r="AB986" s="51"/>
      <c r="AC986" s="51"/>
      <c r="AD986" s="52"/>
      <c r="AE986" s="53">
        <f t="shared" si="1987"/>
        <v>0</v>
      </c>
      <c r="AF986" s="54">
        <f t="shared" si="1930"/>
        <v>0</v>
      </c>
      <c r="AG986" s="75">
        <f t="shared" si="1988"/>
        <v>0</v>
      </c>
      <c r="AH986" s="76" t="str">
        <f t="shared" si="1989"/>
        <v/>
      </c>
      <c r="AI986" s="77">
        <f> ( IF(ISNUMBER(G986), VLOOKUP(G986/$AH986,F!$A1:$B101,2,1)*G986*$H986*$I986,0)+IF(ISNUMBER(K986), VLOOKUP(K986/$AH986,F!$A1:$B101,2,1)*K986*$L986*$M986,0)+IF(ISNUMBER(O986), VLOOKUP(O986/$AH986,F!$A1:$B101,2,1)*O986*$P986*$Q986,0)+IF(ISNUMBER(S986), VLOOKUP(S986/$AH986,F!$A1:$B101,2,1)*S986*$T986*$U986,0)+IF(ISNUMBER(W986), VLOOKUP(W986/$AH986,F!$A1:$B101,2,1)*W986*$X986*$Y986,0)+IF(ISNUMBER(AA986), VLOOKUP(AA986/$AH986,F!$A1:$B101,2,1)*AA986*$AB986*$AC986,0))*IF(ISNUMBER(F986),F986,1)*IF(ISNUMBER(E986),E986,1)</f>
        <v>0</v>
      </c>
      <c r="AJ986" s="57">
        <f t="shared" si="1990"/>
        <v>0</v>
      </c>
      <c r="AK986" s="58">
        <f t="array" ref="AK986">IFERROR(I986*INDEX(F!$P$21:$AB$33, MATCH(G986/$AH986, F!$O$21:$O$33,1), MATCH(E986, F!$P$20:$AB$20,1)), 0 ) +IFERROR( M986*INDEX(F!$P$21:$AB$33, MATCH(K986/$AH986, F!$O$21:$O$33,1), MATCH(E986, F!$P$20:$AB$20,1)),0) +  IFERROR( Q986*INDEX(F!$P$21:$AB$33, MATCH(O986/$AH986, F!$O$21:$O$33,1), MATCH(E986, F!$P$20:$AB$20,1)), 0) + IFERROR( U986*INDEX(F!$P$21:$AB$33, MATCH(S986/$AH986, F!$O$21:$O$33,1), MATCH(E986, F!$P$20:$AB$20,1)),0)  + IFERROR(Y986*INDEX(F!$P$21:$AB$33, MATCH(W986/$AH986, F!$O$21:$O$33,1), MATCH(E986, F!$P$20:$AB$20,1)),0)  + IFERROR( AC986*INDEX(F!$P$21:$AB$33, MATCH(AA986/$AH986, F!$O$21:$O$33,1), MATCH(E986, F!$P$20:$AB$20,1)),)</f>
        <v>0</v>
      </c>
      <c r="AL986" s="59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 ht="15.75" hidden="1" customHeight="1">
      <c r="A987" s="59"/>
      <c r="B987" s="216" t="str">
        <f t="shared" ref="B987:F987" si="1993">IF(B931="","",B931)</f>
        <v/>
      </c>
      <c r="C987" s="78" t="str">
        <f t="shared" si="1993"/>
        <v/>
      </c>
      <c r="D987" s="62" t="str">
        <f t="shared" si="1993"/>
        <v/>
      </c>
      <c r="E987" s="48" t="str">
        <f t="shared" si="1993"/>
        <v/>
      </c>
      <c r="F987" s="79" t="str">
        <f t="shared" si="1993"/>
        <v/>
      </c>
      <c r="G987" s="64" t="str">
        <f t="shared" si="1981"/>
        <v/>
      </c>
      <c r="H987" s="34"/>
      <c r="I987" s="34"/>
      <c r="J987" s="65"/>
      <c r="K987" s="64" t="str">
        <f t="shared" si="1982"/>
        <v/>
      </c>
      <c r="L987" s="34"/>
      <c r="M987" s="34"/>
      <c r="N987" s="65"/>
      <c r="O987" s="64" t="str">
        <f t="shared" si="1983"/>
        <v/>
      </c>
      <c r="P987" s="34"/>
      <c r="Q987" s="34"/>
      <c r="R987" s="65"/>
      <c r="S987" s="64" t="str">
        <f t="shared" si="1984"/>
        <v/>
      </c>
      <c r="T987" s="34"/>
      <c r="U987" s="34"/>
      <c r="V987" s="65"/>
      <c r="W987" s="64" t="str">
        <f t="shared" si="1985"/>
        <v/>
      </c>
      <c r="X987" s="34"/>
      <c r="Y987" s="34"/>
      <c r="Z987" s="65"/>
      <c r="AA987" s="64" t="str">
        <f t="shared" si="1986"/>
        <v/>
      </c>
      <c r="AB987" s="34"/>
      <c r="AC987" s="34"/>
      <c r="AD987" s="65"/>
      <c r="AE987" s="66">
        <f t="shared" si="1987"/>
        <v>0</v>
      </c>
      <c r="AF987" s="67">
        <f t="shared" si="1930"/>
        <v>0</v>
      </c>
      <c r="AG987" s="68">
        <f t="shared" si="1988"/>
        <v>0</v>
      </c>
      <c r="AH987" s="76" t="str">
        <f t="shared" si="1989"/>
        <v/>
      </c>
      <c r="AI987" s="70">
        <f> ( IF(ISNUMBER(G987), VLOOKUP(G987/$AH987,F!$A1:$B101,2,1)*G987*$H987*$I987,0)+IF(ISNUMBER(K987), VLOOKUP(K987/$AH987,F!$A1:$B101,2,1)*K987*$L987*$M987,0)+IF(ISNUMBER(O987), VLOOKUP(O987/$AH987,F!$A1:$B101,2,1)*O987*$P987*$Q987,0)+IF(ISNUMBER(S987), VLOOKUP(S987/$AH987,F!$A1:$B101,2,1)*S987*$T987*$U987,0)+IF(ISNUMBER(W987), VLOOKUP(W987/$AH987,F!$A1:$B101,2,1)*W987*$X987*$Y987,0)+IF(ISNUMBER(AA987), VLOOKUP(AA987/$AH987,F!$A1:$B101,2,1)*AA987*$AB987*$AC987,0))*IF(ISNUMBER(F987),F987,1)*IF(ISNUMBER(E987),E987,1)</f>
        <v>0</v>
      </c>
      <c r="AJ987" s="71">
        <f t="shared" si="1990"/>
        <v>0</v>
      </c>
      <c r="AK987" s="72">
        <f t="array" ref="AK987">IFERROR(I987*INDEX(F!$P$21:$AB$33, MATCH(G987/$AH987, F!$O$21:$O$33,1), MATCH(E987, F!$P$20:$AB$20,1)), 0 ) +IFERROR( M987*INDEX(F!$P$21:$AB$33, MATCH(K987/$AH987, F!$O$21:$O$33,1), MATCH(E987, F!$P$20:$AB$20,1)),0) +  IFERROR( Q987*INDEX(F!$P$21:$AB$33, MATCH(O987/$AH987, F!$O$21:$O$33,1), MATCH(E987, F!$P$20:$AB$20,1)), 0) + IFERROR( U987*INDEX(F!$P$21:$AB$33, MATCH(S987/$AH987, F!$O$21:$O$33,1), MATCH(E987, F!$P$20:$AB$20,1)),0)  + IFERROR(Y987*INDEX(F!$P$21:$AB$33, MATCH(W987/$AH987, F!$O$21:$O$33,1), MATCH(E987, F!$P$20:$AB$20,1)),0)  + IFERROR( AC987*INDEX(F!$P$21:$AB$33, MATCH(AA987/$AH987, F!$O$21:$O$33,1), MATCH(E987, F!$P$20:$AB$20,1)),)</f>
        <v>0</v>
      </c>
      <c r="AL987" s="59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 ht="15.75" hidden="1" customHeight="1">
      <c r="A988" s="59"/>
      <c r="B988" s="45" t="str">
        <f t="shared" ref="B988:F988" si="1994">IF(B932="","",B932)</f>
        <v/>
      </c>
      <c r="C988" s="46" t="str">
        <f t="shared" si="1994"/>
        <v/>
      </c>
      <c r="D988" s="197" t="str">
        <f t="shared" si="1994"/>
        <v/>
      </c>
      <c r="E988" s="48" t="str">
        <f t="shared" si="1994"/>
        <v/>
      </c>
      <c r="F988" s="83" t="str">
        <f t="shared" si="1994"/>
        <v/>
      </c>
      <c r="G988" s="50" t="str">
        <f t="shared" si="1981"/>
        <v/>
      </c>
      <c r="H988" s="51"/>
      <c r="I988" s="51"/>
      <c r="J988" s="52"/>
      <c r="K988" s="50" t="str">
        <f t="shared" si="1982"/>
        <v/>
      </c>
      <c r="L988" s="51"/>
      <c r="M988" s="51"/>
      <c r="N988" s="52"/>
      <c r="O988" s="50" t="str">
        <f t="shared" si="1983"/>
        <v/>
      </c>
      <c r="P988" s="51"/>
      <c r="Q988" s="51"/>
      <c r="R988" s="52"/>
      <c r="S988" s="50" t="str">
        <f t="shared" si="1984"/>
        <v/>
      </c>
      <c r="T988" s="51"/>
      <c r="U988" s="51"/>
      <c r="V988" s="52"/>
      <c r="W988" s="50" t="str">
        <f t="shared" si="1985"/>
        <v/>
      </c>
      <c r="X988" s="51"/>
      <c r="Y988" s="51"/>
      <c r="Z988" s="52"/>
      <c r="AA988" s="50" t="str">
        <f t="shared" si="1986"/>
        <v/>
      </c>
      <c r="AB988" s="51"/>
      <c r="AC988" s="51"/>
      <c r="AD988" s="52"/>
      <c r="AE988" s="53">
        <f t="shared" si="1987"/>
        <v>0</v>
      </c>
      <c r="AF988" s="54">
        <f t="shared" si="1930"/>
        <v>0</v>
      </c>
      <c r="AG988" s="75">
        <f t="shared" si="1988"/>
        <v>0</v>
      </c>
      <c r="AH988" s="76" t="str">
        <f t="shared" si="1989"/>
        <v/>
      </c>
      <c r="AI988" s="77">
        <f> ( IF(ISNUMBER(G988), VLOOKUP(G988/$AH988,F!$A1:$B101,2,1)*G988*$H988*$I988,0)+IF(ISNUMBER(K988), VLOOKUP(K988/$AH988,F!$A1:$B101,2,1)*K988*$L988*$M988,0)+IF(ISNUMBER(O988), VLOOKUP(O988/$AH988,F!$A1:$B101,2,1)*O988*$P988*$Q988,0)+IF(ISNUMBER(S988), VLOOKUP(S988/$AH988,F!$A1:$B101,2,1)*S988*$T988*$U988,0)+IF(ISNUMBER(W988), VLOOKUP(W988/$AH988,F!$A1:$B101,2,1)*W988*$X988*$Y988,0)+IF(ISNUMBER(AA988), VLOOKUP(AA988/$AH988,F!$A1:$B101,2,1)*AA988*$AB988*$AC988,0))*IF(ISNUMBER(F988),F988,1)*IF(ISNUMBER(E988),E988,1)</f>
        <v>0</v>
      </c>
      <c r="AJ988" s="86">
        <f t="shared" si="1990"/>
        <v>0</v>
      </c>
      <c r="AK988" s="58">
        <f t="array" ref="AK988">IFERROR(I988*INDEX(F!$P$21:$AB$33, MATCH(G988/$AH988, F!$O$21:$O$33,1), MATCH(E988, F!$P$20:$AB$20,1)), 0 ) +IFERROR( M988*INDEX(F!$P$21:$AB$33, MATCH(K988/$AH988, F!$O$21:$O$33,1), MATCH(E988, F!$P$20:$AB$20,1)),0) +  IFERROR( Q988*INDEX(F!$P$21:$AB$33, MATCH(O988/$AH988, F!$O$21:$O$33,1), MATCH(E988, F!$P$20:$AB$20,1)), 0) + IFERROR( U988*INDEX(F!$P$21:$AB$33, MATCH(S988/$AH988, F!$O$21:$O$33,1), MATCH(E988, F!$P$20:$AB$20,1)),0)  + IFERROR(Y988*INDEX(F!$P$21:$AB$33, MATCH(W988/$AH988, F!$O$21:$O$33,1), MATCH(E988, F!$P$20:$AB$20,1)),0)  + IFERROR( AC988*INDEX(F!$P$21:$AB$33, MATCH(AA988/$AH988, F!$O$21:$O$33,1), MATCH(E988, F!$P$20:$AB$20,1)),)</f>
        <v>0</v>
      </c>
      <c r="AL988" s="59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 ht="15.75" hidden="1" customHeight="1">
      <c r="A989" s="59"/>
      <c r="B989" s="60" t="str">
        <f t="shared" ref="B989:F989" si="1995">IF(B933="","",B933)</f>
        <v/>
      </c>
      <c r="C989" s="61" t="str">
        <f t="shared" si="1995"/>
        <v/>
      </c>
      <c r="D989" s="198" t="str">
        <f t="shared" si="1995"/>
        <v/>
      </c>
      <c r="E989" s="48" t="str">
        <f t="shared" si="1995"/>
        <v/>
      </c>
      <c r="F989" s="79" t="str">
        <f t="shared" si="1995"/>
        <v/>
      </c>
      <c r="G989" s="64" t="str">
        <f t="shared" si="1981"/>
        <v/>
      </c>
      <c r="H989" s="34"/>
      <c r="I989" s="34"/>
      <c r="J989" s="65"/>
      <c r="K989" s="64" t="str">
        <f t="shared" si="1982"/>
        <v/>
      </c>
      <c r="L989" s="34"/>
      <c r="M989" s="34"/>
      <c r="N989" s="65"/>
      <c r="O989" s="64" t="str">
        <f t="shared" si="1983"/>
        <v/>
      </c>
      <c r="P989" s="34"/>
      <c r="Q989" s="34"/>
      <c r="R989" s="65"/>
      <c r="S989" s="64" t="str">
        <f t="shared" si="1984"/>
        <v/>
      </c>
      <c r="T989" s="34"/>
      <c r="U989" s="34"/>
      <c r="V989" s="65"/>
      <c r="W989" s="64" t="str">
        <f t="shared" si="1985"/>
        <v/>
      </c>
      <c r="X989" s="34"/>
      <c r="Y989" s="34"/>
      <c r="Z989" s="65"/>
      <c r="AA989" s="64" t="str">
        <f t="shared" si="1986"/>
        <v/>
      </c>
      <c r="AB989" s="34"/>
      <c r="AC989" s="34"/>
      <c r="AD989" s="65"/>
      <c r="AE989" s="66">
        <f t="shared" si="1987"/>
        <v>0</v>
      </c>
      <c r="AF989" s="67">
        <f t="shared" si="1930"/>
        <v>0</v>
      </c>
      <c r="AG989" s="68">
        <f t="shared" si="1988"/>
        <v>0</v>
      </c>
      <c r="AH989" s="76" t="str">
        <f t="shared" si="1989"/>
        <v/>
      </c>
      <c r="AI989" s="90">
        <f> ( IF(ISNUMBER(G989), VLOOKUP(G989/$AH989,F!$A1:$B101,2,1)*G989*$H989*$I989,0)+IF(ISNUMBER(K989), VLOOKUP(K989/$AH989,F!$A1:$B101,2,1)*K989*$L989*$M989,0)+IF(ISNUMBER(O989), VLOOKUP(O989/$AH989,F!$A1:$B101,2,1)*O989*$P989*$Q989,0)+IF(ISNUMBER(S989), VLOOKUP(S989/$AH989,F!$A1:$B101,2,1)*S989*$T989*$U989,0)+IF(ISNUMBER(W989), VLOOKUP(W989/$AH989,F!$A1:$B101,2,1)*W989*$X989*$Y989,0)+IF(ISNUMBER(AA989), VLOOKUP(AA989/$AH989,F!$A1:$B101,2,1)*AA989*$AB989*$AC989,0))*IF(ISNUMBER(F989),F989,1)*IF(ISNUMBER(E989),E989,1)</f>
        <v>0</v>
      </c>
      <c r="AJ989" s="34">
        <f t="shared" si="1990"/>
        <v>0</v>
      </c>
      <c r="AK989" s="91">
        <f t="array" ref="AK989">IFERROR(I989*INDEX(F!$P$21:$AB$33, MATCH(G989/$AH989, F!$O$21:$O$33,1), MATCH(E989, F!$P$20:$AB$20,1)), 0 ) +IFERROR( M989*INDEX(F!$P$21:$AB$33, MATCH(K989/$AH989, F!$O$21:$O$33,1), MATCH(E989, F!$P$20:$AB$20,1)),0) +  IFERROR( Q989*INDEX(F!$P$21:$AB$33, MATCH(O989/$AH989, F!$O$21:$O$33,1), MATCH(E989, F!$P$20:$AB$20,1)), 0) + IFERROR( U989*INDEX(F!$P$21:$AB$33, MATCH(S989/$AH989, F!$O$21:$O$33,1), MATCH(E989, F!$P$20:$AB$20,1)),0)  + IFERROR(Y989*INDEX(F!$P$21:$AB$33, MATCH(W989/$AH989, F!$O$21:$O$33,1), MATCH(E989, F!$P$20:$AB$20,1)),0)  + IFERROR( AC989*INDEX(F!$P$21:$AB$33, MATCH(AA989/$AH989, F!$O$21:$O$33,1), MATCH(E989, F!$P$20:$AB$20,1)),)</f>
        <v>0</v>
      </c>
      <c r="AL989" s="59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 ht="15.75" hidden="1" customHeight="1">
      <c r="A990" s="59"/>
      <c r="B990" s="45" t="str">
        <f t="shared" ref="B990:F990" si="1996">IF(B934="","",B934)</f>
        <v/>
      </c>
      <c r="C990" s="46" t="str">
        <f t="shared" si="1996"/>
        <v/>
      </c>
      <c r="D990" s="92" t="str">
        <f t="shared" si="1996"/>
        <v/>
      </c>
      <c r="E990" s="48" t="str">
        <f t="shared" si="1996"/>
        <v/>
      </c>
      <c r="F990" s="74" t="str">
        <f t="shared" si="1996"/>
        <v/>
      </c>
      <c r="G990" s="50" t="str">
        <f t="shared" si="1981"/>
        <v/>
      </c>
      <c r="H990" s="51"/>
      <c r="I990" s="51"/>
      <c r="J990" s="52"/>
      <c r="K990" s="50" t="str">
        <f t="shared" si="1982"/>
        <v/>
      </c>
      <c r="L990" s="51"/>
      <c r="M990" s="51"/>
      <c r="N990" s="52"/>
      <c r="O990" s="50" t="str">
        <f t="shared" si="1983"/>
        <v/>
      </c>
      <c r="P990" s="51"/>
      <c r="Q990" s="51"/>
      <c r="R990" s="52"/>
      <c r="S990" s="50" t="str">
        <f t="shared" si="1984"/>
        <v/>
      </c>
      <c r="T990" s="51"/>
      <c r="U990" s="51"/>
      <c r="V990" s="52"/>
      <c r="W990" s="50" t="str">
        <f t="shared" si="1985"/>
        <v/>
      </c>
      <c r="X990" s="51"/>
      <c r="Y990" s="51"/>
      <c r="Z990" s="52"/>
      <c r="AA990" s="50" t="str">
        <f t="shared" si="1986"/>
        <v/>
      </c>
      <c r="AB990" s="51"/>
      <c r="AC990" s="51"/>
      <c r="AD990" s="52"/>
      <c r="AE990" s="53">
        <f t="shared" si="1987"/>
        <v>0</v>
      </c>
      <c r="AF990" s="93">
        <f t="shared" si="1930"/>
        <v>0</v>
      </c>
      <c r="AG990" s="94">
        <f t="shared" si="1988"/>
        <v>0</v>
      </c>
      <c r="AH990" s="76" t="str">
        <f t="shared" si="1989"/>
        <v/>
      </c>
      <c r="AI990" s="95">
        <f> ( IF(ISNUMBER(G990), VLOOKUP(G990/$AH990,F!$A1:$B101,2,1)*G990*$H990*$I990,0)+IF(ISNUMBER(K990), VLOOKUP(K990/$AH990,F!$A1:$B101,2,1)*K990*$L990*$M990,0)+IF(ISNUMBER(O990), VLOOKUP(O990/$AH990,F!$A1:$B101,2,1)*O990*$P990*$Q990,0)+IF(ISNUMBER(S990), VLOOKUP(S990/$AH990,F!$A1:$B101,2,1)*S990*$T990*$U990,0)+IF(ISNUMBER(W990), VLOOKUP(W990/$AH990,F!$A1:$B101,2,1)*W990*$X990*$Y990,0)+IF(ISNUMBER(AA990), VLOOKUP(AA990/$AH990,F!$A1:$B101,2,1)*AA990*$AB990*$AC990,0))*IF(ISNUMBER(F990),F990,1)*IF(ISNUMBER(E990),E990,1)</f>
        <v>0</v>
      </c>
      <c r="AJ990" s="96">
        <f t="shared" si="1990"/>
        <v>0</v>
      </c>
      <c r="AK990" s="97">
        <f t="array" ref="AK990">IFERROR(I990*INDEX(F!$P$21:$AB$33, MATCH(G990/$AH990, F!$O$21:$O$33,1), MATCH(E990, F!$P$20:$AB$20,1)), 0 ) +IFERROR( M990*INDEX(F!$P$21:$AB$33, MATCH(K990/$AH990, F!$O$21:$O$33,1), MATCH(E990, F!$P$20:$AB$20,1)),0) +  IFERROR( Q990*INDEX(F!$P$21:$AB$33, MATCH(O990/$AH990, F!$O$21:$O$33,1), MATCH(E990, F!$P$20:$AB$20,1)), 0) + IFERROR( U990*INDEX(F!$P$21:$AB$33, MATCH(S990/$AH990, F!$O$21:$O$33,1), MATCH(E990, F!$P$20:$AB$20,1)),0)  + IFERROR(Y990*INDEX(F!$P$21:$AB$33, MATCH(W990/$AH990, F!$O$21:$O$33,1), MATCH(E990, F!$P$20:$AB$20,1)),0)  + IFERROR( AC990*INDEX(F!$P$21:$AB$33, MATCH(AA990/$AH990, F!$O$21:$O$33,1), MATCH(E990, F!$P$20:$AB$20,1)),)</f>
        <v>0</v>
      </c>
      <c r="AL990" s="59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 ht="15.75" hidden="1" customHeight="1">
      <c r="A991" s="98"/>
      <c r="B991" s="99"/>
      <c r="C991" s="100"/>
      <c r="D991" s="101"/>
      <c r="E991" s="102">
        <f>ROUND(IFERROR(SUMPRODUCT(AJ983:AJ990,E983:E990)/AJ991,0),3)</f>
        <v>0</v>
      </c>
      <c r="F991" s="199"/>
      <c r="G991" s="104"/>
      <c r="H991" s="105"/>
      <c r="I991" s="105"/>
      <c r="J991" s="106"/>
      <c r="K991" s="104"/>
      <c r="L991" s="105"/>
      <c r="M991" s="105"/>
      <c r="N991" s="106"/>
      <c r="O991" s="104"/>
      <c r="P991" s="105"/>
      <c r="Q991" s="105"/>
      <c r="R991" s="106"/>
      <c r="S991" s="104"/>
      <c r="T991" s="105"/>
      <c r="U991" s="105"/>
      <c r="V991" s="106"/>
      <c r="W991" s="104"/>
      <c r="X991" s="105"/>
      <c r="Y991" s="105"/>
      <c r="Z991" s="106"/>
      <c r="AA991" s="104"/>
      <c r="AB991" s="105"/>
      <c r="AC991" s="105"/>
      <c r="AD991" s="106"/>
      <c r="AE991" s="107">
        <f>SUM(AE983:AE990)</f>
        <v>0</v>
      </c>
      <c r="AF991" s="108">
        <f t="shared" si="1930"/>
        <v>0</v>
      </c>
      <c r="AG991" s="109">
        <f>IFERROR(  SUMPRODUCT(AG983:AG990,AJ983:AJ990)/AJ991,0)</f>
        <v>0</v>
      </c>
      <c r="AH991" s="157"/>
      <c r="AI991" s="111">
        <f t="shared" ref="AI991:AJ991" si="1997">SUM(AI983:AI990)</f>
        <v>0</v>
      </c>
      <c r="AJ991" s="111">
        <f t="shared" si="1997"/>
        <v>0</v>
      </c>
      <c r="AK991" s="112">
        <f>IF(SUM(AK983:AK990)=0,TIME(,0,),TIME(,SUM(AK983:AK990)+F!$V$37,))</f>
        <v>0</v>
      </c>
      <c r="AL991" s="98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 ht="15.75" hidden="1" customHeight="1">
      <c r="A992" s="113">
        <f>A993</f>
        <v>43905</v>
      </c>
      <c r="B992" s="114" t="str">
        <f t="shared" ref="B992:F992" si="1998">IF(B936="","",B936)</f>
        <v/>
      </c>
      <c r="C992" s="115" t="str">
        <f t="shared" si="1998"/>
        <v/>
      </c>
      <c r="D992" s="116" t="str">
        <f t="shared" si="1998"/>
        <v/>
      </c>
      <c r="E992" s="29" t="str">
        <f t="shared" si="1998"/>
        <v/>
      </c>
      <c r="F992" s="117" t="str">
        <f t="shared" si="1998"/>
        <v/>
      </c>
      <c r="G992" s="118" t="str">
        <f t="shared" ref="G992:G999" si="2000">IF(J992&lt;&gt;0, IFERROR(IF( $F992=2,  MROUND($AH992*J992,1),    IF( OR($F992="",$F992=1),   MROUND($AH992*J992,2.5),  MROUND($AH992*J992, 0.1))), "" ), "")</f>
        <v/>
      </c>
      <c r="H992" s="119"/>
      <c r="I992" s="119"/>
      <c r="J992" s="120"/>
      <c r="K992" s="118" t="str">
        <f t="shared" ref="K992:K999" si="2001">IF(N992&lt;&gt;0, IFERROR(IF( $F992=2,  MROUND($AH992*N992,1),    IF( OR($F992="",$F992=1),   MROUND($AH992*N992,2.5),  MROUND($AH992*N992, 0.1))), "" ), "")</f>
        <v/>
      </c>
      <c r="L992" s="119"/>
      <c r="M992" s="119"/>
      <c r="N992" s="120"/>
      <c r="O992" s="118" t="str">
        <f t="shared" ref="O992:O999" si="2002">IF(R992&lt;&gt;0, IFERROR(IF( $F992=2,  MROUND($AH992*R992,1),    IF( OR($F992="",$F992=1),   MROUND($AH992*R992,2.5),  MROUND($AH992*R992, 0.1))), "" ), "")</f>
        <v/>
      </c>
      <c r="P992" s="119"/>
      <c r="Q992" s="119"/>
      <c r="R992" s="120"/>
      <c r="S992" s="118" t="str">
        <f t="shared" ref="S992:S999" si="2003">IF(V992&lt;&gt;0, IFERROR(IF( $F992=2,  MROUND($AH992*V992,1),    IF( OR($F992="",$F992=1),   MROUND($AH992*V992,2.5),  MROUND($AH992*V992, 0.1))), "" ), "")</f>
        <v/>
      </c>
      <c r="T992" s="119"/>
      <c r="U992" s="119"/>
      <c r="V992" s="120"/>
      <c r="W992" s="118" t="str">
        <f t="shared" ref="W992:W999" si="2004">IF(Z992&lt;&gt;0, IFERROR(IF( $F992=2,  MROUND($AH992*Z992,1),    IF( OR($F992="",$F992=1),   MROUND($AH992*Z992,2.5),  MROUND($AH992*Z992, 0.1))), "" ), "")</f>
        <v/>
      </c>
      <c r="X992" s="119"/>
      <c r="Y992" s="119"/>
      <c r="Z992" s="120"/>
      <c r="AA992" s="118" t="str">
        <f t="shared" ref="AA992:AA999" si="2005">IF(AD992&lt;&gt;0, IFERROR(IF( $F992=2,  MROUND($AH992*AD992,1),    IF( OR($F992="",$F992=1),   MROUND($AH992*AD992,2.5),  MROUND($AH992*AD992, 0.1))), "" ), "")</f>
        <v/>
      </c>
      <c r="AB992" s="119"/>
      <c r="AC992" s="119"/>
      <c r="AD992" s="120"/>
      <c r="AE992" s="121">
        <f t="shared" ref="AE992:AE999" si="2006">(IF(ISNUMBER(G992),G992,0)*H992*I992+IF(ISNUMBER(K992),K992,1)*L992*M992+IF(ISNUMBER(O992),O992,1)*P992*Q992+IF(ISNUMBER(S992),S992,1)*T992*U992+IF(ISNUMBER(W992),W992,1)*X992*Y992+IF(ISNUMBER(AA992),AA992,1)*AB992*AC992)*IF(ISNUMBER(F992),F992,1)</f>
        <v>0</v>
      </c>
      <c r="AF992" s="122">
        <f t="shared" si="1930"/>
        <v>0</v>
      </c>
      <c r="AG992" s="200">
        <f t="shared" ref="AG992:AG999" si="2007">IFERROR((AF992/(AH992*IF(ISNUMBER(F992),F992,1))),0)</f>
        <v>0</v>
      </c>
      <c r="AH992" s="169" t="str">
        <f t="shared" ref="AH992:AH999" si="2008">IF(ISNUMBER(AH936), AH936+(AH936*$AH$954),"")</f>
        <v/>
      </c>
      <c r="AI992" s="122">
        <f> ( IF(ISNUMBER(G992), VLOOKUP(G992/$AH992,F!$A1:$B101,2,1)*G992*$H992*$I992,0)+IF(ISNUMBER(K992), VLOOKUP(K992/$AH992,F!$A1:$B101,2,1)*K992*$L992*$M992,0)+IF(ISNUMBER(O992), VLOOKUP(O992/$AH992,F!$A1:$B101,2,1)*O992*$P992*$Q992,0)+IF(ISNUMBER(S992), VLOOKUP(S992/$AH992,F!$A1:$B101,2,1)*S992*$T992*$U992,0)+IF(ISNUMBER(W992), VLOOKUP(W992/$AH992,F!$A1:$B101,2,1)*W992*$X992*$Y992,0)+IF(ISNUMBER(AA992), VLOOKUP(AA992/$AH992,F!$A1:$B101,2,1)*AA992*$AB992*$AC992,0))*IF(ISNUMBER(F992),F992,1)*IF(ISNUMBER(E992),E992,1)</f>
        <v>0</v>
      </c>
      <c r="AJ992" s="119">
        <f t="shared" ref="AJ992:AJ999" si="2009">H992*I992+L992*M992+P992*Q992+T992*U992+X992*Y992+AB992*AC992</f>
        <v>0</v>
      </c>
      <c r="AK992" s="125">
        <f t="array" ref="AK992">IFERROR(I992*INDEX(F!$P$21:$AB$33, MATCH(G992/$AH992, F!$O$21:$O$33,1), MATCH(E992, F!$P$20:$AB$20,1)), 0 ) +IFERROR( M992*INDEX(F!$P$21:$AB$33, MATCH(K992/$AH992, F!$O$21:$O$33,1), MATCH(E992, F!$P$20:$AB$20,1)),0) +  IFERROR( Q992*INDEX(F!$P$21:$AB$33, MATCH(O992/$AH992, F!$O$21:$O$33,1), MATCH(E992, F!$P$20:$AB$20,1)), 0) + IFERROR( U992*INDEX(F!$P$21:$AB$33, MATCH(S992/$AH992, F!$O$21:$O$33,1), MATCH(E992, F!$P$20:$AB$20,1)),0)  + IFERROR(Y992*INDEX(F!$P$21:$AB$33, MATCH(W992/$AH992, F!$O$21:$O$33,1), MATCH(E992, F!$P$20:$AB$20,1)),0)  + IFERROR( AC992*INDEX(F!$P$21:$AB$33, MATCH(AA992/$AH992, F!$O$21:$O$33,1), MATCH(E992, F!$P$20:$AB$20,1)),)</f>
        <v>0</v>
      </c>
      <c r="AL992" s="42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 ht="15.75" hidden="1" customHeight="1">
      <c r="A993" s="44">
        <f>A937+A898</f>
        <v>43905</v>
      </c>
      <c r="B993" s="126" t="str">
        <f t="shared" ref="B993:F993" si="1999">IF(B937="","",B937)</f>
        <v/>
      </c>
      <c r="C993" s="127" t="str">
        <f t="shared" si="1999"/>
        <v/>
      </c>
      <c r="D993" s="128" t="str">
        <f t="shared" si="1999"/>
        <v/>
      </c>
      <c r="E993" s="48" t="str">
        <f t="shared" si="1999"/>
        <v/>
      </c>
      <c r="F993" s="129" t="str">
        <f t="shared" si="1999"/>
        <v/>
      </c>
      <c r="G993" s="130" t="str">
        <f t="shared" si="2000"/>
        <v/>
      </c>
      <c r="H993" s="34"/>
      <c r="I993" s="34"/>
      <c r="J993" s="65"/>
      <c r="K993" s="130" t="str">
        <f t="shared" si="2001"/>
        <v/>
      </c>
      <c r="L993" s="34"/>
      <c r="M993" s="34"/>
      <c r="N993" s="65"/>
      <c r="O993" s="130" t="str">
        <f t="shared" si="2002"/>
        <v/>
      </c>
      <c r="P993" s="34"/>
      <c r="Q993" s="34"/>
      <c r="R993" s="65"/>
      <c r="S993" s="130" t="str">
        <f t="shared" si="2003"/>
        <v/>
      </c>
      <c r="T993" s="34"/>
      <c r="U993" s="34"/>
      <c r="V993" s="65"/>
      <c r="W993" s="130" t="str">
        <f t="shared" si="2004"/>
        <v/>
      </c>
      <c r="X993" s="34"/>
      <c r="Y993" s="34"/>
      <c r="Z993" s="65"/>
      <c r="AA993" s="130" t="str">
        <f t="shared" si="2005"/>
        <v/>
      </c>
      <c r="AB993" s="34"/>
      <c r="AC993" s="34"/>
      <c r="AD993" s="65"/>
      <c r="AE993" s="131">
        <f t="shared" si="2006"/>
        <v>0</v>
      </c>
      <c r="AF993" s="132">
        <f t="shared" si="1930"/>
        <v>0</v>
      </c>
      <c r="AG993" s="133">
        <f t="shared" si="2007"/>
        <v>0</v>
      </c>
      <c r="AH993" s="76" t="str">
        <f t="shared" si="2008"/>
        <v/>
      </c>
      <c r="AI993" s="132">
        <f> ( IF(ISNUMBER(G993), VLOOKUP(G993/$AH993,F!$A1:$B101,2,1)*G993*$H993*$I993,0)+IF(ISNUMBER(K993), VLOOKUP(K993/$AH993,F!$A1:$B101,2,1)*K993*$L993*$M993,0)+IF(ISNUMBER(O993), VLOOKUP(O993/$AH993,F!$A1:$B101,2,1)*O993*$P993*$Q993,0)+IF(ISNUMBER(S993), VLOOKUP(S993/$AH993,F!$A1:$B101,2,1)*S993*$T993*$U993,0)+IF(ISNUMBER(W993), VLOOKUP(W993/$AH993,F!$A1:$B101,2,1)*W993*$X993*$Y993,0)+IF(ISNUMBER(AA993), VLOOKUP(AA993/$AH993,F!$A1:$B101,2,1)*AA993*$AB993*$AC993,0))*IF(ISNUMBER(F993),F993,1)*IF(ISNUMBER(E993),E993,1)</f>
        <v>0</v>
      </c>
      <c r="AJ993" s="34">
        <f t="shared" si="2009"/>
        <v>0</v>
      </c>
      <c r="AK993" s="134">
        <f t="array" ref="AK993">IFERROR(I993*INDEX(F!$P$21:$AB$33, MATCH(G993/$AH993, F!$O$21:$O$33,1), MATCH(E993, F!$P$20:$AB$20,1)), 0 ) +IFERROR( M993*INDEX(F!$P$21:$AB$33, MATCH(K993/$AH993, F!$O$21:$O$33,1), MATCH(E993, F!$P$20:$AB$20,1)),0) +  IFERROR( Q993*INDEX(F!$P$21:$AB$33, MATCH(O993/$AH993, F!$O$21:$O$33,1), MATCH(E993, F!$P$20:$AB$20,1)), 0) + IFERROR( U993*INDEX(F!$P$21:$AB$33, MATCH(S993/$AH993, F!$O$21:$O$33,1), MATCH(E993, F!$P$20:$AB$20,1)),0)  + IFERROR(Y993*INDEX(F!$P$21:$AB$33, MATCH(W993/$AH993, F!$O$21:$O$33,1), MATCH(E993, F!$P$20:$AB$20,1)),0)  + IFERROR( AC993*INDEX(F!$P$21:$AB$33, MATCH(AA993/$AH993, F!$O$21:$O$33,1), MATCH(E993, F!$P$20:$AB$20,1)),)</f>
        <v>0</v>
      </c>
      <c r="AL993" s="59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 ht="15.75" hidden="1" customHeight="1">
      <c r="A994" s="59"/>
      <c r="B994" s="135" t="str">
        <f t="shared" ref="B994:F994" si="2010">IF(B938="","",B938)</f>
        <v/>
      </c>
      <c r="C994" s="136" t="str">
        <f t="shared" si="2010"/>
        <v/>
      </c>
      <c r="D994" s="137" t="str">
        <f t="shared" si="2010"/>
        <v/>
      </c>
      <c r="E994" s="48" t="str">
        <f t="shared" si="2010"/>
        <v/>
      </c>
      <c r="F994" s="138" t="str">
        <f t="shared" si="2010"/>
        <v/>
      </c>
      <c r="G994" s="139" t="str">
        <f t="shared" si="2000"/>
        <v/>
      </c>
      <c r="H994" s="140"/>
      <c r="I994" s="140"/>
      <c r="J994" s="141"/>
      <c r="K994" s="139" t="str">
        <f t="shared" si="2001"/>
        <v/>
      </c>
      <c r="L994" s="140"/>
      <c r="M994" s="140"/>
      <c r="N994" s="141"/>
      <c r="O994" s="139" t="str">
        <f t="shared" si="2002"/>
        <v/>
      </c>
      <c r="P994" s="140"/>
      <c r="Q994" s="140"/>
      <c r="R994" s="141"/>
      <c r="S994" s="139" t="str">
        <f t="shared" si="2003"/>
        <v/>
      </c>
      <c r="T994" s="140"/>
      <c r="U994" s="140"/>
      <c r="V994" s="141"/>
      <c r="W994" s="139" t="str">
        <f t="shared" si="2004"/>
        <v/>
      </c>
      <c r="X994" s="140"/>
      <c r="Y994" s="140"/>
      <c r="Z994" s="141"/>
      <c r="AA994" s="139" t="str">
        <f t="shared" si="2005"/>
        <v/>
      </c>
      <c r="AB994" s="140"/>
      <c r="AC994" s="140"/>
      <c r="AD994" s="141"/>
      <c r="AE994" s="142">
        <f t="shared" si="2006"/>
        <v>0</v>
      </c>
      <c r="AF994" s="143">
        <f t="shared" si="1930"/>
        <v>0</v>
      </c>
      <c r="AG994" s="144">
        <f t="shared" si="2007"/>
        <v>0</v>
      </c>
      <c r="AH994" s="76" t="str">
        <f t="shared" si="2008"/>
        <v/>
      </c>
      <c r="AI994" s="143">
        <f> ( IF(ISNUMBER(G994), VLOOKUP(G994/$AH994,F!$A1:$B101,2,1)*G994*$H994*$I994,0)+IF(ISNUMBER(K994), VLOOKUP(K994/$AH994,F!$A1:$B101,2,1)*K994*$L994*$M994,0)+IF(ISNUMBER(O994), VLOOKUP(O994/$AH994,F!$A1:$B101,2,1)*O994*$P994*$Q994,0)+IF(ISNUMBER(S994), VLOOKUP(S994/$AH994,F!$A1:$B101,2,1)*S994*$T994*$U994,0)+IF(ISNUMBER(W994), VLOOKUP(W994/$AH994,F!$A1:$B101,2,1)*W994*$X994*$Y994,0)+IF(ISNUMBER(AA994), VLOOKUP(AA994/$AH994,F!$A1:$B101,2,1)*AA994*$AB994*$AC994,0))*IF(ISNUMBER(F994),F994,1)*IF(ISNUMBER(E994),E994,1)</f>
        <v>0</v>
      </c>
      <c r="AJ994" s="140">
        <f t="shared" si="2009"/>
        <v>0</v>
      </c>
      <c r="AK994" s="145">
        <f t="array" ref="AK994">IFERROR(I994*INDEX(F!$P$21:$AB$33, MATCH(G994/$AH994, F!$O$21:$O$33,1), MATCH(E994, F!$P$20:$AB$20,1)), 0 ) +IFERROR( M994*INDEX(F!$P$21:$AB$33, MATCH(K994/$AH994, F!$O$21:$O$33,1), MATCH(E994, F!$P$20:$AB$20,1)),0) +  IFERROR( Q994*INDEX(F!$P$21:$AB$33, MATCH(O994/$AH994, F!$O$21:$O$33,1), MATCH(E994, F!$P$20:$AB$20,1)), 0) + IFERROR( U994*INDEX(F!$P$21:$AB$33, MATCH(S994/$AH994, F!$O$21:$O$33,1), MATCH(E994, F!$P$20:$AB$20,1)),0)  + IFERROR(Y994*INDEX(F!$P$21:$AB$33, MATCH(W994/$AH994, F!$O$21:$O$33,1), MATCH(E994, F!$P$20:$AB$20,1)),0)  + IFERROR( AC994*INDEX(F!$P$21:$AB$33, MATCH(AA994/$AH994, F!$O$21:$O$33,1), MATCH(E994, F!$P$20:$AB$20,1)),)</f>
        <v>0</v>
      </c>
      <c r="AL994" s="59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 ht="15.75" hidden="1" customHeight="1">
      <c r="A995" s="59"/>
      <c r="B995" s="126" t="str">
        <f t="shared" ref="B995:F995" si="2011">IF(B939="","",B939)</f>
        <v/>
      </c>
      <c r="C995" s="127" t="str">
        <f t="shared" si="2011"/>
        <v/>
      </c>
      <c r="D995" s="128" t="str">
        <f t="shared" si="2011"/>
        <v/>
      </c>
      <c r="E995" s="48" t="str">
        <f t="shared" si="2011"/>
        <v/>
      </c>
      <c r="F995" s="129" t="str">
        <f t="shared" si="2011"/>
        <v/>
      </c>
      <c r="G995" s="130" t="str">
        <f t="shared" si="2000"/>
        <v/>
      </c>
      <c r="H995" s="34"/>
      <c r="I995" s="34"/>
      <c r="J995" s="65"/>
      <c r="K995" s="130" t="str">
        <f t="shared" si="2001"/>
        <v/>
      </c>
      <c r="L995" s="34"/>
      <c r="M995" s="34"/>
      <c r="N995" s="65"/>
      <c r="O995" s="130" t="str">
        <f t="shared" si="2002"/>
        <v/>
      </c>
      <c r="P995" s="34"/>
      <c r="Q995" s="34"/>
      <c r="R995" s="65"/>
      <c r="S995" s="130" t="str">
        <f t="shared" si="2003"/>
        <v/>
      </c>
      <c r="T995" s="34"/>
      <c r="U995" s="34"/>
      <c r="V995" s="65"/>
      <c r="W995" s="130" t="str">
        <f t="shared" si="2004"/>
        <v/>
      </c>
      <c r="X995" s="34"/>
      <c r="Y995" s="34"/>
      <c r="Z995" s="65"/>
      <c r="AA995" s="130" t="str">
        <f t="shared" si="2005"/>
        <v/>
      </c>
      <c r="AB995" s="34"/>
      <c r="AC995" s="34"/>
      <c r="AD995" s="65"/>
      <c r="AE995" s="131">
        <f t="shared" si="2006"/>
        <v>0</v>
      </c>
      <c r="AF995" s="132">
        <f t="shared" si="1930"/>
        <v>0</v>
      </c>
      <c r="AG995" s="133">
        <f t="shared" si="2007"/>
        <v>0</v>
      </c>
      <c r="AH995" s="76" t="str">
        <f t="shared" si="2008"/>
        <v/>
      </c>
      <c r="AI995" s="132">
        <f> ( IF(ISNUMBER(G995), VLOOKUP(G995/$AH995,F!$A1:$B101,2,1)*G995*$H995*$I995,0)+IF(ISNUMBER(K995), VLOOKUP(K995/$AH995,F!$A1:$B101,2,1)*K995*$L995*$M995,0)+IF(ISNUMBER(O995), VLOOKUP(O995/$AH995,F!$A1:$B101,2,1)*O995*$P995*$Q995,0)+IF(ISNUMBER(S995), VLOOKUP(S995/$AH995,F!$A1:$B101,2,1)*S995*$T995*$U995,0)+IF(ISNUMBER(W995), VLOOKUP(W995/$AH995,F!$A1:$B101,2,1)*W995*$X995*$Y995,0)+IF(ISNUMBER(AA995), VLOOKUP(AA995/$AH995,F!$A1:$B101,2,1)*AA995*$AB995*$AC995,0))*IF(ISNUMBER(F995),F995,1)*IF(ISNUMBER(E995),E995,1)</f>
        <v>0</v>
      </c>
      <c r="AJ995" s="34">
        <f t="shared" si="2009"/>
        <v>0</v>
      </c>
      <c r="AK995" s="134">
        <f t="array" ref="AK995">IFERROR(I995*INDEX(F!$P$21:$AB$33, MATCH(G995/$AH995, F!$O$21:$O$33,1), MATCH(E995, F!$P$20:$AB$20,1)), 0 ) +IFERROR( M995*INDEX(F!$P$21:$AB$33, MATCH(K995/$AH995, F!$O$21:$O$33,1), MATCH(E995, F!$P$20:$AB$20,1)),0) +  IFERROR( Q995*INDEX(F!$P$21:$AB$33, MATCH(O995/$AH995, F!$O$21:$O$33,1), MATCH(E995, F!$P$20:$AB$20,1)), 0) + IFERROR( U995*INDEX(F!$P$21:$AB$33, MATCH(S995/$AH995, F!$O$21:$O$33,1), MATCH(E995, F!$P$20:$AB$20,1)),0)  + IFERROR(Y995*INDEX(F!$P$21:$AB$33, MATCH(W995/$AH995, F!$O$21:$O$33,1), MATCH(E995, F!$P$20:$AB$20,1)),0)  + IFERROR( AC995*INDEX(F!$P$21:$AB$33, MATCH(AA995/$AH995, F!$O$21:$O$33,1), MATCH(E995, F!$P$20:$AB$20,1)),)</f>
        <v>0</v>
      </c>
      <c r="AL995" s="59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 ht="15.75" hidden="1" customHeight="1">
      <c r="A996" s="59"/>
      <c r="B996" s="135" t="str">
        <f t="shared" ref="B996:F996" si="2012">IF(B940="","",B940)</f>
        <v/>
      </c>
      <c r="C996" s="136" t="str">
        <f t="shared" si="2012"/>
        <v/>
      </c>
      <c r="D996" s="137" t="str">
        <f t="shared" si="2012"/>
        <v/>
      </c>
      <c r="E996" s="48" t="str">
        <f t="shared" si="2012"/>
        <v/>
      </c>
      <c r="F996" s="138" t="str">
        <f t="shared" si="2012"/>
        <v/>
      </c>
      <c r="G996" s="139" t="str">
        <f t="shared" si="2000"/>
        <v/>
      </c>
      <c r="H996" s="140"/>
      <c r="I996" s="140"/>
      <c r="J996" s="141"/>
      <c r="K996" s="139" t="str">
        <f t="shared" si="2001"/>
        <v/>
      </c>
      <c r="L996" s="140"/>
      <c r="M996" s="140"/>
      <c r="N996" s="141"/>
      <c r="O996" s="139" t="str">
        <f t="shared" si="2002"/>
        <v/>
      </c>
      <c r="P996" s="140"/>
      <c r="Q996" s="140"/>
      <c r="R996" s="141"/>
      <c r="S996" s="139" t="str">
        <f t="shared" si="2003"/>
        <v/>
      </c>
      <c r="T996" s="140"/>
      <c r="U996" s="140"/>
      <c r="V996" s="141"/>
      <c r="W996" s="139" t="str">
        <f t="shared" si="2004"/>
        <v/>
      </c>
      <c r="X996" s="140"/>
      <c r="Y996" s="140"/>
      <c r="Z996" s="141"/>
      <c r="AA996" s="139" t="str">
        <f t="shared" si="2005"/>
        <v/>
      </c>
      <c r="AB996" s="140"/>
      <c r="AC996" s="140"/>
      <c r="AD996" s="141"/>
      <c r="AE996" s="142">
        <f t="shared" si="2006"/>
        <v>0</v>
      </c>
      <c r="AF996" s="143">
        <f t="shared" si="1930"/>
        <v>0</v>
      </c>
      <c r="AG996" s="144">
        <f t="shared" si="2007"/>
        <v>0</v>
      </c>
      <c r="AH996" s="76" t="str">
        <f t="shared" si="2008"/>
        <v/>
      </c>
      <c r="AI996" s="143">
        <f> ( IF(ISNUMBER(G996), VLOOKUP(G996/$AH996,F!$A1:$B101,2,1)*G996*$H996*$I996,0)+IF(ISNUMBER(K996), VLOOKUP(K996/$AH996,F!$A1:$B101,2,1)*K996*$L996*$M996,0)+IF(ISNUMBER(O996), VLOOKUP(O996/$AH996,F!$A1:$B101,2,1)*O996*$P996*$Q996,0)+IF(ISNUMBER(S996), VLOOKUP(S996/$AH996,F!$A1:$B101,2,1)*S996*$T996*$U996,0)+IF(ISNUMBER(W996), VLOOKUP(W996/$AH996,F!$A1:$B101,2,1)*W996*$X996*$Y996,0)+IF(ISNUMBER(AA996), VLOOKUP(AA996/$AH996,F!$A1:$B101,2,1)*AA996*$AB996*$AC996,0))*IF(ISNUMBER(F996),F996,1)*IF(ISNUMBER(E996),E996,1)</f>
        <v>0</v>
      </c>
      <c r="AJ996" s="140">
        <f t="shared" si="2009"/>
        <v>0</v>
      </c>
      <c r="AK996" s="145">
        <f t="array" ref="AK996">IFERROR(I996*INDEX(F!$P$21:$AB$33, MATCH(G996/$AH996, F!$O$21:$O$33,1), MATCH(E996, F!$P$20:$AB$20,1)), 0 ) +IFERROR( M996*INDEX(F!$P$21:$AB$33, MATCH(K996/$AH996, F!$O$21:$O$33,1), MATCH(E996, F!$P$20:$AB$20,1)),0) +  IFERROR( Q996*INDEX(F!$P$21:$AB$33, MATCH(O996/$AH996, F!$O$21:$O$33,1), MATCH(E996, F!$P$20:$AB$20,1)), 0) + IFERROR( U996*INDEX(F!$P$21:$AB$33, MATCH(S996/$AH996, F!$O$21:$O$33,1), MATCH(E996, F!$P$20:$AB$20,1)),0)  + IFERROR(Y996*INDEX(F!$P$21:$AB$33, MATCH(W996/$AH996, F!$O$21:$O$33,1), MATCH(E996, F!$P$20:$AB$20,1)),0)  + IFERROR( AC996*INDEX(F!$P$21:$AB$33, MATCH(AA996/$AH996, F!$O$21:$O$33,1), MATCH(E996, F!$P$20:$AB$20,1)),)</f>
        <v>0</v>
      </c>
      <c r="AL996" s="59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 ht="15.75" hidden="1" customHeight="1">
      <c r="A997" s="59"/>
      <c r="B997" s="126" t="str">
        <f t="shared" ref="B997:F997" si="2013">IF(B941="","",B941)</f>
        <v/>
      </c>
      <c r="C997" s="127" t="str">
        <f t="shared" si="2013"/>
        <v/>
      </c>
      <c r="D997" s="128" t="str">
        <f t="shared" si="2013"/>
        <v/>
      </c>
      <c r="E997" s="48" t="str">
        <f t="shared" si="2013"/>
        <v/>
      </c>
      <c r="F997" s="129" t="str">
        <f t="shared" si="2013"/>
        <v/>
      </c>
      <c r="G997" s="130" t="str">
        <f t="shared" si="2000"/>
        <v/>
      </c>
      <c r="H997" s="34"/>
      <c r="I997" s="34"/>
      <c r="J997" s="65"/>
      <c r="K997" s="130" t="str">
        <f t="shared" si="2001"/>
        <v/>
      </c>
      <c r="L997" s="34"/>
      <c r="M997" s="34"/>
      <c r="N997" s="65"/>
      <c r="O997" s="130" t="str">
        <f t="shared" si="2002"/>
        <v/>
      </c>
      <c r="P997" s="34"/>
      <c r="Q997" s="34"/>
      <c r="R997" s="65"/>
      <c r="S997" s="130" t="str">
        <f t="shared" si="2003"/>
        <v/>
      </c>
      <c r="T997" s="34"/>
      <c r="U997" s="34"/>
      <c r="V997" s="65"/>
      <c r="W997" s="130" t="str">
        <f t="shared" si="2004"/>
        <v/>
      </c>
      <c r="X997" s="34"/>
      <c r="Y997" s="34"/>
      <c r="Z997" s="65"/>
      <c r="AA997" s="130" t="str">
        <f t="shared" si="2005"/>
        <v/>
      </c>
      <c r="AB997" s="34"/>
      <c r="AC997" s="34"/>
      <c r="AD997" s="65"/>
      <c r="AE997" s="131">
        <f t="shared" si="2006"/>
        <v>0</v>
      </c>
      <c r="AF997" s="132">
        <f t="shared" si="1930"/>
        <v>0</v>
      </c>
      <c r="AG997" s="133">
        <f t="shared" si="2007"/>
        <v>0</v>
      </c>
      <c r="AH997" s="76" t="str">
        <f t="shared" si="2008"/>
        <v/>
      </c>
      <c r="AI997" s="132">
        <f> ( IF(ISNUMBER(G997), VLOOKUP(G997/$AH997,F!$A1:$B101,2,1)*G997*$H997*$I997,0)+IF(ISNUMBER(K997), VLOOKUP(K997/$AH997,F!$A1:$B101,2,1)*K997*$L997*$M997,0)+IF(ISNUMBER(O997), VLOOKUP(O997/$AH997,F!$A1:$B101,2,1)*O997*$P997*$Q997,0)+IF(ISNUMBER(S997), VLOOKUP(S997/$AH997,F!$A1:$B101,2,1)*S997*$T997*$U997,0)+IF(ISNUMBER(W997), VLOOKUP(W997/$AH997,F!$A1:$B101,2,1)*W997*$X997*$Y997,0)+IF(ISNUMBER(AA997), VLOOKUP(AA997/$AH997,F!$A1:$B101,2,1)*AA997*$AB997*$AC997,0))*IF(ISNUMBER(F997),F997,1)*IF(ISNUMBER(E997),E997,1)</f>
        <v>0</v>
      </c>
      <c r="AJ997" s="34">
        <f t="shared" si="2009"/>
        <v>0</v>
      </c>
      <c r="AK997" s="134">
        <f t="array" ref="AK997">IFERROR(I997*INDEX(F!$P$21:$AB$33, MATCH(G997/$AH997, F!$O$21:$O$33,1), MATCH(E997, F!$P$20:$AB$20,1)), 0 ) +IFERROR( M997*INDEX(F!$P$21:$AB$33, MATCH(K997/$AH997, F!$O$21:$O$33,1), MATCH(E997, F!$P$20:$AB$20,1)),0) +  IFERROR( Q997*INDEX(F!$P$21:$AB$33, MATCH(O997/$AH997, F!$O$21:$O$33,1), MATCH(E997, F!$P$20:$AB$20,1)), 0) + IFERROR( U997*INDEX(F!$P$21:$AB$33, MATCH(S997/$AH997, F!$O$21:$O$33,1), MATCH(E997, F!$P$20:$AB$20,1)),0)  + IFERROR(Y997*INDEX(F!$P$21:$AB$33, MATCH(W997/$AH997, F!$O$21:$O$33,1), MATCH(E997, F!$P$20:$AB$20,1)),0)  + IFERROR( AC997*INDEX(F!$P$21:$AB$33, MATCH(AA997/$AH997, F!$O$21:$O$33,1), MATCH(E997, F!$P$20:$AB$20,1)),)</f>
        <v>0</v>
      </c>
      <c r="AL997" s="59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 ht="15.75" hidden="1" customHeight="1">
      <c r="A998" s="59"/>
      <c r="B998" s="135" t="str">
        <f t="shared" ref="B998:F998" si="2014">IF(B942="","",B942)</f>
        <v/>
      </c>
      <c r="C998" s="136" t="str">
        <f t="shared" si="2014"/>
        <v/>
      </c>
      <c r="D998" s="137" t="str">
        <f t="shared" si="2014"/>
        <v/>
      </c>
      <c r="E998" s="48" t="str">
        <f t="shared" si="2014"/>
        <v/>
      </c>
      <c r="F998" s="138" t="str">
        <f t="shared" si="2014"/>
        <v/>
      </c>
      <c r="G998" s="139" t="str">
        <f t="shared" si="2000"/>
        <v/>
      </c>
      <c r="H998" s="140"/>
      <c r="I998" s="140"/>
      <c r="J998" s="141"/>
      <c r="K998" s="139" t="str">
        <f t="shared" si="2001"/>
        <v/>
      </c>
      <c r="L998" s="140"/>
      <c r="M998" s="140"/>
      <c r="N998" s="141"/>
      <c r="O998" s="139" t="str">
        <f t="shared" si="2002"/>
        <v/>
      </c>
      <c r="P998" s="140"/>
      <c r="Q998" s="140"/>
      <c r="R998" s="141"/>
      <c r="S998" s="139" t="str">
        <f t="shared" si="2003"/>
        <v/>
      </c>
      <c r="T998" s="140"/>
      <c r="U998" s="140"/>
      <c r="V998" s="141"/>
      <c r="W998" s="139" t="str">
        <f t="shared" si="2004"/>
        <v/>
      </c>
      <c r="X998" s="140"/>
      <c r="Y998" s="140"/>
      <c r="Z998" s="141"/>
      <c r="AA998" s="139" t="str">
        <f t="shared" si="2005"/>
        <v/>
      </c>
      <c r="AB998" s="140"/>
      <c r="AC998" s="140"/>
      <c r="AD998" s="141"/>
      <c r="AE998" s="142">
        <f t="shared" si="2006"/>
        <v>0</v>
      </c>
      <c r="AF998" s="143">
        <f t="shared" si="1930"/>
        <v>0</v>
      </c>
      <c r="AG998" s="144">
        <f t="shared" si="2007"/>
        <v>0</v>
      </c>
      <c r="AH998" s="76" t="str">
        <f t="shared" si="2008"/>
        <v/>
      </c>
      <c r="AI998" s="143">
        <f> ( IF(ISNUMBER(G998), VLOOKUP(G998/$AH998,F!$A1:$B101,2,1)*G998*$H998*$I998,0)+IF(ISNUMBER(K998), VLOOKUP(K998/$AH998,F!$A1:$B101,2,1)*K998*$L998*$M998,0)+IF(ISNUMBER(O998), VLOOKUP(O998/$AH998,F!$A1:$B101,2,1)*O998*$P998*$Q998,0)+IF(ISNUMBER(S998), VLOOKUP(S998/$AH998,F!$A1:$B101,2,1)*S998*$T998*$U998,0)+IF(ISNUMBER(W998), VLOOKUP(W998/$AH998,F!$A1:$B101,2,1)*W998*$X998*$Y998,0)+IF(ISNUMBER(AA998), VLOOKUP(AA998/$AH998,F!$A1:$B101,2,1)*AA998*$AB998*$AC998,0))*IF(ISNUMBER(F998),F998,1)*IF(ISNUMBER(E998),E998,1)</f>
        <v>0</v>
      </c>
      <c r="AJ998" s="140">
        <f t="shared" si="2009"/>
        <v>0</v>
      </c>
      <c r="AK998" s="145">
        <f t="array" ref="AK998">IFERROR(I998*INDEX(F!$P$21:$AB$33, MATCH(G998/$AH998, F!$O$21:$O$33,1), MATCH(E998, F!$P$20:$AB$20,1)), 0 ) +IFERROR( M998*INDEX(F!$P$21:$AB$33, MATCH(K998/$AH998, F!$O$21:$O$33,1), MATCH(E998, F!$P$20:$AB$20,1)),0) +  IFERROR( Q998*INDEX(F!$P$21:$AB$33, MATCH(O998/$AH998, F!$O$21:$O$33,1), MATCH(E998, F!$P$20:$AB$20,1)), 0) + IFERROR( U998*INDEX(F!$P$21:$AB$33, MATCH(S998/$AH998, F!$O$21:$O$33,1), MATCH(E998, F!$P$20:$AB$20,1)),0)  + IFERROR(Y998*INDEX(F!$P$21:$AB$33, MATCH(W998/$AH998, F!$O$21:$O$33,1), MATCH(E998, F!$P$20:$AB$20,1)),0)  + IFERROR( AC998*INDEX(F!$P$21:$AB$33, MATCH(AA998/$AH998, F!$O$21:$O$33,1), MATCH(E998, F!$P$20:$AB$20,1)),)</f>
        <v>0</v>
      </c>
      <c r="AL998" s="59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 ht="15.75" hidden="1" customHeight="1">
      <c r="A999" s="59"/>
      <c r="B999" s="126" t="str">
        <f t="shared" ref="B999:F999" si="2015">IF(B943="","",B943)</f>
        <v/>
      </c>
      <c r="C999" s="127" t="str">
        <f t="shared" si="2015"/>
        <v/>
      </c>
      <c r="D999" s="128" t="str">
        <f t="shared" si="2015"/>
        <v/>
      </c>
      <c r="E999" s="48" t="str">
        <f t="shared" si="2015"/>
        <v/>
      </c>
      <c r="F999" s="129" t="str">
        <f t="shared" si="2015"/>
        <v/>
      </c>
      <c r="G999" s="130" t="str">
        <f t="shared" si="2000"/>
        <v/>
      </c>
      <c r="H999" s="34"/>
      <c r="I999" s="34"/>
      <c r="J999" s="65"/>
      <c r="K999" s="130" t="str">
        <f t="shared" si="2001"/>
        <v/>
      </c>
      <c r="L999" s="34"/>
      <c r="M999" s="34"/>
      <c r="N999" s="65"/>
      <c r="O999" s="130" t="str">
        <f t="shared" si="2002"/>
        <v/>
      </c>
      <c r="P999" s="34"/>
      <c r="Q999" s="34"/>
      <c r="R999" s="65"/>
      <c r="S999" s="130" t="str">
        <f t="shared" si="2003"/>
        <v/>
      </c>
      <c r="T999" s="34"/>
      <c r="U999" s="34"/>
      <c r="V999" s="65"/>
      <c r="W999" s="130" t="str">
        <f t="shared" si="2004"/>
        <v/>
      </c>
      <c r="X999" s="34"/>
      <c r="Y999" s="34"/>
      <c r="Z999" s="65"/>
      <c r="AA999" s="130" t="str">
        <f t="shared" si="2005"/>
        <v/>
      </c>
      <c r="AB999" s="34"/>
      <c r="AC999" s="34"/>
      <c r="AD999" s="65"/>
      <c r="AE999" s="131">
        <f t="shared" si="2006"/>
        <v>0</v>
      </c>
      <c r="AF999" s="132">
        <f t="shared" si="1930"/>
        <v>0</v>
      </c>
      <c r="AG999" s="133">
        <f t="shared" si="2007"/>
        <v>0</v>
      </c>
      <c r="AH999" s="76" t="str">
        <f t="shared" si="2008"/>
        <v/>
      </c>
      <c r="AI999" s="132">
        <f> ( IF(ISNUMBER(G999), VLOOKUP(G999/$AH999,F!$A1:$B101,2,1)*G999*$H999*$I999,0)+IF(ISNUMBER(K999), VLOOKUP(K999/$AH999,F!$A1:$B101,2,1)*K999*$L999*$M999,0)+IF(ISNUMBER(O999), VLOOKUP(O999/$AH999,F!$A1:$B101,2,1)*O999*$P999*$Q999,0)+IF(ISNUMBER(S999), VLOOKUP(S999/$AH999,F!$A1:$B101,2,1)*S999*$T999*$U999,0)+IF(ISNUMBER(W999), VLOOKUP(W999/$AH999,F!$A1:$B101,2,1)*W999*$X999*$Y999,0)+IF(ISNUMBER(AA999), VLOOKUP(AA999/$AH999,F!$A1:$B101,2,1)*AA999*$AB999*$AC999,0))*IF(ISNUMBER(F999),F999,1)*IF(ISNUMBER(E999),E999,1)</f>
        <v>0</v>
      </c>
      <c r="AJ999" s="34">
        <f t="shared" si="2009"/>
        <v>0</v>
      </c>
      <c r="AK999" s="134">
        <f t="array" ref="AK999">IFERROR(I999*INDEX(F!$P$21:$AB$33, MATCH(G999/$AH999, F!$O$21:$O$33,1), MATCH(E999, F!$P$20:$AB$20,1)), 0 ) +IFERROR( M999*INDEX(F!$P$21:$AB$33, MATCH(K999/$AH999, F!$O$21:$O$33,1), MATCH(E999, F!$P$20:$AB$20,1)),0) +  IFERROR( Q999*INDEX(F!$P$21:$AB$33, MATCH(O999/$AH999, F!$O$21:$O$33,1), MATCH(E999, F!$P$20:$AB$20,1)), 0) + IFERROR( U999*INDEX(F!$P$21:$AB$33, MATCH(S999/$AH999, F!$O$21:$O$33,1), MATCH(E999, F!$P$20:$AB$20,1)),0)  + IFERROR(Y999*INDEX(F!$P$21:$AB$33, MATCH(W999/$AH999, F!$O$21:$O$33,1), MATCH(E999, F!$P$20:$AB$20,1)),0)  + IFERROR( AC999*INDEX(F!$P$21:$AB$33, MATCH(AA999/$AH999, F!$O$21:$O$33,1), MATCH(E999, F!$P$20:$AB$20,1)),)</f>
        <v>0</v>
      </c>
      <c r="AL999" s="59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 ht="15.75" hidden="1" customHeight="1">
      <c r="A1000" s="98"/>
      <c r="B1000" s="150"/>
      <c r="C1000" s="151"/>
      <c r="D1000" s="152"/>
      <c r="E1000" s="102">
        <f>ROUND(IFERROR(SUMPRODUCT(AJ992:AJ999,E992:E999)/AJ1000,0),3)</f>
        <v>0</v>
      </c>
      <c r="F1000" s="153"/>
      <c r="G1000" s="154"/>
      <c r="H1000" s="155"/>
      <c r="I1000" s="155"/>
      <c r="J1000" s="156"/>
      <c r="K1000" s="154"/>
      <c r="L1000" s="155"/>
      <c r="M1000" s="155"/>
      <c r="N1000" s="156"/>
      <c r="O1000" s="154"/>
      <c r="P1000" s="155"/>
      <c r="Q1000" s="155"/>
      <c r="R1000" s="156"/>
      <c r="S1000" s="154"/>
      <c r="T1000" s="155"/>
      <c r="U1000" s="155"/>
      <c r="V1000" s="156"/>
      <c r="W1000" s="154"/>
      <c r="X1000" s="155"/>
      <c r="Y1000" s="155"/>
      <c r="Z1000" s="156"/>
      <c r="AA1000" s="154"/>
      <c r="AB1000" s="155"/>
      <c r="AC1000" s="155"/>
      <c r="AD1000" s="156"/>
      <c r="AE1000" s="107">
        <f>SUM(AE992:AE999)</f>
        <v>0</v>
      </c>
      <c r="AF1000" s="108">
        <f t="shared" si="1930"/>
        <v>0</v>
      </c>
      <c r="AG1000" s="109">
        <f>IFERROR(  SUMPRODUCT(AG992:AG999,AJ992:AJ999)/AJ1000,0)</f>
        <v>0</v>
      </c>
      <c r="AH1000" s="157"/>
      <c r="AI1000" s="111">
        <f t="shared" ref="AI1000:AJ1000" si="2016">SUM(AI992:AI999)</f>
        <v>0</v>
      </c>
      <c r="AJ1000" s="111">
        <f t="shared" si="2016"/>
        <v>0</v>
      </c>
      <c r="AK1000" s="112">
        <f>IF(SUM(AK992:AK999)=0,TIME(,0,),TIME(,SUM(AK992:AK999)+F!$V$37,))</f>
        <v>0</v>
      </c>
      <c r="AL1000" s="98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 ht="15.75" hidden="1" customHeight="1">
      <c r="A1001" s="158">
        <f>A1002</f>
        <v>43906</v>
      </c>
      <c r="B1001" s="159" t="str">
        <f t="shared" ref="B1001:F1001" si="2017">IF(B945="","",B945)</f>
        <v/>
      </c>
      <c r="C1001" s="160" t="str">
        <f t="shared" si="2017"/>
        <v/>
      </c>
      <c r="D1001" s="161" t="str">
        <f t="shared" si="2017"/>
        <v/>
      </c>
      <c r="E1001" s="29" t="str">
        <f t="shared" si="2017"/>
        <v/>
      </c>
      <c r="F1001" s="162" t="str">
        <f t="shared" si="2017"/>
        <v/>
      </c>
      <c r="G1001" s="163" t="str">
        <f t="shared" ref="G1001:G1008" si="2019">IF(J1001&lt;&gt;0, IFERROR(IF( $F1001=2,  MROUND($AH1001*J1001,1),    IF( OR($F1001="",$F1001=1),   MROUND($AH1001*J1001,2.5),  MROUND($AH1001*J1001, 0.1))), "" ), "")</f>
        <v/>
      </c>
      <c r="H1001" s="164"/>
      <c r="I1001" s="164"/>
      <c r="J1001" s="165"/>
      <c r="K1001" s="163" t="str">
        <f t="shared" ref="K1001:K1008" si="2020">IF(N1001&lt;&gt;0, IFERROR(IF( $F1001=2,  MROUND($AH1001*N1001,1),    IF( OR($F1001="",$F1001=1),   MROUND($AH1001*N1001,2.5),  MROUND($AH1001*N1001, 0.1))), "" ), "")</f>
        <v/>
      </c>
      <c r="L1001" s="164"/>
      <c r="M1001" s="164"/>
      <c r="N1001" s="165"/>
      <c r="O1001" s="163" t="str">
        <f t="shared" ref="O1001:O1008" si="2021">IF(R1001&lt;&gt;0, IFERROR(IF( $F1001=2,  MROUND($AH1001*R1001,1),    IF( OR($F1001="",$F1001=1),   MROUND($AH1001*R1001,2.5),  MROUND($AH1001*R1001, 0.1))), "" ), "")</f>
        <v/>
      </c>
      <c r="P1001" s="164"/>
      <c r="Q1001" s="164"/>
      <c r="R1001" s="165"/>
      <c r="S1001" s="163" t="str">
        <f t="shared" ref="S1001:S1008" si="2022">IF(V1001&lt;&gt;0, IFERROR(IF( $F1001=2,  MROUND($AH1001*V1001,1),    IF( OR($F1001="",$F1001=1),   MROUND($AH1001*V1001,2.5),  MROUND($AH1001*V1001, 0.1))), "" ), "")</f>
        <v/>
      </c>
      <c r="T1001" s="164"/>
      <c r="U1001" s="164"/>
      <c r="V1001" s="165"/>
      <c r="W1001" s="163" t="str">
        <f t="shared" ref="W1001:W1008" si="2023">IF(Z1001&lt;&gt;0, IFERROR(IF( $F1001=2,  MROUND($AH1001*Z1001,1),    IF( OR($F1001="",$F1001=1),   MROUND($AH1001*Z1001,2.5),  MROUND($AH1001*Z1001, 0.1))), "" ), "")</f>
        <v/>
      </c>
      <c r="X1001" s="164"/>
      <c r="Y1001" s="164"/>
      <c r="Z1001" s="165"/>
      <c r="AA1001" s="163" t="str">
        <f t="shared" ref="AA1001:AA1008" si="2024">IF(AD1001&lt;&gt;0, IFERROR(IF( $F1001=2,  MROUND($AH1001*AD1001,1),    IF( OR($F1001="",$F1001=1),   MROUND($AH1001*AD1001,2.5),  MROUND($AH1001*AD1001, 0.1))), "" ), "")</f>
        <v/>
      </c>
      <c r="AB1001" s="164"/>
      <c r="AC1001" s="164"/>
      <c r="AD1001" s="165"/>
      <c r="AE1001" s="166">
        <f t="shared" ref="AE1001:AE1008" si="2025">(IF(ISNUMBER(G1001),G1001,0)*H1001*I1001+IF(ISNUMBER(K1001),K1001,1)*L1001*M1001+IF(ISNUMBER(O1001),O1001,1)*P1001*Q1001+IF(ISNUMBER(S1001),S1001,1)*T1001*U1001+IF(ISNUMBER(W1001),W1001,1)*X1001*Y1001+IF(ISNUMBER(AA1001),AA1001,1)*AB1001*AC1001)*IF(ISNUMBER(F1001),F1001,1)</f>
        <v>0</v>
      </c>
      <c r="AF1001" s="167">
        <f t="shared" si="1930"/>
        <v>0</v>
      </c>
      <c r="AG1001" s="168">
        <f t="shared" ref="AG1001:AG1008" si="2026">IFERROR((AF1001/(AH1001*IF(ISNUMBER(F1001),F1001,1))),0)</f>
        <v>0</v>
      </c>
      <c r="AH1001" s="169" t="str">
        <f t="shared" ref="AH1001:AH1008" si="2027">IF(ISNUMBER(AH945), AH945+(AH945*$AH$954),"")</f>
        <v/>
      </c>
      <c r="AI1001" s="167">
        <f> ( IF(ISNUMBER(G1001), VLOOKUP(G1001/$AH1001,F!$A1:$B101,2,1)*G1001*$H1001*$I1001,0)+IF(ISNUMBER(K1001), VLOOKUP(K1001/$AH1001,F!$A1:$B101,2,1)*K1001*$L1001*$M1001,0)+IF(ISNUMBER(O1001), VLOOKUP(O1001/$AH1001,F!$A1:$B101,2,1)*O1001*$P1001*$Q1001,0)+IF(ISNUMBER(S1001), VLOOKUP(S1001/$AH1001,F!$A1:$B101,2,1)*S1001*$T1001*$U1001,0)+IF(ISNUMBER(W1001), VLOOKUP(W1001/$AH1001,F!$A1:$B101,2,1)*W1001*$X1001*$Y1001,0)+IF(ISNUMBER(AA1001), VLOOKUP(AA1001/$AH1001,F!$A1:$B101,2,1)*AA1001*$AB1001*$AC1001,0))*IF(ISNUMBER(F1001),F1001,1)*IF(ISNUMBER(E1001),E1001,1)</f>
        <v>0</v>
      </c>
      <c r="AJ1001" s="164">
        <f t="shared" ref="AJ1001:AJ1008" si="2028">H1001*I1001+L1001*M1001+P1001*Q1001+T1001*U1001+X1001*Y1001+AB1001*AC1001</f>
        <v>0</v>
      </c>
      <c r="AK1001" s="170">
        <f t="array" ref="AK1001">IFERROR(I1001*INDEX(F!$P$21:$AB$33, MATCH(G1001/$AH1001, F!$O$21:$O$33,1), MATCH(E1001, F!$P$20:$AB$20,1)), 0 ) +IFERROR( M1001*INDEX(F!$P$21:$AB$33, MATCH(K1001/$AH1001, F!$O$21:$O$33,1), MATCH(E1001, F!$P$20:$AB$20,1)),0) +  IFERROR( Q1001*INDEX(F!$P$21:$AB$33, MATCH(O1001/$AH1001, F!$O$21:$O$33,1), MATCH(E1001, F!$P$20:$AB$20,1)), 0) + IFERROR( U1001*INDEX(F!$P$21:$AB$33, MATCH(S1001/$AH1001, F!$O$21:$O$33,1), MATCH(E1001, F!$P$20:$AB$20,1)),0)  + IFERROR(Y1001*INDEX(F!$P$21:$AB$33, MATCH(W1001/$AH1001, F!$O$21:$O$33,1), MATCH(E1001, F!$P$20:$AB$20,1)),0)  + IFERROR( AC1001*INDEX(F!$P$21:$AB$33, MATCH(AA1001/$AH1001, F!$O$21:$O$33,1), MATCH(E1001, F!$P$20:$AB$20,1)),)</f>
        <v>0</v>
      </c>
      <c r="AL1001" s="42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</row>
    <row r="1002" ht="15.75" hidden="1" customHeight="1">
      <c r="A1002" s="44">
        <f>A946+A898</f>
        <v>43906</v>
      </c>
      <c r="B1002" s="135" t="str">
        <f t="shared" ref="B1002:F1002" si="2018">IF(B946="","",B946)</f>
        <v/>
      </c>
      <c r="C1002" s="136" t="str">
        <f t="shared" si="2018"/>
        <v/>
      </c>
      <c r="D1002" s="137" t="str">
        <f t="shared" si="2018"/>
        <v/>
      </c>
      <c r="E1002" s="48" t="str">
        <f t="shared" si="2018"/>
        <v/>
      </c>
      <c r="F1002" s="138" t="str">
        <f t="shared" si="2018"/>
        <v/>
      </c>
      <c r="G1002" s="139" t="str">
        <f t="shared" si="2019"/>
        <v/>
      </c>
      <c r="H1002" s="140"/>
      <c r="I1002" s="140"/>
      <c r="J1002" s="141"/>
      <c r="K1002" s="139" t="str">
        <f t="shared" si="2020"/>
        <v/>
      </c>
      <c r="L1002" s="140"/>
      <c r="M1002" s="140"/>
      <c r="N1002" s="141"/>
      <c r="O1002" s="139" t="str">
        <f t="shared" si="2021"/>
        <v/>
      </c>
      <c r="P1002" s="140"/>
      <c r="Q1002" s="140"/>
      <c r="R1002" s="141"/>
      <c r="S1002" s="139" t="str">
        <f t="shared" si="2022"/>
        <v/>
      </c>
      <c r="T1002" s="140"/>
      <c r="U1002" s="140"/>
      <c r="V1002" s="141"/>
      <c r="W1002" s="139" t="str">
        <f t="shared" si="2023"/>
        <v/>
      </c>
      <c r="X1002" s="140"/>
      <c r="Y1002" s="140"/>
      <c r="Z1002" s="141"/>
      <c r="AA1002" s="139" t="str">
        <f t="shared" si="2024"/>
        <v/>
      </c>
      <c r="AB1002" s="140"/>
      <c r="AC1002" s="140"/>
      <c r="AD1002" s="141"/>
      <c r="AE1002" s="142">
        <f t="shared" si="2025"/>
        <v>0</v>
      </c>
      <c r="AF1002" s="143">
        <f t="shared" si="1930"/>
        <v>0</v>
      </c>
      <c r="AG1002" s="144">
        <f t="shared" si="2026"/>
        <v>0</v>
      </c>
      <c r="AH1002" s="76" t="str">
        <f t="shared" si="2027"/>
        <v/>
      </c>
      <c r="AI1002" s="143">
        <f> ( IF(ISNUMBER(G1002), VLOOKUP(G1002/$AH1002,F!$A1:$B101,2,1)*G1002*$H1002*$I1002,0)+IF(ISNUMBER(K1002), VLOOKUP(K1002/$AH1002,F!$A1:$B101,2,1)*K1002*$L1002*$M1002,0)+IF(ISNUMBER(O1002), VLOOKUP(O1002/$AH1002,F!$A1:$B101,2,1)*O1002*$P1002*$Q1002,0)+IF(ISNUMBER(S1002), VLOOKUP(S1002/$AH1002,F!$A1:$B101,2,1)*S1002*$T1002*$U1002,0)+IF(ISNUMBER(W1002), VLOOKUP(W1002/$AH1002,F!$A1:$B101,2,1)*W1002*$X1002*$Y1002,0)+IF(ISNUMBER(AA1002), VLOOKUP(AA1002/$AH1002,F!$A1:$B101,2,1)*AA1002*$AB1002*$AC1002,0))*IF(ISNUMBER(F1002),F1002,1)*IF(ISNUMBER(E1002),E1002,1)</f>
        <v>0</v>
      </c>
      <c r="AJ1002" s="140">
        <f t="shared" si="2028"/>
        <v>0</v>
      </c>
      <c r="AK1002" s="145">
        <f t="array" ref="AK1002">IFERROR(I1002*INDEX(F!$P$21:$AB$33, MATCH(G1002/$AH1002, F!$O$21:$O$33,1), MATCH(E1002, F!$P$20:$AB$20,1)), 0 ) +IFERROR( M1002*INDEX(F!$P$21:$AB$33, MATCH(K1002/$AH1002, F!$O$21:$O$33,1), MATCH(E1002, F!$P$20:$AB$20,1)),0) +  IFERROR( Q1002*INDEX(F!$P$21:$AB$33, MATCH(O1002/$AH1002, F!$O$21:$O$33,1), MATCH(E1002, F!$P$20:$AB$20,1)), 0) + IFERROR( U1002*INDEX(F!$P$21:$AB$33, MATCH(S1002/$AH1002, F!$O$21:$O$33,1), MATCH(E1002, F!$P$20:$AB$20,1)),0)  + IFERROR(Y1002*INDEX(F!$P$21:$AB$33, MATCH(W1002/$AH1002, F!$O$21:$O$33,1), MATCH(E1002, F!$P$20:$AB$20,1)),0)  + IFERROR( AC1002*INDEX(F!$P$21:$AB$33, MATCH(AA1002/$AH1002, F!$O$21:$O$33,1), MATCH(E1002, F!$P$20:$AB$20,1)),)</f>
        <v>0</v>
      </c>
      <c r="AL1002" s="59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</row>
    <row r="1003" ht="15.75" hidden="1" customHeight="1">
      <c r="A1003" s="59"/>
      <c r="B1003" s="173" t="str">
        <f t="shared" ref="B1003:F1003" si="2029">IF(B947="","",B947)</f>
        <v/>
      </c>
      <c r="C1003" s="174" t="str">
        <f t="shared" si="2029"/>
        <v/>
      </c>
      <c r="D1003" s="175" t="str">
        <f t="shared" si="2029"/>
        <v/>
      </c>
      <c r="E1003" s="48" t="str">
        <f t="shared" si="2029"/>
        <v/>
      </c>
      <c r="F1003" s="176" t="str">
        <f t="shared" si="2029"/>
        <v/>
      </c>
      <c r="G1003" s="177" t="str">
        <f t="shared" si="2019"/>
        <v/>
      </c>
      <c r="H1003" s="178"/>
      <c r="I1003" s="178"/>
      <c r="J1003" s="179"/>
      <c r="K1003" s="177" t="str">
        <f t="shared" si="2020"/>
        <v/>
      </c>
      <c r="L1003" s="178"/>
      <c r="M1003" s="178"/>
      <c r="N1003" s="179"/>
      <c r="O1003" s="177" t="str">
        <f t="shared" si="2021"/>
        <v/>
      </c>
      <c r="P1003" s="178"/>
      <c r="Q1003" s="178"/>
      <c r="R1003" s="179"/>
      <c r="S1003" s="177" t="str">
        <f t="shared" si="2022"/>
        <v/>
      </c>
      <c r="T1003" s="178"/>
      <c r="U1003" s="178"/>
      <c r="V1003" s="179"/>
      <c r="W1003" s="177" t="str">
        <f t="shared" si="2023"/>
        <v/>
      </c>
      <c r="X1003" s="178"/>
      <c r="Y1003" s="178"/>
      <c r="Z1003" s="179"/>
      <c r="AA1003" s="177" t="str">
        <f t="shared" si="2024"/>
        <v/>
      </c>
      <c r="AB1003" s="178"/>
      <c r="AC1003" s="178"/>
      <c r="AD1003" s="179"/>
      <c r="AE1003" s="180">
        <f t="shared" si="2025"/>
        <v>0</v>
      </c>
      <c r="AF1003" s="181">
        <f t="shared" si="1930"/>
        <v>0</v>
      </c>
      <c r="AG1003" s="182">
        <f t="shared" si="2026"/>
        <v>0</v>
      </c>
      <c r="AH1003" s="76" t="str">
        <f t="shared" si="2027"/>
        <v/>
      </c>
      <c r="AI1003" s="181">
        <f> ( IF(ISNUMBER(G1003), VLOOKUP(G1003/$AH1003,F!$A1:$B101,2,1)*G1003*$H1003*$I1003,0)+IF(ISNUMBER(K1003), VLOOKUP(K1003/$AH1003,F!$A1:$B101,2,1)*K1003*$L1003*$M1003,0)+IF(ISNUMBER(O1003), VLOOKUP(O1003/$AH1003,F!$A1:$B101,2,1)*O1003*$P1003*$Q1003,0)+IF(ISNUMBER(S1003), VLOOKUP(S1003/$AH1003,F!$A1:$B101,2,1)*S1003*$T1003*$U1003,0)+IF(ISNUMBER(W1003), VLOOKUP(W1003/$AH1003,F!$A1:$B101,2,1)*W1003*$X1003*$Y1003,0)+IF(ISNUMBER(AA1003), VLOOKUP(AA1003/$AH1003,F!$A1:$B101,2,1)*AA1003*$AB1003*$AC1003,0))*IF(ISNUMBER(F1003),F1003,1)*IF(ISNUMBER(E1003),E1003,1)</f>
        <v>0</v>
      </c>
      <c r="AJ1003" s="178">
        <f t="shared" si="2028"/>
        <v>0</v>
      </c>
      <c r="AK1003" s="183">
        <f t="array" ref="AK1003">IFERROR(I1003*INDEX(F!$P$21:$AB$33, MATCH(G1003/$AH1003, F!$O$21:$O$33,1), MATCH(E1003, F!$P$20:$AB$20,1)), 0 ) +IFERROR( M1003*INDEX(F!$P$21:$AB$33, MATCH(K1003/$AH1003, F!$O$21:$O$33,1), MATCH(E1003, F!$P$20:$AB$20,1)),0) +  IFERROR( Q1003*INDEX(F!$P$21:$AB$33, MATCH(O1003/$AH1003, F!$O$21:$O$33,1), MATCH(E1003, F!$P$20:$AB$20,1)), 0) + IFERROR( U1003*INDEX(F!$P$21:$AB$33, MATCH(S1003/$AH1003, F!$O$21:$O$33,1), MATCH(E1003, F!$P$20:$AB$20,1)),0)  + IFERROR(Y1003*INDEX(F!$P$21:$AB$33, MATCH(W1003/$AH1003, F!$O$21:$O$33,1), MATCH(E1003, F!$P$20:$AB$20,1)),0)  + IFERROR( AC1003*INDEX(F!$P$21:$AB$33, MATCH(AA1003/$AH1003, F!$O$21:$O$33,1), MATCH(E1003, F!$P$20:$AB$20,1)),)</f>
        <v>0</v>
      </c>
      <c r="AL1003" s="59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</row>
    <row r="1004" ht="15.75" hidden="1" customHeight="1">
      <c r="A1004" s="59"/>
      <c r="B1004" s="135" t="str">
        <f t="shared" ref="B1004:F1004" si="2030">IF(B948="","",B948)</f>
        <v/>
      </c>
      <c r="C1004" s="136" t="str">
        <f t="shared" si="2030"/>
        <v/>
      </c>
      <c r="D1004" s="137" t="str">
        <f t="shared" si="2030"/>
        <v/>
      </c>
      <c r="E1004" s="48" t="str">
        <f t="shared" si="2030"/>
        <v/>
      </c>
      <c r="F1004" s="138" t="str">
        <f t="shared" si="2030"/>
        <v/>
      </c>
      <c r="G1004" s="139" t="str">
        <f t="shared" si="2019"/>
        <v/>
      </c>
      <c r="H1004" s="140"/>
      <c r="I1004" s="140"/>
      <c r="J1004" s="141"/>
      <c r="K1004" s="139" t="str">
        <f t="shared" si="2020"/>
        <v/>
      </c>
      <c r="L1004" s="140"/>
      <c r="M1004" s="140"/>
      <c r="N1004" s="141"/>
      <c r="O1004" s="139" t="str">
        <f t="shared" si="2021"/>
        <v/>
      </c>
      <c r="P1004" s="140"/>
      <c r="Q1004" s="140"/>
      <c r="R1004" s="141"/>
      <c r="S1004" s="139" t="str">
        <f t="shared" si="2022"/>
        <v/>
      </c>
      <c r="T1004" s="140"/>
      <c r="U1004" s="140"/>
      <c r="V1004" s="141"/>
      <c r="W1004" s="139" t="str">
        <f t="shared" si="2023"/>
        <v/>
      </c>
      <c r="X1004" s="140"/>
      <c r="Y1004" s="140"/>
      <c r="Z1004" s="141"/>
      <c r="AA1004" s="139" t="str">
        <f t="shared" si="2024"/>
        <v/>
      </c>
      <c r="AB1004" s="140"/>
      <c r="AC1004" s="140"/>
      <c r="AD1004" s="141"/>
      <c r="AE1004" s="142">
        <f t="shared" si="2025"/>
        <v>0</v>
      </c>
      <c r="AF1004" s="143">
        <f t="shared" si="1930"/>
        <v>0</v>
      </c>
      <c r="AG1004" s="144">
        <f t="shared" si="2026"/>
        <v>0</v>
      </c>
      <c r="AH1004" s="76" t="str">
        <f t="shared" si="2027"/>
        <v/>
      </c>
      <c r="AI1004" s="143">
        <f> ( IF(ISNUMBER(G1004), VLOOKUP(G1004/$AH1004,F!$A1:$B101,2,1)*G1004*$H1004*$I1004,0)+IF(ISNUMBER(K1004), VLOOKUP(K1004/$AH1004,F!$A1:$B101,2,1)*K1004*$L1004*$M1004,0)+IF(ISNUMBER(O1004), VLOOKUP(O1004/$AH1004,F!$A1:$B101,2,1)*O1004*$P1004*$Q1004,0)+IF(ISNUMBER(S1004), VLOOKUP(S1004/$AH1004,F!$A1:$B101,2,1)*S1004*$T1004*$U1004,0)+IF(ISNUMBER(W1004), VLOOKUP(W1004/$AH1004,F!$A1:$B101,2,1)*W1004*$X1004*$Y1004,0)+IF(ISNUMBER(AA1004), VLOOKUP(AA1004/$AH1004,F!$A1:$B101,2,1)*AA1004*$AB1004*$AC1004,0))*IF(ISNUMBER(F1004),F1004,1)*IF(ISNUMBER(E1004),E1004,1)</f>
        <v>0</v>
      </c>
      <c r="AJ1004" s="140">
        <f t="shared" si="2028"/>
        <v>0</v>
      </c>
      <c r="AK1004" s="145">
        <f t="array" ref="AK1004">IFERROR(I1004*INDEX(F!$P$21:$AB$33, MATCH(G1004/$AH1004, F!$O$21:$O$33,1), MATCH(E1004, F!$P$20:$AB$20,1)), 0 ) +IFERROR( M1004*INDEX(F!$P$21:$AB$33, MATCH(K1004/$AH1004, F!$O$21:$O$33,1), MATCH(E1004, F!$P$20:$AB$20,1)),0) +  IFERROR( Q1004*INDEX(F!$P$21:$AB$33, MATCH(O1004/$AH1004, F!$O$21:$O$33,1), MATCH(E1004, F!$P$20:$AB$20,1)), 0) + IFERROR( U1004*INDEX(F!$P$21:$AB$33, MATCH(S1004/$AH1004, F!$O$21:$O$33,1), MATCH(E1004, F!$P$20:$AB$20,1)),0)  + IFERROR(Y1004*INDEX(F!$P$21:$AB$33, MATCH(W1004/$AH1004, F!$O$21:$O$33,1), MATCH(E1004, F!$P$20:$AB$20,1)),0)  + IFERROR( AC1004*INDEX(F!$P$21:$AB$33, MATCH(AA1004/$AH1004, F!$O$21:$O$33,1), MATCH(E1004, F!$P$20:$AB$20,1)),)</f>
        <v>0</v>
      </c>
      <c r="AL1004" s="59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</row>
    <row r="1005" ht="15.75" hidden="1" customHeight="1">
      <c r="A1005" s="59"/>
      <c r="B1005" s="173" t="str">
        <f t="shared" ref="B1005:F1005" si="2031">IF(B949="","",B949)</f>
        <v/>
      </c>
      <c r="C1005" s="174" t="str">
        <f t="shared" si="2031"/>
        <v/>
      </c>
      <c r="D1005" s="175" t="str">
        <f t="shared" si="2031"/>
        <v/>
      </c>
      <c r="E1005" s="48" t="str">
        <f t="shared" si="2031"/>
        <v/>
      </c>
      <c r="F1005" s="176" t="str">
        <f t="shared" si="2031"/>
        <v/>
      </c>
      <c r="G1005" s="177" t="str">
        <f t="shared" si="2019"/>
        <v/>
      </c>
      <c r="H1005" s="178"/>
      <c r="I1005" s="178"/>
      <c r="J1005" s="179"/>
      <c r="K1005" s="177" t="str">
        <f t="shared" si="2020"/>
        <v/>
      </c>
      <c r="L1005" s="178"/>
      <c r="M1005" s="178"/>
      <c r="N1005" s="179"/>
      <c r="O1005" s="177" t="str">
        <f t="shared" si="2021"/>
        <v/>
      </c>
      <c r="P1005" s="178"/>
      <c r="Q1005" s="178"/>
      <c r="R1005" s="179"/>
      <c r="S1005" s="177" t="str">
        <f t="shared" si="2022"/>
        <v/>
      </c>
      <c r="T1005" s="178"/>
      <c r="U1005" s="178"/>
      <c r="V1005" s="179"/>
      <c r="W1005" s="177" t="str">
        <f t="shared" si="2023"/>
        <v/>
      </c>
      <c r="X1005" s="178"/>
      <c r="Y1005" s="178"/>
      <c r="Z1005" s="179"/>
      <c r="AA1005" s="177" t="str">
        <f t="shared" si="2024"/>
        <v/>
      </c>
      <c r="AB1005" s="178"/>
      <c r="AC1005" s="178"/>
      <c r="AD1005" s="179"/>
      <c r="AE1005" s="180">
        <f t="shared" si="2025"/>
        <v>0</v>
      </c>
      <c r="AF1005" s="181">
        <f t="shared" si="1930"/>
        <v>0</v>
      </c>
      <c r="AG1005" s="182">
        <f t="shared" si="2026"/>
        <v>0</v>
      </c>
      <c r="AH1005" s="76" t="str">
        <f t="shared" si="2027"/>
        <v/>
      </c>
      <c r="AI1005" s="181">
        <f> ( IF(ISNUMBER(G1005), VLOOKUP(G1005/$AH1005,F!$A1:$B101,2,1)*G1005*$H1005*$I1005,0)+IF(ISNUMBER(K1005), VLOOKUP(K1005/$AH1005,F!$A1:$B101,2,1)*K1005*$L1005*$M1005,0)+IF(ISNUMBER(O1005), VLOOKUP(O1005/$AH1005,F!$A1:$B101,2,1)*O1005*$P1005*$Q1005,0)+IF(ISNUMBER(S1005), VLOOKUP(S1005/$AH1005,F!$A1:$B101,2,1)*S1005*$T1005*$U1005,0)+IF(ISNUMBER(W1005), VLOOKUP(W1005/$AH1005,F!$A1:$B101,2,1)*W1005*$X1005*$Y1005,0)+IF(ISNUMBER(AA1005), VLOOKUP(AA1005/$AH1005,F!$A1:$B101,2,1)*AA1005*$AB1005*$AC1005,0))*IF(ISNUMBER(F1005),F1005,1)*IF(ISNUMBER(E1005),E1005,1)</f>
        <v>0</v>
      </c>
      <c r="AJ1005" s="178">
        <f t="shared" si="2028"/>
        <v>0</v>
      </c>
      <c r="AK1005" s="183">
        <f t="array" ref="AK1005">IFERROR(I1005*INDEX(F!$P$21:$AB$33, MATCH(G1005/$AH1005, F!$O$21:$O$33,1), MATCH(E1005, F!$P$20:$AB$20,1)), 0 ) +IFERROR( M1005*INDEX(F!$P$21:$AB$33, MATCH(K1005/$AH1005, F!$O$21:$O$33,1), MATCH(E1005, F!$P$20:$AB$20,1)),0) +  IFERROR( Q1005*INDEX(F!$P$21:$AB$33, MATCH(O1005/$AH1005, F!$O$21:$O$33,1), MATCH(E1005, F!$P$20:$AB$20,1)), 0) + IFERROR( U1005*INDEX(F!$P$21:$AB$33, MATCH(S1005/$AH1005, F!$O$21:$O$33,1), MATCH(E1005, F!$P$20:$AB$20,1)),0)  + IFERROR(Y1005*INDEX(F!$P$21:$AB$33, MATCH(W1005/$AH1005, F!$O$21:$O$33,1), MATCH(E1005, F!$P$20:$AB$20,1)),0)  + IFERROR( AC1005*INDEX(F!$P$21:$AB$33, MATCH(AA1005/$AH1005, F!$O$21:$O$33,1), MATCH(E1005, F!$P$20:$AB$20,1)),)</f>
        <v>0</v>
      </c>
      <c r="AL1005" s="59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</row>
    <row r="1006" ht="15.75" hidden="1" customHeight="1">
      <c r="A1006" s="59"/>
      <c r="B1006" s="135" t="str">
        <f t="shared" ref="B1006:F1006" si="2032">IF(B950="","",B950)</f>
        <v/>
      </c>
      <c r="C1006" s="136" t="str">
        <f t="shared" si="2032"/>
        <v/>
      </c>
      <c r="D1006" s="137" t="str">
        <f t="shared" si="2032"/>
        <v/>
      </c>
      <c r="E1006" s="48" t="str">
        <f t="shared" si="2032"/>
        <v/>
      </c>
      <c r="F1006" s="138" t="str">
        <f t="shared" si="2032"/>
        <v/>
      </c>
      <c r="G1006" s="139" t="str">
        <f t="shared" si="2019"/>
        <v/>
      </c>
      <c r="H1006" s="140"/>
      <c r="I1006" s="140"/>
      <c r="J1006" s="141"/>
      <c r="K1006" s="139" t="str">
        <f t="shared" si="2020"/>
        <v/>
      </c>
      <c r="L1006" s="140"/>
      <c r="M1006" s="140"/>
      <c r="N1006" s="141"/>
      <c r="O1006" s="139" t="str">
        <f t="shared" si="2021"/>
        <v/>
      </c>
      <c r="P1006" s="140"/>
      <c r="Q1006" s="140"/>
      <c r="R1006" s="141"/>
      <c r="S1006" s="139" t="str">
        <f t="shared" si="2022"/>
        <v/>
      </c>
      <c r="T1006" s="140"/>
      <c r="U1006" s="140"/>
      <c r="V1006" s="141"/>
      <c r="W1006" s="139" t="str">
        <f t="shared" si="2023"/>
        <v/>
      </c>
      <c r="X1006" s="140"/>
      <c r="Y1006" s="140"/>
      <c r="Z1006" s="141"/>
      <c r="AA1006" s="139" t="str">
        <f t="shared" si="2024"/>
        <v/>
      </c>
      <c r="AB1006" s="140"/>
      <c r="AC1006" s="140"/>
      <c r="AD1006" s="141"/>
      <c r="AE1006" s="142">
        <f t="shared" si="2025"/>
        <v>0</v>
      </c>
      <c r="AF1006" s="143">
        <f t="shared" si="1930"/>
        <v>0</v>
      </c>
      <c r="AG1006" s="144">
        <f t="shared" si="2026"/>
        <v>0</v>
      </c>
      <c r="AH1006" s="76" t="str">
        <f t="shared" si="2027"/>
        <v/>
      </c>
      <c r="AI1006" s="143">
        <f> ( IF(ISNUMBER(G1006), VLOOKUP(G1006/$AH1006,F!$A1:$B101,2,1)*G1006*$H1006*$I1006,0)+IF(ISNUMBER(K1006), VLOOKUP(K1006/$AH1006,F!$A1:$B101,2,1)*K1006*$L1006*$M1006,0)+IF(ISNUMBER(O1006), VLOOKUP(O1006/$AH1006,F!$A1:$B101,2,1)*O1006*$P1006*$Q1006,0)+IF(ISNUMBER(S1006), VLOOKUP(S1006/$AH1006,F!$A1:$B101,2,1)*S1006*$T1006*$U1006,0)+IF(ISNUMBER(W1006), VLOOKUP(W1006/$AH1006,F!$A1:$B101,2,1)*W1006*$X1006*$Y1006,0)+IF(ISNUMBER(AA1006), VLOOKUP(AA1006/$AH1006,F!$A1:$B101,2,1)*AA1006*$AB1006*$AC1006,0))*IF(ISNUMBER(F1006),F1006,1)*IF(ISNUMBER(E1006),E1006,1)</f>
        <v>0</v>
      </c>
      <c r="AJ1006" s="140">
        <f t="shared" si="2028"/>
        <v>0</v>
      </c>
      <c r="AK1006" s="145">
        <f t="array" ref="AK1006">IFERROR(I1006*INDEX(F!$P$21:$AB$33, MATCH(G1006/$AH1006, F!$O$21:$O$33,1), MATCH(E1006, F!$P$20:$AB$20,1)), 0 ) +IFERROR( M1006*INDEX(F!$P$21:$AB$33, MATCH(K1006/$AH1006, F!$O$21:$O$33,1), MATCH(E1006, F!$P$20:$AB$20,1)),0) +  IFERROR( Q1006*INDEX(F!$P$21:$AB$33, MATCH(O1006/$AH1006, F!$O$21:$O$33,1), MATCH(E1006, F!$P$20:$AB$20,1)), 0) + IFERROR( U1006*INDEX(F!$P$21:$AB$33, MATCH(S1006/$AH1006, F!$O$21:$O$33,1), MATCH(E1006, F!$P$20:$AB$20,1)),0)  + IFERROR(Y1006*INDEX(F!$P$21:$AB$33, MATCH(W1006/$AH1006, F!$O$21:$O$33,1), MATCH(E1006, F!$P$20:$AB$20,1)),0)  + IFERROR( AC1006*INDEX(F!$P$21:$AB$33, MATCH(AA1006/$AH1006, F!$O$21:$O$33,1), MATCH(E1006, F!$P$20:$AB$20,1)),)</f>
        <v>0</v>
      </c>
      <c r="AL1006" s="59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</row>
    <row r="1007" ht="15.75" hidden="1" customHeight="1">
      <c r="A1007" s="59"/>
      <c r="B1007" s="173" t="str">
        <f t="shared" ref="B1007:F1007" si="2033">IF(B951="","",B951)</f>
        <v/>
      </c>
      <c r="C1007" s="174" t="str">
        <f t="shared" si="2033"/>
        <v/>
      </c>
      <c r="D1007" s="175" t="str">
        <f t="shared" si="2033"/>
        <v/>
      </c>
      <c r="E1007" s="48" t="str">
        <f t="shared" si="2033"/>
        <v/>
      </c>
      <c r="F1007" s="176" t="str">
        <f t="shared" si="2033"/>
        <v/>
      </c>
      <c r="G1007" s="177" t="str">
        <f t="shared" si="2019"/>
        <v/>
      </c>
      <c r="H1007" s="178"/>
      <c r="I1007" s="178"/>
      <c r="J1007" s="179"/>
      <c r="K1007" s="177" t="str">
        <f t="shared" si="2020"/>
        <v/>
      </c>
      <c r="L1007" s="178"/>
      <c r="M1007" s="178"/>
      <c r="N1007" s="179"/>
      <c r="O1007" s="177" t="str">
        <f t="shared" si="2021"/>
        <v/>
      </c>
      <c r="P1007" s="178"/>
      <c r="Q1007" s="178"/>
      <c r="R1007" s="179"/>
      <c r="S1007" s="177" t="str">
        <f t="shared" si="2022"/>
        <v/>
      </c>
      <c r="T1007" s="178"/>
      <c r="U1007" s="178"/>
      <c r="V1007" s="179"/>
      <c r="W1007" s="177" t="str">
        <f t="shared" si="2023"/>
        <v/>
      </c>
      <c r="X1007" s="178"/>
      <c r="Y1007" s="178"/>
      <c r="Z1007" s="179"/>
      <c r="AA1007" s="177" t="str">
        <f t="shared" si="2024"/>
        <v/>
      </c>
      <c r="AB1007" s="178"/>
      <c r="AC1007" s="178"/>
      <c r="AD1007" s="179"/>
      <c r="AE1007" s="180">
        <f t="shared" si="2025"/>
        <v>0</v>
      </c>
      <c r="AF1007" s="181">
        <f t="shared" si="1930"/>
        <v>0</v>
      </c>
      <c r="AG1007" s="182">
        <f t="shared" si="2026"/>
        <v>0</v>
      </c>
      <c r="AH1007" s="76" t="str">
        <f t="shared" si="2027"/>
        <v/>
      </c>
      <c r="AI1007" s="181">
        <f> ( IF(ISNUMBER(G1007), VLOOKUP(G1007/$AH1007,F!$A1:$B101,2,1)*G1007*$H1007*$I1007,0)+IF(ISNUMBER(K1007), VLOOKUP(K1007/$AH1007,F!$A1:$B101,2,1)*K1007*$L1007*$M1007,0)+IF(ISNUMBER(O1007), VLOOKUP(O1007/$AH1007,F!$A1:$B101,2,1)*O1007*$P1007*$Q1007,0)+IF(ISNUMBER(S1007), VLOOKUP(S1007/$AH1007,F!$A1:$B101,2,1)*S1007*$T1007*$U1007,0)+IF(ISNUMBER(W1007), VLOOKUP(W1007/$AH1007,F!$A1:$B101,2,1)*W1007*$X1007*$Y1007,0)+IF(ISNUMBER(AA1007), VLOOKUP(AA1007/$AH1007,F!$A1:$B101,2,1)*AA1007*$AB1007*$AC1007,0))*IF(ISNUMBER(F1007),F1007,1)*IF(ISNUMBER(E1007),E1007,1)</f>
        <v>0</v>
      </c>
      <c r="AJ1007" s="178">
        <f t="shared" si="2028"/>
        <v>0</v>
      </c>
      <c r="AK1007" s="183">
        <f t="array" ref="AK1007">IFERROR(I1007*INDEX(F!$P$21:$AB$33, MATCH(G1007/$AH1007, F!$O$21:$O$33,1), MATCH(E1007, F!$P$20:$AB$20,1)), 0 ) +IFERROR( M1007*INDEX(F!$P$21:$AB$33, MATCH(K1007/$AH1007, F!$O$21:$O$33,1), MATCH(E1007, F!$P$20:$AB$20,1)),0) +  IFERROR( Q1007*INDEX(F!$P$21:$AB$33, MATCH(O1007/$AH1007, F!$O$21:$O$33,1), MATCH(E1007, F!$P$20:$AB$20,1)), 0) + IFERROR( U1007*INDEX(F!$P$21:$AB$33, MATCH(S1007/$AH1007, F!$O$21:$O$33,1), MATCH(E1007, F!$P$20:$AB$20,1)),0)  + IFERROR(Y1007*INDEX(F!$P$21:$AB$33, MATCH(W1007/$AH1007, F!$O$21:$O$33,1), MATCH(E1007, F!$P$20:$AB$20,1)),0)  + IFERROR( AC1007*INDEX(F!$P$21:$AB$33, MATCH(AA1007/$AH1007, F!$O$21:$O$33,1), MATCH(E1007, F!$P$20:$AB$20,1)),)</f>
        <v>0</v>
      </c>
      <c r="AL1007" s="59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</row>
    <row r="1008" ht="15.75" hidden="1" customHeight="1">
      <c r="A1008" s="59"/>
      <c r="B1008" s="135" t="str">
        <f t="shared" ref="B1008:F1008" si="2034">IF(B952="","",B952)</f>
        <v/>
      </c>
      <c r="C1008" s="136" t="str">
        <f t="shared" si="2034"/>
        <v/>
      </c>
      <c r="D1008" s="137" t="str">
        <f t="shared" si="2034"/>
        <v/>
      </c>
      <c r="E1008" s="48" t="str">
        <f t="shared" si="2034"/>
        <v/>
      </c>
      <c r="F1008" s="138" t="str">
        <f t="shared" si="2034"/>
        <v/>
      </c>
      <c r="G1008" s="139" t="str">
        <f t="shared" si="2019"/>
        <v/>
      </c>
      <c r="H1008" s="140"/>
      <c r="I1008" s="140"/>
      <c r="J1008" s="141"/>
      <c r="K1008" s="139" t="str">
        <f t="shared" si="2020"/>
        <v/>
      </c>
      <c r="L1008" s="140"/>
      <c r="M1008" s="140"/>
      <c r="N1008" s="141"/>
      <c r="O1008" s="139" t="str">
        <f t="shared" si="2021"/>
        <v/>
      </c>
      <c r="P1008" s="140"/>
      <c r="Q1008" s="140"/>
      <c r="R1008" s="141"/>
      <c r="S1008" s="139" t="str">
        <f t="shared" si="2022"/>
        <v/>
      </c>
      <c r="T1008" s="140"/>
      <c r="U1008" s="140"/>
      <c r="V1008" s="141"/>
      <c r="W1008" s="139" t="str">
        <f t="shared" si="2023"/>
        <v/>
      </c>
      <c r="X1008" s="140"/>
      <c r="Y1008" s="140"/>
      <c r="Z1008" s="141"/>
      <c r="AA1008" s="139" t="str">
        <f t="shared" si="2024"/>
        <v/>
      </c>
      <c r="AB1008" s="140"/>
      <c r="AC1008" s="140"/>
      <c r="AD1008" s="141"/>
      <c r="AE1008" s="142">
        <f t="shared" si="2025"/>
        <v>0</v>
      </c>
      <c r="AF1008" s="143">
        <f t="shared" si="1930"/>
        <v>0</v>
      </c>
      <c r="AG1008" s="144">
        <f t="shared" si="2026"/>
        <v>0</v>
      </c>
      <c r="AH1008" s="76" t="str">
        <f t="shared" si="2027"/>
        <v/>
      </c>
      <c r="AI1008" s="143">
        <f> ( IF(ISNUMBER(G1008), VLOOKUP(G1008/$AH1008,F!$A1:$B101,2,1)*G1008*$H1008*$I1008,0)+IF(ISNUMBER(K1008), VLOOKUP(K1008/$AH1008,F!$A1:$B101,2,1)*K1008*$L1008*$M1008,0)+IF(ISNUMBER(O1008), VLOOKUP(O1008/$AH1008,F!$A1:$B101,2,1)*O1008*$P1008*$Q1008,0)+IF(ISNUMBER(S1008), VLOOKUP(S1008/$AH1008,F!$A1:$B101,2,1)*S1008*$T1008*$U1008,0)+IF(ISNUMBER(W1008), VLOOKUP(W1008/$AH1008,F!$A1:$B101,2,1)*W1008*$X1008*$Y1008,0)+IF(ISNUMBER(AA1008), VLOOKUP(AA1008/$AH1008,F!$A1:$B101,2,1)*AA1008*$AB1008*$AC1008,0))*IF(ISNUMBER(F1008),F1008,1)*IF(ISNUMBER(E1008),E1008,1)</f>
        <v>0</v>
      </c>
      <c r="AJ1008" s="140">
        <f t="shared" si="2028"/>
        <v>0</v>
      </c>
      <c r="AK1008" s="145">
        <f t="array" ref="AK1008">IFERROR(I1008*INDEX(F!$P$21:$AB$33, MATCH(G1008/$AH1008, F!$O$21:$O$33,1), MATCH(E1008, F!$P$20:$AB$20,1)), 0 ) +IFERROR( M1008*INDEX(F!$P$21:$AB$33, MATCH(K1008/$AH1008, F!$O$21:$O$33,1), MATCH(E1008, F!$P$20:$AB$20,1)),0) +  IFERROR( Q1008*INDEX(F!$P$21:$AB$33, MATCH(O1008/$AH1008, F!$O$21:$O$33,1), MATCH(E1008, F!$P$20:$AB$20,1)), 0) + IFERROR( U1008*INDEX(F!$P$21:$AB$33, MATCH(S1008/$AH1008, F!$O$21:$O$33,1), MATCH(E1008, F!$P$20:$AB$20,1)),0)  + IFERROR(Y1008*INDEX(F!$P$21:$AB$33, MATCH(W1008/$AH1008, F!$O$21:$O$33,1), MATCH(E1008, F!$P$20:$AB$20,1)),0)  + IFERROR( AC1008*INDEX(F!$P$21:$AB$33, MATCH(AA1008/$AH1008, F!$O$21:$O$33,1), MATCH(E1008, F!$P$20:$AB$20,1)),)</f>
        <v>0</v>
      </c>
      <c r="AL1008" s="59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</row>
    <row r="1009" ht="15.75" hidden="1" customHeight="1">
      <c r="A1009" s="98"/>
      <c r="B1009" s="188"/>
      <c r="C1009" s="189"/>
      <c r="D1009" s="190"/>
      <c r="E1009" s="102">
        <f>ROUND(IFERROR(SUMPRODUCT(AJ1001:AJ1008,E1001:E1008)/AJ1009,0),3)</f>
        <v>0</v>
      </c>
      <c r="F1009" s="191"/>
      <c r="G1009" s="201"/>
      <c r="H1009" s="193"/>
      <c r="I1009" s="193"/>
      <c r="J1009" s="194"/>
      <c r="K1009" s="201"/>
      <c r="L1009" s="193"/>
      <c r="M1009" s="193"/>
      <c r="N1009" s="194"/>
      <c r="O1009" s="201"/>
      <c r="P1009" s="193"/>
      <c r="Q1009" s="193"/>
      <c r="R1009" s="194"/>
      <c r="S1009" s="201"/>
      <c r="T1009" s="193"/>
      <c r="U1009" s="193"/>
      <c r="V1009" s="194"/>
      <c r="W1009" s="201"/>
      <c r="X1009" s="193"/>
      <c r="Y1009" s="193"/>
      <c r="Z1009" s="194"/>
      <c r="AA1009" s="201"/>
      <c r="AB1009" s="193"/>
      <c r="AC1009" s="193"/>
      <c r="AD1009" s="194"/>
      <c r="AE1009" s="107">
        <f>SUM(AE1001:AE1008)</f>
        <v>0</v>
      </c>
      <c r="AF1009" s="108">
        <f t="shared" si="1930"/>
        <v>0</v>
      </c>
      <c r="AG1009" s="109">
        <f>IFERROR(  SUMPRODUCT(AG1001:AG1008,AJ1001:AJ1008)/AJ1009,0)</f>
        <v>0</v>
      </c>
      <c r="AH1009" s="157"/>
      <c r="AI1009" s="111">
        <f t="shared" ref="AI1009:AJ1009" si="2035">SUM(AI1001:AI1008)</f>
        <v>0</v>
      </c>
      <c r="AJ1009" s="111">
        <f t="shared" si="2035"/>
        <v>0</v>
      </c>
      <c r="AK1009" s="112">
        <f>IF(SUM(AK1001:AK1008)=0,TIME(,0,),TIME(,SUM(AK1001:AK1008)+F!$V$37,))</f>
        <v>0</v>
      </c>
      <c r="AL1009" s="98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</row>
    <row r="1010" ht="15.75" hidden="1" customHeight="1">
      <c r="A1010" s="5">
        <f>A954</f>
        <v>7</v>
      </c>
      <c r="B1010" s="6"/>
      <c r="C1010" s="6"/>
      <c r="D1010" s="6"/>
      <c r="E1010" s="7">
        <f>IF(AJ1010=0,0,(E1020*AJ1020 + E1029*AJ1029 + E1038*AJ1038 + E1047*AJ1047 + E1056*AJ1056 + E1065*AJ1065   ) /AJ1010 )</f>
        <v>0</v>
      </c>
      <c r="F1010" s="8" t="s">
        <v>0</v>
      </c>
      <c r="G1010" s="9"/>
      <c r="H1010" s="9"/>
      <c r="I1010" s="9"/>
      <c r="J1010" s="9"/>
      <c r="K1010" s="9"/>
      <c r="L1010" s="9"/>
      <c r="M1010" s="10"/>
      <c r="N1010" s="228">
        <f>N954+1</f>
        <v>19</v>
      </c>
      <c r="O1010" s="222"/>
      <c r="P1010" s="222"/>
      <c r="Q1010" s="222"/>
      <c r="R1010" s="222"/>
      <c r="S1010" s="222"/>
      <c r="T1010" s="222"/>
      <c r="U1010" s="222"/>
      <c r="V1010" s="222"/>
      <c r="W1010" s="222"/>
      <c r="X1010" s="222"/>
      <c r="Y1010" s="222"/>
      <c r="Z1010" s="222"/>
      <c r="AA1010" s="222"/>
      <c r="AB1010" s="222"/>
      <c r="AC1010" s="222"/>
      <c r="AD1010" s="223"/>
      <c r="AE1010" s="5">
        <f>AE1020+AE1029+AE1038+AE1047+AE1056+AE1065</f>
        <v>0</v>
      </c>
      <c r="AF1010" s="229">
        <f t="shared" si="1930"/>
        <v>0</v>
      </c>
      <c r="AG1010" s="230">
        <f>IF(AJ1010=0,0,(AG1020*AJ1020 + AG1029*AJ1029 + AG1038*AJ1038 + AG1047*AJ1047 + AG1056*AJ1056 + AG1065*AJ1065   ) /AJ1010 )</f>
        <v>0</v>
      </c>
      <c r="AH1010" s="210">
        <f>AH954</f>
        <v>0.02</v>
      </c>
      <c r="AI1010" s="5">
        <f t="shared" ref="AI1010:AK1010" si="2036">AI1020+AI1029+AI1038+AI1047+AI1056+AI1065</f>
        <v>0</v>
      </c>
      <c r="AJ1010" s="5">
        <f t="shared" si="2036"/>
        <v>0</v>
      </c>
      <c r="AK1010" s="231">
        <f t="shared" si="2036"/>
        <v>0</v>
      </c>
      <c r="AL1010" s="218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</row>
    <row r="1011" ht="15.75" hidden="1" customHeight="1">
      <c r="A1011" s="19" t="s">
        <v>1</v>
      </c>
      <c r="B1011" s="20" t="s">
        <v>2</v>
      </c>
      <c r="C1011" s="20" t="s">
        <v>3</v>
      </c>
      <c r="D1011" s="20" t="s">
        <v>4</v>
      </c>
      <c r="E1011" s="20" t="s">
        <v>5</v>
      </c>
      <c r="F1011" s="20" t="s">
        <v>6</v>
      </c>
      <c r="G1011" s="20" t="s">
        <v>7</v>
      </c>
      <c r="H1011" s="20" t="s">
        <v>8</v>
      </c>
      <c r="I1011" s="20" t="s">
        <v>9</v>
      </c>
      <c r="J1011" s="20" t="s">
        <v>10</v>
      </c>
      <c r="K1011" s="20" t="s">
        <v>7</v>
      </c>
      <c r="L1011" s="20" t="s">
        <v>8</v>
      </c>
      <c r="M1011" s="20" t="s">
        <v>9</v>
      </c>
      <c r="N1011" s="20" t="s">
        <v>10</v>
      </c>
      <c r="O1011" s="20" t="s">
        <v>7</v>
      </c>
      <c r="P1011" s="20" t="s">
        <v>8</v>
      </c>
      <c r="Q1011" s="20" t="s">
        <v>9</v>
      </c>
      <c r="R1011" s="20" t="s">
        <v>10</v>
      </c>
      <c r="S1011" s="20" t="s">
        <v>7</v>
      </c>
      <c r="T1011" s="20" t="s">
        <v>8</v>
      </c>
      <c r="U1011" s="20" t="s">
        <v>9</v>
      </c>
      <c r="V1011" s="20" t="s">
        <v>10</v>
      </c>
      <c r="W1011" s="20" t="s">
        <v>7</v>
      </c>
      <c r="X1011" s="20" t="s">
        <v>8</v>
      </c>
      <c r="Y1011" s="20" t="s">
        <v>9</v>
      </c>
      <c r="Z1011" s="20" t="s">
        <v>10</v>
      </c>
      <c r="AA1011" s="20" t="s">
        <v>7</v>
      </c>
      <c r="AB1011" s="20" t="s">
        <v>8</v>
      </c>
      <c r="AC1011" s="20" t="s">
        <v>9</v>
      </c>
      <c r="AD1011" s="21" t="s">
        <v>10</v>
      </c>
      <c r="AE1011" s="20" t="s">
        <v>11</v>
      </c>
      <c r="AF1011" s="20" t="s">
        <v>12</v>
      </c>
      <c r="AG1011" s="20" t="s">
        <v>13</v>
      </c>
      <c r="AH1011" s="213" t="s">
        <v>14</v>
      </c>
      <c r="AI1011" s="23" t="s">
        <v>15</v>
      </c>
      <c r="AJ1011" s="20" t="s">
        <v>16</v>
      </c>
      <c r="AK1011" s="21" t="s">
        <v>17</v>
      </c>
      <c r="AL1011" s="214" t="s">
        <v>18</v>
      </c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</row>
    <row r="1012" ht="15.75" hidden="1" customHeight="1">
      <c r="A1012" s="25">
        <f>A1013</f>
        <v>43906</v>
      </c>
      <c r="B1012" s="26" t="str">
        <f t="shared" ref="B1012:F1012" si="2037">IF(B956="","",B956)</f>
        <v>Средняя</v>
      </c>
      <c r="C1012" s="27" t="str">
        <f t="shared" si="2037"/>
        <v>ПР</v>
      </c>
      <c r="D1012" s="28" t="str">
        <f t="shared" si="2037"/>
        <v>Присед</v>
      </c>
      <c r="E1012" s="29">
        <f t="shared" si="2037"/>
        <v>1.2</v>
      </c>
      <c r="F1012" s="30" t="str">
        <f t="shared" si="2037"/>
        <v/>
      </c>
      <c r="G1012" s="31" t="str">
        <f t="shared" ref="G1012:G1019" si="2039">IF(J1012&lt;&gt;0, IFERROR(IF( $F1012=2,  MROUND($AH1012*J1012,1),    IF( OR($F1012="",$F1012=1),   MROUND($AH1012*J1012,2.5),  MROUND($AH1012*J1012, 0.1))), "" ), "")</f>
        <v/>
      </c>
      <c r="H1012" s="32"/>
      <c r="I1012" s="32"/>
      <c r="J1012" s="33"/>
      <c r="K1012" s="31" t="str">
        <f t="shared" ref="K1012:K1019" si="2040">IF(N1012&lt;&gt;0, IFERROR(IF( $F1012=2,  MROUND($AH1012*N1012,1),    IF( OR($F1012="",$F1012=1),   MROUND($AH1012*N1012,2.5),  MROUND($AH1012*N1012, 0.1))), "" ), "")</f>
        <v/>
      </c>
      <c r="L1012" s="32"/>
      <c r="M1012" s="32"/>
      <c r="N1012" s="33"/>
      <c r="O1012" s="31" t="str">
        <f t="shared" ref="O1012:O1019" si="2041">IF(R1012&lt;&gt;0, IFERROR(IF( $F1012=2,  MROUND($AH1012*R1012,1),    IF( OR($F1012="",$F1012=1),   MROUND($AH1012*R1012,2.5),  MROUND($AH1012*R1012, 0.1))), "" ), "")</f>
        <v/>
      </c>
      <c r="P1012" s="32"/>
      <c r="Q1012" s="32"/>
      <c r="R1012" s="33"/>
      <c r="S1012" s="31" t="str">
        <f t="shared" ref="S1012:S1019" si="2042">IF(V1012&lt;&gt;0, IFERROR(IF( $F1012=2,  MROUND($AH1012*V1012,1),    IF( OR($F1012="",$F1012=1),   MROUND($AH1012*V1012,2.5),  MROUND($AH1012*V1012, 0.1))), "" ), "")</f>
        <v/>
      </c>
      <c r="T1012" s="32"/>
      <c r="U1012" s="32"/>
      <c r="V1012" s="33"/>
      <c r="W1012" s="31" t="str">
        <f t="shared" ref="W1012:W1019" si="2043">IF(Z1012&lt;&gt;0, IFERROR(IF( $F1012=2,  MROUND($AH1012*Z1012,1),    IF( OR($F1012="",$F1012=1),   MROUND($AH1012*Z1012,2.5),  MROUND($AH1012*Z1012, 0.1))), "" ), "")</f>
        <v/>
      </c>
      <c r="X1012" s="32"/>
      <c r="Y1012" s="32"/>
      <c r="Z1012" s="33"/>
      <c r="AA1012" s="31" t="str">
        <f t="shared" ref="AA1012:AA1019" si="2044">IF(AD1012&lt;&gt;0, IFERROR(IF( $F1012=2,  MROUND($AH1012*AD1012,1),    IF( OR($F1012="",$F1012=1),   MROUND($AH1012*AD1012,2.5),  MROUND($AH1012*AD1012, 0.1))), "" ), "")</f>
        <v/>
      </c>
      <c r="AB1012" s="32"/>
      <c r="AC1012" s="32"/>
      <c r="AD1012" s="33"/>
      <c r="AE1012" s="35">
        <f t="shared" ref="AE1012:AE1019" si="2045">(IF(ISNUMBER(G1012),G1012,0)*H1012*I1012+IF(ISNUMBER(K1012),K1012,1)*L1012*M1012+IF(ISNUMBER(O1012),O1012,1)*P1012*Q1012+IF(ISNUMBER(S1012),S1012,1)*T1012*U1012+IF(ISNUMBER(W1012),W1012,1)*X1012*Y1012+IF(ISNUMBER(AA1012),AA1012,1)*AB1012*AC1012)*IF(ISNUMBER(F1012),F1012,1)</f>
        <v>0</v>
      </c>
      <c r="AF1012" s="36">
        <f t="shared" ref="AF1012:AF1066" si="2046">IFERROR(AE1012/AJ1012,0)</f>
        <v>0</v>
      </c>
      <c r="AG1012" s="195">
        <f t="shared" ref="AG1012:AG1019" si="2047">IFERROR((AF1012/(AH1012*IF(ISNUMBER(F1012),F1012,1))),0)</f>
        <v>0</v>
      </c>
      <c r="AH1012" s="169">
        <f t="shared" ref="AH1012:AH1019" si="2048">IF(ISNUMBER(AH956), AH956+(AH956*$AH$1010),"")</f>
        <v>192.8132434</v>
      </c>
      <c r="AI1012" s="70">
        <f> ( IF(ISNUMBER(G1012), VLOOKUP(G1012/$AH1012,F!$A1:$B101,2,1)*G1012*$H1012*$I1012,0)+IF(ISNUMBER(K1012), VLOOKUP(K1012/$AH1012,F!$A1:$B101,2,1)*K1012*$L1012*$M1012,0)+IF(ISNUMBER(O1012), VLOOKUP(O1012/$AH1012,F!$A1:$B101,2,1)*O1012*$P1012*$Q1012,0)+IF(ISNUMBER(S1012), VLOOKUP(S1012/$AH1012,F!$A1:$B101,2,1)*S1012*$T1012*$U1012,0)+IF(ISNUMBER(W1012), VLOOKUP(W1012/$AH1012,F!$A1:$B101,2,1)*W1012*$X1012*$Y1012,0)+IF(ISNUMBER(AA1012), VLOOKUP(AA1012/$AH1012,F!$A1:$B101,2,1)*AA1012*$AB1012*$AC1012,0))*IF(ISNUMBER(F1012),F1012,1)*IF(ISNUMBER(E1012),E1012,1)</f>
        <v>0</v>
      </c>
      <c r="AJ1012" s="40">
        <f t="shared" ref="AJ1012:AJ1019" si="2049">H1012*I1012+L1012*M1012+P1012*Q1012+T1012*U1012+X1012*Y1012+AB1012*AC1012</f>
        <v>0</v>
      </c>
      <c r="AK1012" s="41">
        <f t="array" ref="AK1012">IFERROR(I1012*INDEX(F!$P$21:$AB$33, MATCH(G1012/$AH1012, F!$O$21:$O$33,1), MATCH(E1012, F!$P$20:$AB$20,1)), 0 ) +IFERROR( M1012*INDEX(F!$P$21:$AB$33, MATCH(K1012/$AH1012, F!$O$21:$O$33,1), MATCH(E1012, F!$P$20:$AB$20,1)),0) +  IFERROR( Q1012*INDEX(F!$P$21:$AB$33, MATCH(O1012/$AH1012, F!$O$21:$O$33,1), MATCH(E1012, F!$P$20:$AB$20,1)), 0) + IFERROR( U1012*INDEX(F!$P$21:$AB$33, MATCH(S1012/$AH1012, F!$O$21:$O$33,1), MATCH(E1012, F!$P$20:$AB$20,1)),0)  + IFERROR(Y1012*INDEX(F!$P$21:$AB$33, MATCH(W1012/$AH1012, F!$O$21:$O$33,1), MATCH(E1012, F!$P$20:$AB$20,1)),0)  + IFERROR( AC1012*INDEX(F!$P$21:$AB$33, MATCH(AA1012/$AH1012, F!$O$21:$O$33,1), MATCH(E1012, F!$P$20:$AB$20,1)),)</f>
        <v>0</v>
      </c>
      <c r="AL1012" s="42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</row>
    <row r="1013" ht="15.75" hidden="1" customHeight="1">
      <c r="A1013" s="44">
        <f>A957+A954</f>
        <v>43906</v>
      </c>
      <c r="B1013" s="45" t="str">
        <f t="shared" ref="B1013:F1013" si="2038">IF(B957="","",B957)</f>
        <v>Средняя</v>
      </c>
      <c r="C1013" s="46" t="str">
        <f t="shared" si="2038"/>
        <v>ЖМ</v>
      </c>
      <c r="D1013" s="47" t="str">
        <f t="shared" si="2038"/>
        <v>Жим лежа</v>
      </c>
      <c r="E1013" s="48">
        <f t="shared" si="2038"/>
        <v>1</v>
      </c>
      <c r="F1013" s="49" t="str">
        <f t="shared" si="2038"/>
        <v/>
      </c>
      <c r="G1013" s="50" t="str">
        <f t="shared" si="2039"/>
        <v/>
      </c>
      <c r="H1013" s="51"/>
      <c r="I1013" s="51"/>
      <c r="J1013" s="52"/>
      <c r="K1013" s="50" t="str">
        <f t="shared" si="2040"/>
        <v/>
      </c>
      <c r="L1013" s="51"/>
      <c r="M1013" s="51"/>
      <c r="N1013" s="52"/>
      <c r="O1013" s="50" t="str">
        <f t="shared" si="2041"/>
        <v/>
      </c>
      <c r="P1013" s="51"/>
      <c r="Q1013" s="51"/>
      <c r="R1013" s="52"/>
      <c r="S1013" s="50" t="str">
        <f t="shared" si="2042"/>
        <v/>
      </c>
      <c r="T1013" s="51"/>
      <c r="U1013" s="51"/>
      <c r="V1013" s="52"/>
      <c r="W1013" s="50" t="str">
        <f t="shared" si="2043"/>
        <v/>
      </c>
      <c r="X1013" s="51"/>
      <c r="Y1013" s="51"/>
      <c r="Z1013" s="52"/>
      <c r="AA1013" s="50" t="str">
        <f t="shared" si="2044"/>
        <v/>
      </c>
      <c r="AB1013" s="51"/>
      <c r="AC1013" s="51"/>
      <c r="AD1013" s="52"/>
      <c r="AE1013" s="53">
        <f t="shared" si="2045"/>
        <v>0</v>
      </c>
      <c r="AF1013" s="54">
        <f t="shared" si="2046"/>
        <v>0</v>
      </c>
      <c r="AG1013" s="75">
        <f t="shared" si="2047"/>
        <v>0</v>
      </c>
      <c r="AH1013" s="76">
        <f t="shared" si="2048"/>
        <v>135.6833935</v>
      </c>
      <c r="AI1013" s="77">
        <f> ( IF(ISNUMBER(G1013), VLOOKUP(G1013/$AH1013,F!$A1:$B101,2,1)*G1013*$H1013*$I1013,0)+IF(ISNUMBER(K1013), VLOOKUP(K1013/$AH1013,F!$A1:$B101,2,1)*K1013*$L1013*$M1013,0)+IF(ISNUMBER(O1013), VLOOKUP(O1013/$AH1013,F!$A1:$B101,2,1)*O1013*$P1013*$Q1013,0)+IF(ISNUMBER(S1013), VLOOKUP(S1013/$AH1013,F!$A1:$B101,2,1)*S1013*$T1013*$U1013,0)+IF(ISNUMBER(W1013), VLOOKUP(W1013/$AH1013,F!$A1:$B101,2,1)*W1013*$X1013*$Y1013,0)+IF(ISNUMBER(AA1013), VLOOKUP(AA1013/$AH1013,F!$A1:$B101,2,1)*AA1013*$AB1013*$AC1013,0))*IF(ISNUMBER(F1013),F1013,1)*IF(ISNUMBER(E1013),E1013,1)</f>
        <v>0</v>
      </c>
      <c r="AJ1013" s="57">
        <f t="shared" si="2049"/>
        <v>0</v>
      </c>
      <c r="AK1013" s="58">
        <f t="array" ref="AK1013">IFERROR(I1013*INDEX(F!$P$21:$AB$33, MATCH(G1013/$AH1013, F!$O$21:$O$33,1), MATCH(E1013, F!$P$20:$AB$20,1)), 0 ) +IFERROR( M1013*INDEX(F!$P$21:$AB$33, MATCH(K1013/$AH1013, F!$O$21:$O$33,1), MATCH(E1013, F!$P$20:$AB$20,1)),0) +  IFERROR( Q1013*INDEX(F!$P$21:$AB$33, MATCH(O1013/$AH1013, F!$O$21:$O$33,1), MATCH(E1013, F!$P$20:$AB$20,1)), 0) + IFERROR( U1013*INDEX(F!$P$21:$AB$33, MATCH(S1013/$AH1013, F!$O$21:$O$33,1), MATCH(E1013, F!$P$20:$AB$20,1)),0)  + IFERROR(Y1013*INDEX(F!$P$21:$AB$33, MATCH(W1013/$AH1013, F!$O$21:$O$33,1), MATCH(E1013, F!$P$20:$AB$20,1)),0)  + IFERROR( AC1013*INDEX(F!$P$21:$AB$33, MATCH(AA1013/$AH1013, F!$O$21:$O$33,1), MATCH(E1013, F!$P$20:$AB$20,1)),)</f>
        <v>0</v>
      </c>
      <c r="AL1013" s="59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</row>
    <row r="1014" ht="15.75" hidden="1" customHeight="1">
      <c r="A1014" s="59"/>
      <c r="B1014" s="60" t="str">
        <f t="shared" ref="B1014:F1014" si="2050">IF(B958="","",B958)</f>
        <v>Тяжелая</v>
      </c>
      <c r="C1014" s="61" t="str">
        <f t="shared" si="2050"/>
        <v>ПР</v>
      </c>
      <c r="D1014" s="62" t="str">
        <f t="shared" si="2050"/>
        <v>Присед</v>
      </c>
      <c r="E1014" s="48">
        <f t="shared" si="2050"/>
        <v>1.2</v>
      </c>
      <c r="F1014" s="63" t="str">
        <f t="shared" si="2050"/>
        <v/>
      </c>
      <c r="G1014" s="64" t="str">
        <f t="shared" si="2039"/>
        <v/>
      </c>
      <c r="H1014" s="34"/>
      <c r="I1014" s="34"/>
      <c r="J1014" s="65"/>
      <c r="K1014" s="64" t="str">
        <f t="shared" si="2040"/>
        <v/>
      </c>
      <c r="L1014" s="34"/>
      <c r="M1014" s="34"/>
      <c r="N1014" s="65"/>
      <c r="O1014" s="64" t="str">
        <f t="shared" si="2041"/>
        <v/>
      </c>
      <c r="P1014" s="34"/>
      <c r="Q1014" s="34"/>
      <c r="R1014" s="65"/>
      <c r="S1014" s="64" t="str">
        <f t="shared" si="2042"/>
        <v/>
      </c>
      <c r="T1014" s="34"/>
      <c r="U1014" s="34"/>
      <c r="V1014" s="65"/>
      <c r="W1014" s="64" t="str">
        <f t="shared" si="2043"/>
        <v/>
      </c>
      <c r="X1014" s="34"/>
      <c r="Y1014" s="34"/>
      <c r="Z1014" s="65"/>
      <c r="AA1014" s="64" t="str">
        <f t="shared" si="2044"/>
        <v/>
      </c>
      <c r="AB1014" s="34"/>
      <c r="AC1014" s="34"/>
      <c r="AD1014" s="65"/>
      <c r="AE1014" s="66">
        <f t="shared" si="2045"/>
        <v>0</v>
      </c>
      <c r="AF1014" s="67">
        <f t="shared" si="2046"/>
        <v>0</v>
      </c>
      <c r="AG1014" s="68">
        <f t="shared" si="2047"/>
        <v>0</v>
      </c>
      <c r="AH1014" s="76">
        <f t="shared" si="2048"/>
        <v>192.8132434</v>
      </c>
      <c r="AI1014" s="70">
        <f> ( IF(ISNUMBER(G1014), VLOOKUP(G1014/$AH1014,F!$A1:$B101,2,1)*G1014*$H1014*$I1014,0)+IF(ISNUMBER(K1014), VLOOKUP(K1014/$AH1014,F!$A1:$B101,2,1)*K1014*$L1014*$M1014,0)+IF(ISNUMBER(O1014), VLOOKUP(O1014/$AH1014,F!$A1:$B101,2,1)*O1014*$P1014*$Q1014,0)+IF(ISNUMBER(S1014), VLOOKUP(S1014/$AH1014,F!$A1:$B101,2,1)*S1014*$T1014*$U1014,0)+IF(ISNUMBER(W1014), VLOOKUP(W1014/$AH1014,F!$A1:$B101,2,1)*W1014*$X1014*$Y1014,0)+IF(ISNUMBER(AA1014), VLOOKUP(AA1014/$AH1014,F!$A1:$B101,2,1)*AA1014*$AB1014*$AC1014,0))*IF(ISNUMBER(F1014),F1014,1)*IF(ISNUMBER(E1014),E1014,1)</f>
        <v>0</v>
      </c>
      <c r="AJ1014" s="71">
        <f t="shared" si="2049"/>
        <v>0</v>
      </c>
      <c r="AK1014" s="72">
        <f t="array" ref="AK1014">IFERROR(I1014*INDEX(F!$P$21:$AB$33, MATCH(G1014/$AH1014, F!$O$21:$O$33,1), MATCH(E1014, F!$P$20:$AB$20,1)), 0 ) +IFERROR( M1014*INDEX(F!$P$21:$AB$33, MATCH(K1014/$AH1014, F!$O$21:$O$33,1), MATCH(E1014, F!$P$20:$AB$20,1)),0) +  IFERROR( Q1014*INDEX(F!$P$21:$AB$33, MATCH(O1014/$AH1014, F!$O$21:$O$33,1), MATCH(E1014, F!$P$20:$AB$20,1)), 0) + IFERROR( U1014*INDEX(F!$P$21:$AB$33, MATCH(S1014/$AH1014, F!$O$21:$O$33,1), MATCH(E1014, F!$P$20:$AB$20,1)),0)  + IFERROR(Y1014*INDEX(F!$P$21:$AB$33, MATCH(W1014/$AH1014, F!$O$21:$O$33,1), MATCH(E1014, F!$P$20:$AB$20,1)),0)  + IFERROR( AC1014*INDEX(F!$P$21:$AB$33, MATCH(AA1014/$AH1014, F!$O$21:$O$33,1), MATCH(E1014, F!$P$20:$AB$20,1)),)</f>
        <v>0</v>
      </c>
      <c r="AL1014" s="59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</row>
    <row r="1015" ht="15.75" hidden="1" customHeight="1">
      <c r="A1015" s="59"/>
      <c r="B1015" s="215" t="str">
        <f t="shared" ref="B1015:F1015" si="2051">IF(B959="","",B959)</f>
        <v>Средняя</v>
      </c>
      <c r="C1015" s="73" t="str">
        <f t="shared" si="2051"/>
        <v>ЖМ</v>
      </c>
      <c r="D1015" s="47" t="str">
        <f t="shared" si="2051"/>
        <v>Жим гантелей</v>
      </c>
      <c r="E1015" s="48">
        <f t="shared" si="2051"/>
        <v>1</v>
      </c>
      <c r="F1015" s="74">
        <f t="shared" si="2051"/>
        <v>2</v>
      </c>
      <c r="G1015" s="50" t="str">
        <f t="shared" si="2039"/>
        <v/>
      </c>
      <c r="H1015" s="51"/>
      <c r="I1015" s="51"/>
      <c r="J1015" s="52"/>
      <c r="K1015" s="50" t="str">
        <f t="shared" si="2040"/>
        <v/>
      </c>
      <c r="L1015" s="51"/>
      <c r="M1015" s="51"/>
      <c r="N1015" s="52"/>
      <c r="O1015" s="50" t="str">
        <f t="shared" si="2041"/>
        <v/>
      </c>
      <c r="P1015" s="51"/>
      <c r="Q1015" s="51"/>
      <c r="R1015" s="52"/>
      <c r="S1015" s="50" t="str">
        <f t="shared" si="2042"/>
        <v/>
      </c>
      <c r="T1015" s="51"/>
      <c r="U1015" s="51"/>
      <c r="V1015" s="52"/>
      <c r="W1015" s="50" t="str">
        <f t="shared" si="2043"/>
        <v/>
      </c>
      <c r="X1015" s="51"/>
      <c r="Y1015" s="51"/>
      <c r="Z1015" s="52"/>
      <c r="AA1015" s="50" t="str">
        <f t="shared" si="2044"/>
        <v/>
      </c>
      <c r="AB1015" s="51"/>
      <c r="AC1015" s="51"/>
      <c r="AD1015" s="52"/>
      <c r="AE1015" s="53">
        <f t="shared" si="2045"/>
        <v>0</v>
      </c>
      <c r="AF1015" s="54">
        <f t="shared" si="2046"/>
        <v>0</v>
      </c>
      <c r="AG1015" s="75">
        <f t="shared" si="2047"/>
        <v>0</v>
      </c>
      <c r="AH1015" s="76">
        <f t="shared" si="2048"/>
        <v>43.41868593</v>
      </c>
      <c r="AI1015" s="77">
        <f> ( IF(ISNUMBER(G1015), VLOOKUP(G1015/$AH1015,F!$A1:$B101,2,1)*G1015*$H1015*$I1015,0)+IF(ISNUMBER(K1015), VLOOKUP(K1015/$AH1015,F!$A1:$B101,2,1)*K1015*$L1015*$M1015,0)+IF(ISNUMBER(O1015), VLOOKUP(O1015/$AH1015,F!$A1:$B101,2,1)*O1015*$P1015*$Q1015,0)+IF(ISNUMBER(S1015), VLOOKUP(S1015/$AH1015,F!$A1:$B101,2,1)*S1015*$T1015*$U1015,0)+IF(ISNUMBER(W1015), VLOOKUP(W1015/$AH1015,F!$A1:$B101,2,1)*W1015*$X1015*$Y1015,0)+IF(ISNUMBER(AA1015), VLOOKUP(AA1015/$AH1015,F!$A1:$B101,2,1)*AA1015*$AB1015*$AC1015,0))*IF(ISNUMBER(F1015),F1015,1)*IF(ISNUMBER(E1015),E1015,1)</f>
        <v>0</v>
      </c>
      <c r="AJ1015" s="57">
        <f t="shared" si="2049"/>
        <v>0</v>
      </c>
      <c r="AK1015" s="58">
        <f t="array" ref="AK1015">IFERROR(I1015*INDEX(F!$P$21:$AB$33, MATCH(G1015/$AH1015, F!$O$21:$O$33,1), MATCH(E1015, F!$P$20:$AB$20,1)), 0 ) +IFERROR( M1015*INDEX(F!$P$21:$AB$33, MATCH(K1015/$AH1015, F!$O$21:$O$33,1), MATCH(E1015, F!$P$20:$AB$20,1)),0) +  IFERROR( Q1015*INDEX(F!$P$21:$AB$33, MATCH(O1015/$AH1015, F!$O$21:$O$33,1), MATCH(E1015, F!$P$20:$AB$20,1)), 0) + IFERROR( U1015*INDEX(F!$P$21:$AB$33, MATCH(S1015/$AH1015, F!$O$21:$O$33,1), MATCH(E1015, F!$P$20:$AB$20,1)),0)  + IFERROR(Y1015*INDEX(F!$P$21:$AB$33, MATCH(W1015/$AH1015, F!$O$21:$O$33,1), MATCH(E1015, F!$P$20:$AB$20,1)),0)  + IFERROR( AC1015*INDEX(F!$P$21:$AB$33, MATCH(AA1015/$AH1015, F!$O$21:$O$33,1), MATCH(E1015, F!$P$20:$AB$20,1)),)</f>
        <v>0</v>
      </c>
      <c r="AL1015" s="59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</row>
    <row r="1016" ht="15.75" hidden="1" customHeight="1">
      <c r="A1016" s="59"/>
      <c r="B1016" s="216" t="str">
        <f t="shared" ref="B1016:F1016" si="2052">IF(B960="","",B960)</f>
        <v>Средняя</v>
      </c>
      <c r="C1016" s="78" t="str">
        <f t="shared" si="2052"/>
        <v>ОФП</v>
      </c>
      <c r="D1016" s="62" t="str">
        <f t="shared" si="2052"/>
        <v>Французский жим</v>
      </c>
      <c r="E1016" s="48">
        <f t="shared" si="2052"/>
        <v>0.4</v>
      </c>
      <c r="F1016" s="79" t="str">
        <f t="shared" si="2052"/>
        <v/>
      </c>
      <c r="G1016" s="64" t="str">
        <f t="shared" si="2039"/>
        <v/>
      </c>
      <c r="H1016" s="34"/>
      <c r="I1016" s="34"/>
      <c r="J1016" s="65"/>
      <c r="K1016" s="64" t="str">
        <f t="shared" si="2040"/>
        <v/>
      </c>
      <c r="L1016" s="34"/>
      <c r="M1016" s="34"/>
      <c r="N1016" s="65"/>
      <c r="O1016" s="64" t="str">
        <f t="shared" si="2041"/>
        <v/>
      </c>
      <c r="P1016" s="34"/>
      <c r="Q1016" s="34"/>
      <c r="R1016" s="65"/>
      <c r="S1016" s="64" t="str">
        <f t="shared" si="2042"/>
        <v/>
      </c>
      <c r="T1016" s="34"/>
      <c r="U1016" s="34"/>
      <c r="V1016" s="65"/>
      <c r="W1016" s="64" t="str">
        <f t="shared" si="2043"/>
        <v/>
      </c>
      <c r="X1016" s="34"/>
      <c r="Y1016" s="34"/>
      <c r="Z1016" s="65"/>
      <c r="AA1016" s="64" t="str">
        <f t="shared" si="2044"/>
        <v/>
      </c>
      <c r="AB1016" s="34"/>
      <c r="AC1016" s="34"/>
      <c r="AD1016" s="65"/>
      <c r="AE1016" s="66">
        <f t="shared" si="2045"/>
        <v>0</v>
      </c>
      <c r="AF1016" s="67">
        <f t="shared" si="2046"/>
        <v>0</v>
      </c>
      <c r="AG1016" s="68">
        <f t="shared" si="2047"/>
        <v>0</v>
      </c>
      <c r="AH1016" s="76">
        <f t="shared" si="2048"/>
        <v>62.41436102</v>
      </c>
      <c r="AI1016" s="70">
        <f> ( IF(ISNUMBER(G1016), VLOOKUP(G1016/$AH1016,F!$A1:$B101,2,1)*G1016*$H1016*$I1016,0)+IF(ISNUMBER(K1016), VLOOKUP(K1016/$AH1016,F!$A1:$B101,2,1)*K1016*$L1016*$M1016,0)+IF(ISNUMBER(O1016), VLOOKUP(O1016/$AH1016,F!$A1:$B101,2,1)*O1016*$P1016*$Q1016,0)+IF(ISNUMBER(S1016), VLOOKUP(S1016/$AH1016,F!$A1:$B101,2,1)*S1016*$T1016*$U1016,0)+IF(ISNUMBER(W1016), VLOOKUP(W1016/$AH1016,F!$A1:$B101,2,1)*W1016*$X1016*$Y1016,0)+IF(ISNUMBER(AA1016), VLOOKUP(AA1016/$AH1016,F!$A1:$B101,2,1)*AA1016*$AB1016*$AC1016,0))*IF(ISNUMBER(F1016),F1016,1)*IF(ISNUMBER(E1016),E1016,1)</f>
        <v>0</v>
      </c>
      <c r="AJ1016" s="71">
        <f t="shared" si="2049"/>
        <v>0</v>
      </c>
      <c r="AK1016" s="72">
        <f t="array" ref="AK1016">IFERROR(I1016*INDEX(F!$P$21:$AB$33, MATCH(G1016/$AH1016, F!$O$21:$O$33,1), MATCH(E1016, F!$P$20:$AB$20,1)), 0 ) +IFERROR( M1016*INDEX(F!$P$21:$AB$33, MATCH(K1016/$AH1016, F!$O$21:$O$33,1), MATCH(E1016, F!$P$20:$AB$20,1)),0) +  IFERROR( Q1016*INDEX(F!$P$21:$AB$33, MATCH(O1016/$AH1016, F!$O$21:$O$33,1), MATCH(E1016, F!$P$20:$AB$20,1)), 0) + IFERROR( U1016*INDEX(F!$P$21:$AB$33, MATCH(S1016/$AH1016, F!$O$21:$O$33,1), MATCH(E1016, F!$P$20:$AB$20,1)),0)  + IFERROR(Y1016*INDEX(F!$P$21:$AB$33, MATCH(W1016/$AH1016, F!$O$21:$O$33,1), MATCH(E1016, F!$P$20:$AB$20,1)),0)  + IFERROR( AC1016*INDEX(F!$P$21:$AB$33, MATCH(AA1016/$AH1016, F!$O$21:$O$33,1), MATCH(E1016, F!$P$20:$AB$20,1)),)</f>
        <v>0</v>
      </c>
      <c r="AL1016" s="59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</row>
    <row r="1017" ht="15.75" hidden="1" customHeight="1">
      <c r="A1017" s="59"/>
      <c r="B1017" s="45" t="str">
        <f t="shared" ref="B1017:F1017" si="2053">IF(B961="","",B961)</f>
        <v/>
      </c>
      <c r="C1017" s="46" t="str">
        <f t="shared" si="2053"/>
        <v/>
      </c>
      <c r="D1017" s="197" t="str">
        <f t="shared" si="2053"/>
        <v/>
      </c>
      <c r="E1017" s="48" t="str">
        <f t="shared" si="2053"/>
        <v/>
      </c>
      <c r="F1017" s="83" t="str">
        <f t="shared" si="2053"/>
        <v/>
      </c>
      <c r="G1017" s="50" t="str">
        <f t="shared" si="2039"/>
        <v/>
      </c>
      <c r="H1017" s="51"/>
      <c r="I1017" s="51"/>
      <c r="J1017" s="52"/>
      <c r="K1017" s="50" t="str">
        <f t="shared" si="2040"/>
        <v/>
      </c>
      <c r="L1017" s="51"/>
      <c r="M1017" s="51"/>
      <c r="N1017" s="52"/>
      <c r="O1017" s="50" t="str">
        <f t="shared" si="2041"/>
        <v/>
      </c>
      <c r="P1017" s="51"/>
      <c r="Q1017" s="51"/>
      <c r="R1017" s="52"/>
      <c r="S1017" s="50" t="str">
        <f t="shared" si="2042"/>
        <v/>
      </c>
      <c r="T1017" s="51"/>
      <c r="U1017" s="51"/>
      <c r="V1017" s="52"/>
      <c r="W1017" s="50" t="str">
        <f t="shared" si="2043"/>
        <v/>
      </c>
      <c r="X1017" s="51"/>
      <c r="Y1017" s="51"/>
      <c r="Z1017" s="52"/>
      <c r="AA1017" s="50" t="str">
        <f t="shared" si="2044"/>
        <v/>
      </c>
      <c r="AB1017" s="51"/>
      <c r="AC1017" s="51"/>
      <c r="AD1017" s="52"/>
      <c r="AE1017" s="53">
        <f t="shared" si="2045"/>
        <v>0</v>
      </c>
      <c r="AF1017" s="54">
        <f t="shared" si="2046"/>
        <v>0</v>
      </c>
      <c r="AG1017" s="75">
        <f t="shared" si="2047"/>
        <v>0</v>
      </c>
      <c r="AH1017" s="76" t="str">
        <f t="shared" si="2048"/>
        <v/>
      </c>
      <c r="AI1017" s="77">
        <f> ( IF(ISNUMBER(G1017), VLOOKUP(G1017/$AH1017,F!$A1:$B101,2,1)*G1017*$H1017*$I1017,0)+IF(ISNUMBER(K1017), VLOOKUP(K1017/$AH1017,F!$A1:$B101,2,1)*K1017*$L1017*$M1017,0)+IF(ISNUMBER(O1017), VLOOKUP(O1017/$AH1017,F!$A1:$B101,2,1)*O1017*$P1017*$Q1017,0)+IF(ISNUMBER(S1017), VLOOKUP(S1017/$AH1017,F!$A1:$B101,2,1)*S1017*$T1017*$U1017,0)+IF(ISNUMBER(W1017), VLOOKUP(W1017/$AH1017,F!$A1:$B101,2,1)*W1017*$X1017*$Y1017,0)+IF(ISNUMBER(AA1017), VLOOKUP(AA1017/$AH1017,F!$A1:$B101,2,1)*AA1017*$AB1017*$AC1017,0))*IF(ISNUMBER(F1017),F1017,1)*IF(ISNUMBER(E1017),E1017,1)</f>
        <v>0</v>
      </c>
      <c r="AJ1017" s="86">
        <f t="shared" si="2049"/>
        <v>0</v>
      </c>
      <c r="AK1017" s="58">
        <f t="array" ref="AK1017">IFERROR(I1017*INDEX(F!$P$21:$AB$33, MATCH(G1017/$AH1017, F!$O$21:$O$33,1), MATCH(E1017, F!$P$20:$AB$20,1)), 0 ) +IFERROR( M1017*INDEX(F!$P$21:$AB$33, MATCH(K1017/$AH1017, F!$O$21:$O$33,1), MATCH(E1017, F!$P$20:$AB$20,1)),0) +  IFERROR( Q1017*INDEX(F!$P$21:$AB$33, MATCH(O1017/$AH1017, F!$O$21:$O$33,1), MATCH(E1017, F!$P$20:$AB$20,1)), 0) + IFERROR( U1017*INDEX(F!$P$21:$AB$33, MATCH(S1017/$AH1017, F!$O$21:$O$33,1), MATCH(E1017, F!$P$20:$AB$20,1)),0)  + IFERROR(Y1017*INDEX(F!$P$21:$AB$33, MATCH(W1017/$AH1017, F!$O$21:$O$33,1), MATCH(E1017, F!$P$20:$AB$20,1)),0)  + IFERROR( AC1017*INDEX(F!$P$21:$AB$33, MATCH(AA1017/$AH1017, F!$O$21:$O$33,1), MATCH(E1017, F!$P$20:$AB$20,1)),)</f>
        <v>0</v>
      </c>
      <c r="AL1017" s="59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</row>
    <row r="1018" ht="15.0" hidden="1" customHeight="1">
      <c r="A1018" s="59"/>
      <c r="B1018" s="60" t="str">
        <f t="shared" ref="B1018:F1018" si="2054">IF(B962="","",B962)</f>
        <v/>
      </c>
      <c r="C1018" s="61" t="str">
        <f t="shared" si="2054"/>
        <v/>
      </c>
      <c r="D1018" s="198" t="str">
        <f t="shared" si="2054"/>
        <v/>
      </c>
      <c r="E1018" s="48" t="str">
        <f t="shared" si="2054"/>
        <v/>
      </c>
      <c r="F1018" s="79" t="str">
        <f t="shared" si="2054"/>
        <v/>
      </c>
      <c r="G1018" s="64" t="str">
        <f t="shared" si="2039"/>
        <v/>
      </c>
      <c r="H1018" s="34"/>
      <c r="I1018" s="34"/>
      <c r="J1018" s="65"/>
      <c r="K1018" s="64" t="str">
        <f t="shared" si="2040"/>
        <v/>
      </c>
      <c r="L1018" s="34"/>
      <c r="M1018" s="34"/>
      <c r="N1018" s="65"/>
      <c r="O1018" s="64" t="str">
        <f t="shared" si="2041"/>
        <v/>
      </c>
      <c r="P1018" s="34"/>
      <c r="Q1018" s="34"/>
      <c r="R1018" s="65"/>
      <c r="S1018" s="64" t="str">
        <f t="shared" si="2042"/>
        <v/>
      </c>
      <c r="T1018" s="34"/>
      <c r="U1018" s="34"/>
      <c r="V1018" s="65"/>
      <c r="W1018" s="64" t="str">
        <f t="shared" si="2043"/>
        <v/>
      </c>
      <c r="X1018" s="34"/>
      <c r="Y1018" s="34"/>
      <c r="Z1018" s="65"/>
      <c r="AA1018" s="64" t="str">
        <f t="shared" si="2044"/>
        <v/>
      </c>
      <c r="AB1018" s="34"/>
      <c r="AC1018" s="34"/>
      <c r="AD1018" s="65"/>
      <c r="AE1018" s="66">
        <f t="shared" si="2045"/>
        <v>0</v>
      </c>
      <c r="AF1018" s="67">
        <f t="shared" si="2046"/>
        <v>0</v>
      </c>
      <c r="AG1018" s="68">
        <f t="shared" si="2047"/>
        <v>0</v>
      </c>
      <c r="AH1018" s="76" t="str">
        <f t="shared" si="2048"/>
        <v/>
      </c>
      <c r="AI1018" s="90">
        <f> ( IF(ISNUMBER(G1018), VLOOKUP(G1018/$AH1018,F!$A1:$B101,2,1)*G1018*$H1018*$I1018,0)+IF(ISNUMBER(K1018), VLOOKUP(K1018/$AH1018,F!$A1:$B101,2,1)*K1018*$L1018*$M1018,0)+IF(ISNUMBER(O1018), VLOOKUP(O1018/$AH1018,F!$A1:$B101,2,1)*O1018*$P1018*$Q1018,0)+IF(ISNUMBER(S1018), VLOOKUP(S1018/$AH1018,F!$A1:$B101,2,1)*S1018*$T1018*$U1018,0)+IF(ISNUMBER(W1018), VLOOKUP(W1018/$AH1018,F!$A1:$B101,2,1)*W1018*$X1018*$Y1018,0)+IF(ISNUMBER(AA1018), VLOOKUP(AA1018/$AH1018,F!$A1:$B101,2,1)*AA1018*$AB1018*$AC1018,0))*IF(ISNUMBER(F1018),F1018,1)*IF(ISNUMBER(E1018),E1018,1)</f>
        <v>0</v>
      </c>
      <c r="AJ1018" s="34">
        <f t="shared" si="2049"/>
        <v>0</v>
      </c>
      <c r="AK1018" s="91">
        <f t="array" ref="AK1018">IFERROR(I1018*INDEX(F!$P$21:$AB$33, MATCH(G1018/$AH1018, F!$O$21:$O$33,1), MATCH(E1018, F!$P$20:$AB$20,1)), 0 ) +IFERROR( M1018*INDEX(F!$P$21:$AB$33, MATCH(K1018/$AH1018, F!$O$21:$O$33,1), MATCH(E1018, F!$P$20:$AB$20,1)),0) +  IFERROR( Q1018*INDEX(F!$P$21:$AB$33, MATCH(O1018/$AH1018, F!$O$21:$O$33,1), MATCH(E1018, F!$P$20:$AB$20,1)), 0) + IFERROR( U1018*INDEX(F!$P$21:$AB$33, MATCH(S1018/$AH1018, F!$O$21:$O$33,1), MATCH(E1018, F!$P$20:$AB$20,1)),0)  + IFERROR(Y1018*INDEX(F!$P$21:$AB$33, MATCH(W1018/$AH1018, F!$O$21:$O$33,1), MATCH(E1018, F!$P$20:$AB$20,1)),0)  + IFERROR( AC1018*INDEX(F!$P$21:$AB$33, MATCH(AA1018/$AH1018, F!$O$21:$O$33,1), MATCH(E1018, F!$P$20:$AB$20,1)),)</f>
        <v>0</v>
      </c>
      <c r="AL1018" s="59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</row>
    <row r="1019" ht="15.0" hidden="1" customHeight="1">
      <c r="A1019" s="59"/>
      <c r="B1019" s="45" t="str">
        <f t="shared" ref="B1019:F1019" si="2055">IF(B963="","",B963)</f>
        <v/>
      </c>
      <c r="C1019" s="46" t="str">
        <f t="shared" si="2055"/>
        <v/>
      </c>
      <c r="D1019" s="92" t="str">
        <f t="shared" si="2055"/>
        <v/>
      </c>
      <c r="E1019" s="48" t="str">
        <f t="shared" si="2055"/>
        <v/>
      </c>
      <c r="F1019" s="74" t="str">
        <f t="shared" si="2055"/>
        <v/>
      </c>
      <c r="G1019" s="50" t="str">
        <f t="shared" si="2039"/>
        <v/>
      </c>
      <c r="H1019" s="51"/>
      <c r="I1019" s="51"/>
      <c r="J1019" s="52"/>
      <c r="K1019" s="50" t="str">
        <f t="shared" si="2040"/>
        <v/>
      </c>
      <c r="L1019" s="51"/>
      <c r="M1019" s="51"/>
      <c r="N1019" s="52"/>
      <c r="O1019" s="50" t="str">
        <f t="shared" si="2041"/>
        <v/>
      </c>
      <c r="P1019" s="51"/>
      <c r="Q1019" s="51"/>
      <c r="R1019" s="52"/>
      <c r="S1019" s="50" t="str">
        <f t="shared" si="2042"/>
        <v/>
      </c>
      <c r="T1019" s="51"/>
      <c r="U1019" s="51"/>
      <c r="V1019" s="52"/>
      <c r="W1019" s="50" t="str">
        <f t="shared" si="2043"/>
        <v/>
      </c>
      <c r="X1019" s="51"/>
      <c r="Y1019" s="51"/>
      <c r="Z1019" s="52"/>
      <c r="AA1019" s="50" t="str">
        <f t="shared" si="2044"/>
        <v/>
      </c>
      <c r="AB1019" s="51"/>
      <c r="AC1019" s="51"/>
      <c r="AD1019" s="52"/>
      <c r="AE1019" s="53">
        <f t="shared" si="2045"/>
        <v>0</v>
      </c>
      <c r="AF1019" s="93">
        <f t="shared" si="2046"/>
        <v>0</v>
      </c>
      <c r="AG1019" s="94">
        <f t="shared" si="2047"/>
        <v>0</v>
      </c>
      <c r="AH1019" s="76" t="str">
        <f t="shared" si="2048"/>
        <v/>
      </c>
      <c r="AI1019" s="95">
        <f> ( IF(ISNUMBER(G1019), VLOOKUP(G1019/$AH1019,F!$A1:$B101,2,1)*G1019*$H1019*$I1019,0)+IF(ISNUMBER(K1019), VLOOKUP(K1019/$AH1019,F!$A1:$B101,2,1)*K1019*$L1019*$M1019,0)+IF(ISNUMBER(O1019), VLOOKUP(O1019/$AH1019,F!$A1:$B101,2,1)*O1019*$P1019*$Q1019,0)+IF(ISNUMBER(S1019), VLOOKUP(S1019/$AH1019,F!$A1:$B101,2,1)*S1019*$T1019*$U1019,0)+IF(ISNUMBER(W1019), VLOOKUP(W1019/$AH1019,F!$A1:$B101,2,1)*W1019*$X1019*$Y1019,0)+IF(ISNUMBER(AA1019), VLOOKUP(AA1019/$AH1019,F!$A1:$B101,2,1)*AA1019*$AB1019*$AC1019,0))*IF(ISNUMBER(F1019),F1019,1)*IF(ISNUMBER(E1019),E1019,1)</f>
        <v>0</v>
      </c>
      <c r="AJ1019" s="96">
        <f t="shared" si="2049"/>
        <v>0</v>
      </c>
      <c r="AK1019" s="97">
        <f t="array" ref="AK1019">IFERROR(I1019*INDEX(F!$P$21:$AB$33, MATCH(G1019/$AH1019, F!$O$21:$O$33,1), MATCH(E1019, F!$P$20:$AB$20,1)), 0 ) +IFERROR( M1019*INDEX(F!$P$21:$AB$33, MATCH(K1019/$AH1019, F!$O$21:$O$33,1), MATCH(E1019, F!$P$20:$AB$20,1)),0) +  IFERROR( Q1019*INDEX(F!$P$21:$AB$33, MATCH(O1019/$AH1019, F!$O$21:$O$33,1), MATCH(E1019, F!$P$20:$AB$20,1)), 0) + IFERROR( U1019*INDEX(F!$P$21:$AB$33, MATCH(S1019/$AH1019, F!$O$21:$O$33,1), MATCH(E1019, F!$P$20:$AB$20,1)),0)  + IFERROR(Y1019*INDEX(F!$P$21:$AB$33, MATCH(W1019/$AH1019, F!$O$21:$O$33,1), MATCH(E1019, F!$P$20:$AB$20,1)),0)  + IFERROR( AC1019*INDEX(F!$P$21:$AB$33, MATCH(AA1019/$AH1019, F!$O$21:$O$33,1), MATCH(E1019, F!$P$20:$AB$20,1)),)</f>
        <v>0</v>
      </c>
      <c r="AL1019" s="59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</row>
    <row r="1020" ht="15.75" hidden="1" customHeight="1">
      <c r="A1020" s="98"/>
      <c r="B1020" s="99"/>
      <c r="C1020" s="100"/>
      <c r="D1020" s="101"/>
      <c r="E1020" s="102">
        <f>ROUND(IFERROR(SUMPRODUCT(AJ1012:AJ1019,E1012:E1019)/AJ1020,0),3)</f>
        <v>0</v>
      </c>
      <c r="F1020" s="199"/>
      <c r="G1020" s="104"/>
      <c r="H1020" s="105"/>
      <c r="I1020" s="105"/>
      <c r="J1020" s="106"/>
      <c r="K1020" s="104"/>
      <c r="L1020" s="105"/>
      <c r="M1020" s="105"/>
      <c r="N1020" s="106"/>
      <c r="O1020" s="104"/>
      <c r="P1020" s="105"/>
      <c r="Q1020" s="105"/>
      <c r="R1020" s="106"/>
      <c r="S1020" s="104"/>
      <c r="T1020" s="105"/>
      <c r="U1020" s="105"/>
      <c r="V1020" s="106"/>
      <c r="W1020" s="104"/>
      <c r="X1020" s="105"/>
      <c r="Y1020" s="105"/>
      <c r="Z1020" s="106"/>
      <c r="AA1020" s="104"/>
      <c r="AB1020" s="105"/>
      <c r="AC1020" s="105"/>
      <c r="AD1020" s="106"/>
      <c r="AE1020" s="107">
        <f>SUM(AE1012:AE1019)</f>
        <v>0</v>
      </c>
      <c r="AF1020" s="108">
        <f t="shared" si="2046"/>
        <v>0</v>
      </c>
      <c r="AG1020" s="109">
        <f>IFERROR(  SUMPRODUCT(AG1012:AG1019,AJ1012:AJ1019)/AJ1020,0)</f>
        <v>0</v>
      </c>
      <c r="AH1020" s="157"/>
      <c r="AI1020" s="111">
        <f t="shared" ref="AI1020:AJ1020" si="2056">SUM(AI1012:AI1019)</f>
        <v>0</v>
      </c>
      <c r="AJ1020" s="111">
        <f t="shared" si="2056"/>
        <v>0</v>
      </c>
      <c r="AK1020" s="112">
        <f>IF(SUM(AK1012:AK1019)=0,TIME(,0,),TIME(,SUM(AK1012:AK1019)+F!$V$37,))</f>
        <v>0</v>
      </c>
      <c r="AL1020" s="98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</row>
    <row r="1021" ht="15.75" hidden="1" customHeight="1">
      <c r="A1021" s="113">
        <f>A1022</f>
        <v>43908</v>
      </c>
      <c r="B1021" s="114" t="str">
        <f t="shared" ref="B1021:F1021" si="2057">IF(B965="","",B965)</f>
        <v>Тяжелая</v>
      </c>
      <c r="C1021" s="115" t="str">
        <f t="shared" si="2057"/>
        <v>ТГ</v>
      </c>
      <c r="D1021" s="116" t="str">
        <f t="shared" si="2057"/>
        <v>Становая тяга</v>
      </c>
      <c r="E1021" s="29">
        <f t="shared" si="2057"/>
        <v>1.4</v>
      </c>
      <c r="F1021" s="117" t="str">
        <f t="shared" si="2057"/>
        <v/>
      </c>
      <c r="G1021" s="118" t="str">
        <f t="shared" ref="G1021:G1028" si="2059">IF(J1021&lt;&gt;0, IFERROR(IF( $F1021=2,  MROUND($AH1021*J1021,1),    IF( OR($F1021="",$F1021=1),   MROUND($AH1021*J1021,2.5),  MROUND($AH1021*J1021, 0.1))), "" ), "")</f>
        <v/>
      </c>
      <c r="H1021" s="119"/>
      <c r="I1021" s="119"/>
      <c r="J1021" s="120"/>
      <c r="K1021" s="118" t="str">
        <f t="shared" ref="K1021:K1028" si="2060">IF(N1021&lt;&gt;0, IFERROR(IF( $F1021=2,  MROUND($AH1021*N1021,1),    IF( OR($F1021="",$F1021=1),   MROUND($AH1021*N1021,2.5),  MROUND($AH1021*N1021, 0.1))), "" ), "")</f>
        <v/>
      </c>
      <c r="L1021" s="119"/>
      <c r="M1021" s="119"/>
      <c r="N1021" s="120"/>
      <c r="O1021" s="118" t="str">
        <f t="shared" ref="O1021:O1028" si="2061">IF(R1021&lt;&gt;0, IFERROR(IF( $F1021=2,  MROUND($AH1021*R1021,1),    IF( OR($F1021="",$F1021=1),   MROUND($AH1021*R1021,2.5),  MROUND($AH1021*R1021, 0.1))), "" ), "")</f>
        <v/>
      </c>
      <c r="P1021" s="119"/>
      <c r="Q1021" s="119"/>
      <c r="R1021" s="120"/>
      <c r="S1021" s="118" t="str">
        <f t="shared" ref="S1021:S1028" si="2062">IF(V1021&lt;&gt;0, IFERROR(IF( $F1021=2,  MROUND($AH1021*V1021,1),    IF( OR($F1021="",$F1021=1),   MROUND($AH1021*V1021,2.5),  MROUND($AH1021*V1021, 0.1))), "" ), "")</f>
        <v/>
      </c>
      <c r="T1021" s="119"/>
      <c r="U1021" s="119"/>
      <c r="V1021" s="120"/>
      <c r="W1021" s="118" t="str">
        <f t="shared" ref="W1021:W1028" si="2063">IF(Z1021&lt;&gt;0, IFERROR(IF( $F1021=2,  MROUND($AH1021*Z1021,1),    IF( OR($F1021="",$F1021=1),   MROUND($AH1021*Z1021,2.5),  MROUND($AH1021*Z1021, 0.1))), "" ), "")</f>
        <v/>
      </c>
      <c r="X1021" s="119"/>
      <c r="Y1021" s="119"/>
      <c r="Z1021" s="120"/>
      <c r="AA1021" s="118" t="str">
        <f t="shared" ref="AA1021:AA1028" si="2064">IF(AD1021&lt;&gt;0, IFERROR(IF( $F1021=2,  MROUND($AH1021*AD1021,1),    IF( OR($F1021="",$F1021=1),   MROUND($AH1021*AD1021,2.5),  MROUND($AH1021*AD1021, 0.1))), "" ), "")</f>
        <v/>
      </c>
      <c r="AB1021" s="119"/>
      <c r="AC1021" s="119"/>
      <c r="AD1021" s="120"/>
      <c r="AE1021" s="121">
        <f t="shared" ref="AE1021:AE1028" si="2065">(IF(ISNUMBER(G1021),G1021,0)*H1021*I1021+IF(ISNUMBER(K1021),K1021,1)*L1021*M1021+IF(ISNUMBER(O1021),O1021,1)*P1021*Q1021+IF(ISNUMBER(S1021),S1021,1)*T1021*U1021+IF(ISNUMBER(W1021),W1021,1)*X1021*Y1021+IF(ISNUMBER(AA1021),AA1021,1)*AB1021*AC1021)*IF(ISNUMBER(F1021),F1021,1)</f>
        <v>0</v>
      </c>
      <c r="AF1021" s="122">
        <f t="shared" si="2046"/>
        <v>0</v>
      </c>
      <c r="AG1021" s="200">
        <f t="shared" ref="AG1021:AG1028" si="2066">IFERROR((AF1021/(AH1021*IF(ISNUMBER(F1021),F1021,1))),0)</f>
        <v>0</v>
      </c>
      <c r="AH1021" s="169">
        <f t="shared" ref="AH1021:AH1028" si="2067">IF(ISNUMBER(AH965), AH965+(AH965*$AH$1010),"")</f>
        <v>264.2255558</v>
      </c>
      <c r="AI1021" s="122">
        <f> ( IF(ISNUMBER(G1021), VLOOKUP(G1021/$AH1021,F!$A1:$B101,2,1)*G1021*$H1021*$I1021,0)+IF(ISNUMBER(K1021), VLOOKUP(K1021/$AH1021,F!$A1:$B101,2,1)*K1021*$L1021*$M1021,0)+IF(ISNUMBER(O1021), VLOOKUP(O1021/$AH1021,F!$A1:$B101,2,1)*O1021*$P1021*$Q1021,0)+IF(ISNUMBER(S1021), VLOOKUP(S1021/$AH1021,F!$A1:$B101,2,1)*S1021*$T1021*$U1021,0)+IF(ISNUMBER(W1021), VLOOKUP(W1021/$AH1021,F!$A1:$B101,2,1)*W1021*$X1021*$Y1021,0)+IF(ISNUMBER(AA1021), VLOOKUP(AA1021/$AH1021,F!$A1:$B101,2,1)*AA1021*$AB1021*$AC1021,0))*IF(ISNUMBER(F1021),F1021,1)*IF(ISNUMBER(E1021),E1021,1)</f>
        <v>0</v>
      </c>
      <c r="AJ1021" s="119">
        <f t="shared" ref="AJ1021:AJ1028" si="2068">H1021*I1021+L1021*M1021+P1021*Q1021+T1021*U1021+X1021*Y1021+AB1021*AC1021</f>
        <v>0</v>
      </c>
      <c r="AK1021" s="125">
        <f t="array" ref="AK1021">IFERROR(I1021*INDEX(F!$P$21:$AB$33, MATCH(G1021/$AH1021, F!$O$21:$O$33,1), MATCH(E1021, F!$P$20:$AB$20,1)), 0 ) +IFERROR( M1021*INDEX(F!$P$21:$AB$33, MATCH(K1021/$AH1021, F!$O$21:$O$33,1), MATCH(E1021, F!$P$20:$AB$20,1)),0) +  IFERROR( Q1021*INDEX(F!$P$21:$AB$33, MATCH(O1021/$AH1021, F!$O$21:$O$33,1), MATCH(E1021, F!$P$20:$AB$20,1)), 0) + IFERROR( U1021*INDEX(F!$P$21:$AB$33, MATCH(S1021/$AH1021, F!$O$21:$O$33,1), MATCH(E1021, F!$P$20:$AB$20,1)),0)  + IFERROR(Y1021*INDEX(F!$P$21:$AB$33, MATCH(W1021/$AH1021, F!$O$21:$O$33,1), MATCH(E1021, F!$P$20:$AB$20,1)),0)  + IFERROR( AC1021*INDEX(F!$P$21:$AB$33, MATCH(AA1021/$AH1021, F!$O$21:$O$33,1), MATCH(E1021, F!$P$20:$AB$20,1)),)</f>
        <v>0</v>
      </c>
      <c r="AL1021" s="42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</row>
    <row r="1022" ht="15.75" hidden="1" customHeight="1">
      <c r="A1022" s="44">
        <f>A966+A954</f>
        <v>43908</v>
      </c>
      <c r="B1022" s="126" t="str">
        <f t="shared" ref="B1022:F1022" si="2058">IF(B966="","",B966)</f>
        <v>Средняя</v>
      </c>
      <c r="C1022" s="127" t="str">
        <f t="shared" si="2058"/>
        <v>ЖМ</v>
      </c>
      <c r="D1022" s="128" t="str">
        <f t="shared" si="2058"/>
        <v>Жим лежа</v>
      </c>
      <c r="E1022" s="48">
        <f t="shared" si="2058"/>
        <v>1</v>
      </c>
      <c r="F1022" s="129" t="str">
        <f t="shared" si="2058"/>
        <v/>
      </c>
      <c r="G1022" s="130" t="str">
        <f t="shared" si="2059"/>
        <v/>
      </c>
      <c r="H1022" s="34"/>
      <c r="I1022" s="34"/>
      <c r="J1022" s="65"/>
      <c r="K1022" s="130" t="str">
        <f t="shared" si="2060"/>
        <v/>
      </c>
      <c r="L1022" s="34"/>
      <c r="M1022" s="34"/>
      <c r="N1022" s="65"/>
      <c r="O1022" s="130" t="str">
        <f t="shared" si="2061"/>
        <v/>
      </c>
      <c r="P1022" s="34"/>
      <c r="Q1022" s="34"/>
      <c r="R1022" s="65"/>
      <c r="S1022" s="130" t="str">
        <f t="shared" si="2062"/>
        <v/>
      </c>
      <c r="T1022" s="34"/>
      <c r="U1022" s="34"/>
      <c r="V1022" s="65"/>
      <c r="W1022" s="130" t="str">
        <f t="shared" si="2063"/>
        <v/>
      </c>
      <c r="X1022" s="34"/>
      <c r="Y1022" s="34"/>
      <c r="Z1022" s="65"/>
      <c r="AA1022" s="130" t="str">
        <f t="shared" si="2064"/>
        <v/>
      </c>
      <c r="AB1022" s="34"/>
      <c r="AC1022" s="34"/>
      <c r="AD1022" s="65"/>
      <c r="AE1022" s="131">
        <f t="shared" si="2065"/>
        <v>0</v>
      </c>
      <c r="AF1022" s="132">
        <f t="shared" si="2046"/>
        <v>0</v>
      </c>
      <c r="AG1022" s="133">
        <f t="shared" si="2066"/>
        <v>0</v>
      </c>
      <c r="AH1022" s="76">
        <f t="shared" si="2067"/>
        <v>135.6833935</v>
      </c>
      <c r="AI1022" s="132">
        <f> ( IF(ISNUMBER(G1022), VLOOKUP(G1022/$AH1022,F!$A1:$B101,2,1)*G1022*$H1022*$I1022,0)+IF(ISNUMBER(K1022), VLOOKUP(K1022/$AH1022,F!$A1:$B101,2,1)*K1022*$L1022*$M1022,0)+IF(ISNUMBER(O1022), VLOOKUP(O1022/$AH1022,F!$A1:$B101,2,1)*O1022*$P1022*$Q1022,0)+IF(ISNUMBER(S1022), VLOOKUP(S1022/$AH1022,F!$A1:$B101,2,1)*S1022*$T1022*$U1022,0)+IF(ISNUMBER(W1022), VLOOKUP(W1022/$AH1022,F!$A1:$B101,2,1)*W1022*$X1022*$Y1022,0)+IF(ISNUMBER(AA1022), VLOOKUP(AA1022/$AH1022,F!$A1:$B101,2,1)*AA1022*$AB1022*$AC1022,0))*IF(ISNUMBER(F1022),F1022,1)*IF(ISNUMBER(E1022),E1022,1)</f>
        <v>0</v>
      </c>
      <c r="AJ1022" s="34">
        <f t="shared" si="2068"/>
        <v>0</v>
      </c>
      <c r="AK1022" s="134">
        <f t="array" ref="AK1022">IFERROR(I1022*INDEX(F!$P$21:$AB$33, MATCH(G1022/$AH1022, F!$O$21:$O$33,1), MATCH(E1022, F!$P$20:$AB$20,1)), 0 ) +IFERROR( M1022*INDEX(F!$P$21:$AB$33, MATCH(K1022/$AH1022, F!$O$21:$O$33,1), MATCH(E1022, F!$P$20:$AB$20,1)),0) +  IFERROR( Q1022*INDEX(F!$P$21:$AB$33, MATCH(O1022/$AH1022, F!$O$21:$O$33,1), MATCH(E1022, F!$P$20:$AB$20,1)), 0) + IFERROR( U1022*INDEX(F!$P$21:$AB$33, MATCH(S1022/$AH1022, F!$O$21:$O$33,1), MATCH(E1022, F!$P$20:$AB$20,1)),0)  + IFERROR(Y1022*INDEX(F!$P$21:$AB$33, MATCH(W1022/$AH1022, F!$O$21:$O$33,1), MATCH(E1022, F!$P$20:$AB$20,1)),0)  + IFERROR( AC1022*INDEX(F!$P$21:$AB$33, MATCH(AA1022/$AH1022, F!$O$21:$O$33,1), MATCH(E1022, F!$P$20:$AB$20,1)),)</f>
        <v>0</v>
      </c>
      <c r="AL1022" s="59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</row>
    <row r="1023" ht="15.75" hidden="1" customHeight="1">
      <c r="A1023" s="59"/>
      <c r="B1023" s="135" t="str">
        <f t="shared" ref="B1023:F1023" si="2069">IF(B967="","",B967)</f>
        <v>Легкая</v>
      </c>
      <c r="C1023" s="136" t="str">
        <f t="shared" si="2069"/>
        <v>ОФП</v>
      </c>
      <c r="D1023" s="137" t="str">
        <f t="shared" si="2069"/>
        <v>Наклоны со штангой</v>
      </c>
      <c r="E1023" s="48">
        <f t="shared" si="2069"/>
        <v>0.8</v>
      </c>
      <c r="F1023" s="138" t="str">
        <f t="shared" si="2069"/>
        <v/>
      </c>
      <c r="G1023" s="139" t="str">
        <f t="shared" si="2059"/>
        <v/>
      </c>
      <c r="H1023" s="140"/>
      <c r="I1023" s="140"/>
      <c r="J1023" s="141"/>
      <c r="K1023" s="139" t="str">
        <f t="shared" si="2060"/>
        <v/>
      </c>
      <c r="L1023" s="140"/>
      <c r="M1023" s="140"/>
      <c r="N1023" s="141"/>
      <c r="O1023" s="139" t="str">
        <f t="shared" si="2061"/>
        <v/>
      </c>
      <c r="P1023" s="140"/>
      <c r="Q1023" s="140"/>
      <c r="R1023" s="141"/>
      <c r="S1023" s="139" t="str">
        <f t="shared" si="2062"/>
        <v/>
      </c>
      <c r="T1023" s="140"/>
      <c r="U1023" s="140"/>
      <c r="V1023" s="141"/>
      <c r="W1023" s="139" t="str">
        <f t="shared" si="2063"/>
        <v/>
      </c>
      <c r="X1023" s="140"/>
      <c r="Y1023" s="140"/>
      <c r="Z1023" s="141"/>
      <c r="AA1023" s="139" t="str">
        <f t="shared" si="2064"/>
        <v/>
      </c>
      <c r="AB1023" s="140"/>
      <c r="AC1023" s="140"/>
      <c r="AD1023" s="141"/>
      <c r="AE1023" s="142">
        <f t="shared" si="2065"/>
        <v>0</v>
      </c>
      <c r="AF1023" s="143">
        <f t="shared" si="2046"/>
        <v>0</v>
      </c>
      <c r="AG1023" s="144">
        <f t="shared" si="2066"/>
        <v>0</v>
      </c>
      <c r="AH1023" s="76">
        <f t="shared" si="2067"/>
        <v>145.3240557</v>
      </c>
      <c r="AI1023" s="143">
        <f> ( IF(ISNUMBER(G1023), VLOOKUP(G1023/$AH1023,F!$A1:$B101,2,1)*G1023*$H1023*$I1023,0)+IF(ISNUMBER(K1023), VLOOKUP(K1023/$AH1023,F!$A1:$B101,2,1)*K1023*$L1023*$M1023,0)+IF(ISNUMBER(O1023), VLOOKUP(O1023/$AH1023,F!$A1:$B101,2,1)*O1023*$P1023*$Q1023,0)+IF(ISNUMBER(S1023), VLOOKUP(S1023/$AH1023,F!$A1:$B101,2,1)*S1023*$T1023*$U1023,0)+IF(ISNUMBER(W1023), VLOOKUP(W1023/$AH1023,F!$A1:$B101,2,1)*W1023*$X1023*$Y1023,0)+IF(ISNUMBER(AA1023), VLOOKUP(AA1023/$AH1023,F!$A1:$B101,2,1)*AA1023*$AB1023*$AC1023,0))*IF(ISNUMBER(F1023),F1023,1)*IF(ISNUMBER(E1023),E1023,1)</f>
        <v>0</v>
      </c>
      <c r="AJ1023" s="140">
        <f t="shared" si="2068"/>
        <v>0</v>
      </c>
      <c r="AK1023" s="145">
        <f t="array" ref="AK1023">IFERROR(I1023*INDEX(F!$P$21:$AB$33, MATCH(G1023/$AH1023, F!$O$21:$O$33,1), MATCH(E1023, F!$P$20:$AB$20,1)), 0 ) +IFERROR( M1023*INDEX(F!$P$21:$AB$33, MATCH(K1023/$AH1023, F!$O$21:$O$33,1), MATCH(E1023, F!$P$20:$AB$20,1)),0) +  IFERROR( Q1023*INDEX(F!$P$21:$AB$33, MATCH(O1023/$AH1023, F!$O$21:$O$33,1), MATCH(E1023, F!$P$20:$AB$20,1)), 0) + IFERROR( U1023*INDEX(F!$P$21:$AB$33, MATCH(S1023/$AH1023, F!$O$21:$O$33,1), MATCH(E1023, F!$P$20:$AB$20,1)),0)  + IFERROR(Y1023*INDEX(F!$P$21:$AB$33, MATCH(W1023/$AH1023, F!$O$21:$O$33,1), MATCH(E1023, F!$P$20:$AB$20,1)),0)  + IFERROR( AC1023*INDEX(F!$P$21:$AB$33, MATCH(AA1023/$AH1023, F!$O$21:$O$33,1), MATCH(E1023, F!$P$20:$AB$20,1)),)</f>
        <v>0</v>
      </c>
      <c r="AL1023" s="59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</row>
    <row r="1024" ht="15.75" hidden="1" customHeight="1">
      <c r="A1024" s="59"/>
      <c r="B1024" s="126" t="str">
        <f t="shared" ref="B1024:F1024" si="2070">IF(B968="","",B968)</f>
        <v>Средняя</v>
      </c>
      <c r="C1024" s="127" t="str">
        <f t="shared" si="2070"/>
        <v>ОФП</v>
      </c>
      <c r="D1024" s="128" t="str">
        <f t="shared" si="2070"/>
        <v>Жим стоя</v>
      </c>
      <c r="E1024" s="48">
        <f t="shared" si="2070"/>
        <v>1</v>
      </c>
      <c r="F1024" s="129" t="str">
        <f t="shared" si="2070"/>
        <v/>
      </c>
      <c r="G1024" s="130" t="str">
        <f t="shared" si="2059"/>
        <v/>
      </c>
      <c r="H1024" s="34"/>
      <c r="I1024" s="34"/>
      <c r="J1024" s="65"/>
      <c r="K1024" s="130" t="str">
        <f t="shared" si="2060"/>
        <v/>
      </c>
      <c r="L1024" s="34"/>
      <c r="M1024" s="34"/>
      <c r="N1024" s="65"/>
      <c r="O1024" s="130" t="str">
        <f t="shared" si="2061"/>
        <v/>
      </c>
      <c r="P1024" s="34"/>
      <c r="Q1024" s="34"/>
      <c r="R1024" s="65"/>
      <c r="S1024" s="130" t="str">
        <f t="shared" si="2062"/>
        <v/>
      </c>
      <c r="T1024" s="34"/>
      <c r="U1024" s="34"/>
      <c r="V1024" s="65"/>
      <c r="W1024" s="130" t="str">
        <f t="shared" si="2063"/>
        <v/>
      </c>
      <c r="X1024" s="34"/>
      <c r="Y1024" s="34"/>
      <c r="Z1024" s="65"/>
      <c r="AA1024" s="130" t="str">
        <f t="shared" si="2064"/>
        <v/>
      </c>
      <c r="AB1024" s="34"/>
      <c r="AC1024" s="34"/>
      <c r="AD1024" s="65"/>
      <c r="AE1024" s="131">
        <f t="shared" si="2065"/>
        <v>0</v>
      </c>
      <c r="AF1024" s="132">
        <f t="shared" si="2046"/>
        <v>0</v>
      </c>
      <c r="AG1024" s="133">
        <f t="shared" si="2066"/>
        <v>0</v>
      </c>
      <c r="AH1024" s="76">
        <f t="shared" si="2067"/>
        <v>81.41003611</v>
      </c>
      <c r="AI1024" s="132">
        <f> ( IF(ISNUMBER(G1024), VLOOKUP(G1024/$AH1024,F!$A1:$B101,2,1)*G1024*$H1024*$I1024,0)+IF(ISNUMBER(K1024), VLOOKUP(K1024/$AH1024,F!$A1:$B101,2,1)*K1024*$L1024*$M1024,0)+IF(ISNUMBER(O1024), VLOOKUP(O1024/$AH1024,F!$A1:$B101,2,1)*O1024*$P1024*$Q1024,0)+IF(ISNUMBER(S1024), VLOOKUP(S1024/$AH1024,F!$A1:$B101,2,1)*S1024*$T1024*$U1024,0)+IF(ISNUMBER(W1024), VLOOKUP(W1024/$AH1024,F!$A1:$B101,2,1)*W1024*$X1024*$Y1024,0)+IF(ISNUMBER(AA1024), VLOOKUP(AA1024/$AH1024,F!$A1:$B101,2,1)*AA1024*$AB1024*$AC1024,0))*IF(ISNUMBER(F1024),F1024,1)*IF(ISNUMBER(E1024),E1024,1)</f>
        <v>0</v>
      </c>
      <c r="AJ1024" s="34">
        <f t="shared" si="2068"/>
        <v>0</v>
      </c>
      <c r="AK1024" s="134">
        <f t="array" ref="AK1024">IFERROR(I1024*INDEX(F!$P$21:$AB$33, MATCH(G1024/$AH1024, F!$O$21:$O$33,1), MATCH(E1024, F!$P$20:$AB$20,1)), 0 ) +IFERROR( M1024*INDEX(F!$P$21:$AB$33, MATCH(K1024/$AH1024, F!$O$21:$O$33,1), MATCH(E1024, F!$P$20:$AB$20,1)),0) +  IFERROR( Q1024*INDEX(F!$P$21:$AB$33, MATCH(O1024/$AH1024, F!$O$21:$O$33,1), MATCH(E1024, F!$P$20:$AB$20,1)), 0) + IFERROR( U1024*INDEX(F!$P$21:$AB$33, MATCH(S1024/$AH1024, F!$O$21:$O$33,1), MATCH(E1024, F!$P$20:$AB$20,1)),0)  + IFERROR(Y1024*INDEX(F!$P$21:$AB$33, MATCH(W1024/$AH1024, F!$O$21:$O$33,1), MATCH(E1024, F!$P$20:$AB$20,1)),0)  + IFERROR( AC1024*INDEX(F!$P$21:$AB$33, MATCH(AA1024/$AH1024, F!$O$21:$O$33,1), MATCH(E1024, F!$P$20:$AB$20,1)),)</f>
        <v>0</v>
      </c>
      <c r="AL1024" s="59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</row>
    <row r="1025" ht="15.75" hidden="1" customHeight="1">
      <c r="A1025" s="59"/>
      <c r="B1025" s="135" t="str">
        <f t="shared" ref="B1025:F1025" si="2071">IF(B969="","",B969)</f>
        <v>Средняя</v>
      </c>
      <c r="C1025" s="136" t="str">
        <f t="shared" si="2071"/>
        <v>ЖМ</v>
      </c>
      <c r="D1025" s="137" t="str">
        <f t="shared" si="2071"/>
        <v>Жим средним хватом</v>
      </c>
      <c r="E1025" s="48">
        <f t="shared" si="2071"/>
        <v>1</v>
      </c>
      <c r="F1025" s="138" t="str">
        <f t="shared" si="2071"/>
        <v/>
      </c>
      <c r="G1025" s="139" t="str">
        <f t="shared" si="2059"/>
        <v/>
      </c>
      <c r="H1025" s="140"/>
      <c r="I1025" s="140"/>
      <c r="J1025" s="141"/>
      <c r="K1025" s="139" t="str">
        <f t="shared" si="2060"/>
        <v/>
      </c>
      <c r="L1025" s="140"/>
      <c r="M1025" s="140"/>
      <c r="N1025" s="141"/>
      <c r="O1025" s="139" t="str">
        <f t="shared" si="2061"/>
        <v/>
      </c>
      <c r="P1025" s="140"/>
      <c r="Q1025" s="140"/>
      <c r="R1025" s="141"/>
      <c r="S1025" s="139" t="str">
        <f t="shared" si="2062"/>
        <v/>
      </c>
      <c r="T1025" s="140"/>
      <c r="U1025" s="140"/>
      <c r="V1025" s="141"/>
      <c r="W1025" s="139" t="str">
        <f t="shared" si="2063"/>
        <v/>
      </c>
      <c r="X1025" s="140"/>
      <c r="Y1025" s="140"/>
      <c r="Z1025" s="141"/>
      <c r="AA1025" s="139" t="str">
        <f t="shared" si="2064"/>
        <v/>
      </c>
      <c r="AB1025" s="140"/>
      <c r="AC1025" s="140"/>
      <c r="AD1025" s="141"/>
      <c r="AE1025" s="142">
        <f t="shared" si="2065"/>
        <v>0</v>
      </c>
      <c r="AF1025" s="143">
        <f t="shared" si="2046"/>
        <v>0</v>
      </c>
      <c r="AG1025" s="144">
        <f t="shared" si="2066"/>
        <v>0</v>
      </c>
      <c r="AH1025" s="76">
        <f t="shared" si="2067"/>
        <v>115.3308845</v>
      </c>
      <c r="AI1025" s="143">
        <f> ( IF(ISNUMBER(G1025), VLOOKUP(G1025/$AH1025,F!$A1:$B101,2,1)*G1025*$H1025*$I1025,0)+IF(ISNUMBER(K1025), VLOOKUP(K1025/$AH1025,F!$A1:$B101,2,1)*K1025*$L1025*$M1025,0)+IF(ISNUMBER(O1025), VLOOKUP(O1025/$AH1025,F!$A1:$B101,2,1)*O1025*$P1025*$Q1025,0)+IF(ISNUMBER(S1025), VLOOKUP(S1025/$AH1025,F!$A1:$B101,2,1)*S1025*$T1025*$U1025,0)+IF(ISNUMBER(W1025), VLOOKUP(W1025/$AH1025,F!$A1:$B101,2,1)*W1025*$X1025*$Y1025,0)+IF(ISNUMBER(AA1025), VLOOKUP(AA1025/$AH1025,F!$A1:$B101,2,1)*AA1025*$AB1025*$AC1025,0))*IF(ISNUMBER(F1025),F1025,1)*IF(ISNUMBER(E1025),E1025,1)</f>
        <v>0</v>
      </c>
      <c r="AJ1025" s="140">
        <f t="shared" si="2068"/>
        <v>0</v>
      </c>
      <c r="AK1025" s="145">
        <f t="array" ref="AK1025">IFERROR(I1025*INDEX(F!$P$21:$AB$33, MATCH(G1025/$AH1025, F!$O$21:$O$33,1), MATCH(E1025, F!$P$20:$AB$20,1)), 0 ) +IFERROR( M1025*INDEX(F!$P$21:$AB$33, MATCH(K1025/$AH1025, F!$O$21:$O$33,1), MATCH(E1025, F!$P$20:$AB$20,1)),0) +  IFERROR( Q1025*INDEX(F!$P$21:$AB$33, MATCH(O1025/$AH1025, F!$O$21:$O$33,1), MATCH(E1025, F!$P$20:$AB$20,1)), 0) + IFERROR( U1025*INDEX(F!$P$21:$AB$33, MATCH(S1025/$AH1025, F!$O$21:$O$33,1), MATCH(E1025, F!$P$20:$AB$20,1)),0)  + IFERROR(Y1025*INDEX(F!$P$21:$AB$33, MATCH(W1025/$AH1025, F!$O$21:$O$33,1), MATCH(E1025, F!$P$20:$AB$20,1)),0)  + IFERROR( AC1025*INDEX(F!$P$21:$AB$33, MATCH(AA1025/$AH1025, F!$O$21:$O$33,1), MATCH(E1025, F!$P$20:$AB$20,1)),)</f>
        <v>0</v>
      </c>
      <c r="AL1025" s="59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</row>
    <row r="1026" ht="15.75" hidden="1" customHeight="1">
      <c r="A1026" s="59"/>
      <c r="B1026" s="126" t="str">
        <f t="shared" ref="B1026:F1026" si="2072">IF(B970="","",B970)</f>
        <v/>
      </c>
      <c r="C1026" s="127" t="str">
        <f t="shared" si="2072"/>
        <v/>
      </c>
      <c r="D1026" s="128" t="str">
        <f t="shared" si="2072"/>
        <v/>
      </c>
      <c r="E1026" s="48" t="str">
        <f t="shared" si="2072"/>
        <v/>
      </c>
      <c r="F1026" s="129" t="str">
        <f t="shared" si="2072"/>
        <v/>
      </c>
      <c r="G1026" s="130" t="str">
        <f t="shared" si="2059"/>
        <v/>
      </c>
      <c r="H1026" s="34"/>
      <c r="I1026" s="34"/>
      <c r="J1026" s="65"/>
      <c r="K1026" s="130" t="str">
        <f t="shared" si="2060"/>
        <v/>
      </c>
      <c r="L1026" s="34"/>
      <c r="M1026" s="34"/>
      <c r="N1026" s="65"/>
      <c r="O1026" s="130" t="str">
        <f t="shared" si="2061"/>
        <v/>
      </c>
      <c r="P1026" s="34"/>
      <c r="Q1026" s="34"/>
      <c r="R1026" s="65"/>
      <c r="S1026" s="130" t="str">
        <f t="shared" si="2062"/>
        <v/>
      </c>
      <c r="T1026" s="34"/>
      <c r="U1026" s="34"/>
      <c r="V1026" s="65"/>
      <c r="W1026" s="130" t="str">
        <f t="shared" si="2063"/>
        <v/>
      </c>
      <c r="X1026" s="34"/>
      <c r="Y1026" s="34"/>
      <c r="Z1026" s="65"/>
      <c r="AA1026" s="130" t="str">
        <f t="shared" si="2064"/>
        <v/>
      </c>
      <c r="AB1026" s="34"/>
      <c r="AC1026" s="34"/>
      <c r="AD1026" s="65"/>
      <c r="AE1026" s="131">
        <f t="shared" si="2065"/>
        <v>0</v>
      </c>
      <c r="AF1026" s="132">
        <f t="shared" si="2046"/>
        <v>0</v>
      </c>
      <c r="AG1026" s="133">
        <f t="shared" si="2066"/>
        <v>0</v>
      </c>
      <c r="AH1026" s="76" t="str">
        <f t="shared" si="2067"/>
        <v/>
      </c>
      <c r="AI1026" s="132">
        <f> ( IF(ISNUMBER(G1026), VLOOKUP(G1026/$AH1026,F!$A1:$B101,2,1)*G1026*$H1026*$I1026,0)+IF(ISNUMBER(K1026), VLOOKUP(K1026/$AH1026,F!$A1:$B101,2,1)*K1026*$L1026*$M1026,0)+IF(ISNUMBER(O1026), VLOOKUP(O1026/$AH1026,F!$A1:$B101,2,1)*O1026*$P1026*$Q1026,0)+IF(ISNUMBER(S1026), VLOOKUP(S1026/$AH1026,F!$A1:$B101,2,1)*S1026*$T1026*$U1026,0)+IF(ISNUMBER(W1026), VLOOKUP(W1026/$AH1026,F!$A1:$B101,2,1)*W1026*$X1026*$Y1026,0)+IF(ISNUMBER(AA1026), VLOOKUP(AA1026/$AH1026,F!$A1:$B101,2,1)*AA1026*$AB1026*$AC1026,0))*IF(ISNUMBER(F1026),F1026,1)*IF(ISNUMBER(E1026),E1026,1)</f>
        <v>0</v>
      </c>
      <c r="AJ1026" s="34">
        <f t="shared" si="2068"/>
        <v>0</v>
      </c>
      <c r="AK1026" s="134">
        <f t="array" ref="AK1026">IFERROR(I1026*INDEX(F!$P$21:$AB$33, MATCH(G1026/$AH1026, F!$O$21:$O$33,1), MATCH(E1026, F!$P$20:$AB$20,1)), 0 ) +IFERROR( M1026*INDEX(F!$P$21:$AB$33, MATCH(K1026/$AH1026, F!$O$21:$O$33,1), MATCH(E1026, F!$P$20:$AB$20,1)),0) +  IFERROR( Q1026*INDEX(F!$P$21:$AB$33, MATCH(O1026/$AH1026, F!$O$21:$O$33,1), MATCH(E1026, F!$P$20:$AB$20,1)), 0) + IFERROR( U1026*INDEX(F!$P$21:$AB$33, MATCH(S1026/$AH1026, F!$O$21:$O$33,1), MATCH(E1026, F!$P$20:$AB$20,1)),0)  + IFERROR(Y1026*INDEX(F!$P$21:$AB$33, MATCH(W1026/$AH1026, F!$O$21:$O$33,1), MATCH(E1026, F!$P$20:$AB$20,1)),0)  + IFERROR( AC1026*INDEX(F!$P$21:$AB$33, MATCH(AA1026/$AH1026, F!$O$21:$O$33,1), MATCH(E1026, F!$P$20:$AB$20,1)),)</f>
        <v>0</v>
      </c>
      <c r="AL1026" s="59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</row>
    <row r="1027" ht="15.75" hidden="1" customHeight="1">
      <c r="A1027" s="59"/>
      <c r="B1027" s="135" t="str">
        <f t="shared" ref="B1027:F1027" si="2073">IF(B971="","",B971)</f>
        <v/>
      </c>
      <c r="C1027" s="136" t="str">
        <f t="shared" si="2073"/>
        <v/>
      </c>
      <c r="D1027" s="137" t="str">
        <f t="shared" si="2073"/>
        <v/>
      </c>
      <c r="E1027" s="48" t="str">
        <f t="shared" si="2073"/>
        <v/>
      </c>
      <c r="F1027" s="138" t="str">
        <f t="shared" si="2073"/>
        <v/>
      </c>
      <c r="G1027" s="139" t="str">
        <f t="shared" si="2059"/>
        <v/>
      </c>
      <c r="H1027" s="140"/>
      <c r="I1027" s="140"/>
      <c r="J1027" s="141"/>
      <c r="K1027" s="139" t="str">
        <f t="shared" si="2060"/>
        <v/>
      </c>
      <c r="L1027" s="140"/>
      <c r="M1027" s="140"/>
      <c r="N1027" s="141"/>
      <c r="O1027" s="139" t="str">
        <f t="shared" si="2061"/>
        <v/>
      </c>
      <c r="P1027" s="140"/>
      <c r="Q1027" s="140"/>
      <c r="R1027" s="141"/>
      <c r="S1027" s="139" t="str">
        <f t="shared" si="2062"/>
        <v/>
      </c>
      <c r="T1027" s="140"/>
      <c r="U1027" s="140"/>
      <c r="V1027" s="141"/>
      <c r="W1027" s="139" t="str">
        <f t="shared" si="2063"/>
        <v/>
      </c>
      <c r="X1027" s="140"/>
      <c r="Y1027" s="140"/>
      <c r="Z1027" s="141"/>
      <c r="AA1027" s="139" t="str">
        <f t="shared" si="2064"/>
        <v/>
      </c>
      <c r="AB1027" s="140"/>
      <c r="AC1027" s="140"/>
      <c r="AD1027" s="141"/>
      <c r="AE1027" s="142">
        <f t="shared" si="2065"/>
        <v>0</v>
      </c>
      <c r="AF1027" s="143">
        <f t="shared" si="2046"/>
        <v>0</v>
      </c>
      <c r="AG1027" s="144">
        <f t="shared" si="2066"/>
        <v>0</v>
      </c>
      <c r="AH1027" s="76" t="str">
        <f t="shared" si="2067"/>
        <v/>
      </c>
      <c r="AI1027" s="143">
        <f> ( IF(ISNUMBER(G1027), VLOOKUP(G1027/$AH1027,F!$A1:$B101,2,1)*G1027*$H1027*$I1027,0)+IF(ISNUMBER(K1027), VLOOKUP(K1027/$AH1027,F!$A1:$B101,2,1)*K1027*$L1027*$M1027,0)+IF(ISNUMBER(O1027), VLOOKUP(O1027/$AH1027,F!$A1:$B101,2,1)*O1027*$P1027*$Q1027,0)+IF(ISNUMBER(S1027), VLOOKUP(S1027/$AH1027,F!$A1:$B101,2,1)*S1027*$T1027*$U1027,0)+IF(ISNUMBER(W1027), VLOOKUP(W1027/$AH1027,F!$A1:$B101,2,1)*W1027*$X1027*$Y1027,0)+IF(ISNUMBER(AA1027), VLOOKUP(AA1027/$AH1027,F!$A1:$B101,2,1)*AA1027*$AB1027*$AC1027,0))*IF(ISNUMBER(F1027),F1027,1)*IF(ISNUMBER(E1027),E1027,1)</f>
        <v>0</v>
      </c>
      <c r="AJ1027" s="140">
        <f t="shared" si="2068"/>
        <v>0</v>
      </c>
      <c r="AK1027" s="145">
        <f t="array" ref="AK1027">IFERROR(I1027*INDEX(F!$P$21:$AB$33, MATCH(G1027/$AH1027, F!$O$21:$O$33,1), MATCH(E1027, F!$P$20:$AB$20,1)), 0 ) +IFERROR( M1027*INDEX(F!$P$21:$AB$33, MATCH(K1027/$AH1027, F!$O$21:$O$33,1), MATCH(E1027, F!$P$20:$AB$20,1)),0) +  IFERROR( Q1027*INDEX(F!$P$21:$AB$33, MATCH(O1027/$AH1027, F!$O$21:$O$33,1), MATCH(E1027, F!$P$20:$AB$20,1)), 0) + IFERROR( U1027*INDEX(F!$P$21:$AB$33, MATCH(S1027/$AH1027, F!$O$21:$O$33,1), MATCH(E1027, F!$P$20:$AB$20,1)),0)  + IFERROR(Y1027*INDEX(F!$P$21:$AB$33, MATCH(W1027/$AH1027, F!$O$21:$O$33,1), MATCH(E1027, F!$P$20:$AB$20,1)),0)  + IFERROR( AC1027*INDEX(F!$P$21:$AB$33, MATCH(AA1027/$AH1027, F!$O$21:$O$33,1), MATCH(E1027, F!$P$20:$AB$20,1)),)</f>
        <v>0</v>
      </c>
      <c r="AL1027" s="59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</row>
    <row r="1028" ht="15.75" hidden="1" customHeight="1">
      <c r="A1028" s="59"/>
      <c r="B1028" s="126" t="str">
        <f t="shared" ref="B1028:F1028" si="2074">IF(B972="","",B972)</f>
        <v/>
      </c>
      <c r="C1028" s="127" t="str">
        <f t="shared" si="2074"/>
        <v/>
      </c>
      <c r="D1028" s="128" t="str">
        <f t="shared" si="2074"/>
        <v/>
      </c>
      <c r="E1028" s="48" t="str">
        <f t="shared" si="2074"/>
        <v/>
      </c>
      <c r="F1028" s="129" t="str">
        <f t="shared" si="2074"/>
        <v/>
      </c>
      <c r="G1028" s="130" t="str">
        <f t="shared" si="2059"/>
        <v/>
      </c>
      <c r="H1028" s="34"/>
      <c r="I1028" s="34"/>
      <c r="J1028" s="65"/>
      <c r="K1028" s="130" t="str">
        <f t="shared" si="2060"/>
        <v/>
      </c>
      <c r="L1028" s="34"/>
      <c r="M1028" s="34"/>
      <c r="N1028" s="65"/>
      <c r="O1028" s="130" t="str">
        <f t="shared" si="2061"/>
        <v/>
      </c>
      <c r="P1028" s="34"/>
      <c r="Q1028" s="34"/>
      <c r="R1028" s="65"/>
      <c r="S1028" s="130" t="str">
        <f t="shared" si="2062"/>
        <v/>
      </c>
      <c r="T1028" s="34"/>
      <c r="U1028" s="34"/>
      <c r="V1028" s="65"/>
      <c r="W1028" s="130" t="str">
        <f t="shared" si="2063"/>
        <v/>
      </c>
      <c r="X1028" s="34"/>
      <c r="Y1028" s="34"/>
      <c r="Z1028" s="65"/>
      <c r="AA1028" s="130" t="str">
        <f t="shared" si="2064"/>
        <v/>
      </c>
      <c r="AB1028" s="34"/>
      <c r="AC1028" s="34"/>
      <c r="AD1028" s="65"/>
      <c r="AE1028" s="131">
        <f t="shared" si="2065"/>
        <v>0</v>
      </c>
      <c r="AF1028" s="132">
        <f t="shared" si="2046"/>
        <v>0</v>
      </c>
      <c r="AG1028" s="133">
        <f t="shared" si="2066"/>
        <v>0</v>
      </c>
      <c r="AH1028" s="76" t="str">
        <f t="shared" si="2067"/>
        <v/>
      </c>
      <c r="AI1028" s="132">
        <f> ( IF(ISNUMBER(G1028), VLOOKUP(G1028/$AH1028,F!$A1:$B101,2,1)*G1028*$H1028*$I1028,0)+IF(ISNUMBER(K1028), VLOOKUP(K1028/$AH1028,F!$A1:$B101,2,1)*K1028*$L1028*$M1028,0)+IF(ISNUMBER(O1028), VLOOKUP(O1028/$AH1028,F!$A1:$B101,2,1)*O1028*$P1028*$Q1028,0)+IF(ISNUMBER(S1028), VLOOKUP(S1028/$AH1028,F!$A1:$B101,2,1)*S1028*$T1028*$U1028,0)+IF(ISNUMBER(W1028), VLOOKUP(W1028/$AH1028,F!$A1:$B101,2,1)*W1028*$X1028*$Y1028,0)+IF(ISNUMBER(AA1028), VLOOKUP(AA1028/$AH1028,F!$A1:$B101,2,1)*AA1028*$AB1028*$AC1028,0))*IF(ISNUMBER(F1028),F1028,1)*IF(ISNUMBER(E1028),E1028,1)</f>
        <v>0</v>
      </c>
      <c r="AJ1028" s="34">
        <f t="shared" si="2068"/>
        <v>0</v>
      </c>
      <c r="AK1028" s="134">
        <f t="array" ref="AK1028">IFERROR(I1028*INDEX(F!$P$21:$AB$33, MATCH(G1028/$AH1028, F!$O$21:$O$33,1), MATCH(E1028, F!$P$20:$AB$20,1)), 0 ) +IFERROR( M1028*INDEX(F!$P$21:$AB$33, MATCH(K1028/$AH1028, F!$O$21:$O$33,1), MATCH(E1028, F!$P$20:$AB$20,1)),0) +  IFERROR( Q1028*INDEX(F!$P$21:$AB$33, MATCH(O1028/$AH1028, F!$O$21:$O$33,1), MATCH(E1028, F!$P$20:$AB$20,1)), 0) + IFERROR( U1028*INDEX(F!$P$21:$AB$33, MATCH(S1028/$AH1028, F!$O$21:$O$33,1), MATCH(E1028, F!$P$20:$AB$20,1)),0)  + IFERROR(Y1028*INDEX(F!$P$21:$AB$33, MATCH(W1028/$AH1028, F!$O$21:$O$33,1), MATCH(E1028, F!$P$20:$AB$20,1)),0)  + IFERROR( AC1028*INDEX(F!$P$21:$AB$33, MATCH(AA1028/$AH1028, F!$O$21:$O$33,1), MATCH(E1028, F!$P$20:$AB$20,1)),)</f>
        <v>0</v>
      </c>
      <c r="AL1028" s="59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</row>
    <row r="1029" ht="15.75" hidden="1" customHeight="1">
      <c r="A1029" s="98"/>
      <c r="B1029" s="150"/>
      <c r="C1029" s="151"/>
      <c r="D1029" s="152"/>
      <c r="E1029" s="102">
        <f>ROUND(IFERROR(SUMPRODUCT(AJ1021:AJ1028,E1021:E1028)/AJ1029,0),3)</f>
        <v>0</v>
      </c>
      <c r="F1029" s="153"/>
      <c r="G1029" s="154"/>
      <c r="H1029" s="155"/>
      <c r="I1029" s="155"/>
      <c r="J1029" s="156"/>
      <c r="K1029" s="154"/>
      <c r="L1029" s="155"/>
      <c r="M1029" s="155"/>
      <c r="N1029" s="156"/>
      <c r="O1029" s="154"/>
      <c r="P1029" s="155"/>
      <c r="Q1029" s="155"/>
      <c r="R1029" s="156"/>
      <c r="S1029" s="154"/>
      <c r="T1029" s="155"/>
      <c r="U1029" s="155"/>
      <c r="V1029" s="156"/>
      <c r="W1029" s="154"/>
      <c r="X1029" s="155"/>
      <c r="Y1029" s="155"/>
      <c r="Z1029" s="156"/>
      <c r="AA1029" s="154"/>
      <c r="AB1029" s="155"/>
      <c r="AC1029" s="155"/>
      <c r="AD1029" s="156"/>
      <c r="AE1029" s="107">
        <f>SUM(AE1021:AE1028)</f>
        <v>0</v>
      </c>
      <c r="AF1029" s="108">
        <f t="shared" si="2046"/>
        <v>0</v>
      </c>
      <c r="AG1029" s="109">
        <f>IFERROR(  SUMPRODUCT(AG1021:AG1028,AJ1021:AJ1028)/AJ1029,0)</f>
        <v>0</v>
      </c>
      <c r="AH1029" s="157"/>
      <c r="AI1029" s="111">
        <f t="shared" ref="AI1029:AJ1029" si="2075">SUM(AI1021:AI1028)</f>
        <v>0</v>
      </c>
      <c r="AJ1029" s="111">
        <f t="shared" si="2075"/>
        <v>0</v>
      </c>
      <c r="AK1029" s="112">
        <f>IF(SUM(AK1021:AK1028)=0,TIME(,0,),TIME(,SUM(AK1021:AK1028)+F!$V$37,))</f>
        <v>0</v>
      </c>
      <c r="AL1029" s="98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</row>
    <row r="1030" ht="15.75" hidden="1" customHeight="1">
      <c r="A1030" s="158">
        <f>A1031</f>
        <v>43910</v>
      </c>
      <c r="B1030" s="159" t="str">
        <f t="shared" ref="B1030:F1030" si="2076">IF(B974="","",B974)</f>
        <v>Тяжелая</v>
      </c>
      <c r="C1030" s="160" t="str">
        <f t="shared" si="2076"/>
        <v>ПР</v>
      </c>
      <c r="D1030" s="161" t="str">
        <f t="shared" si="2076"/>
        <v>Присед</v>
      </c>
      <c r="E1030" s="29">
        <f t="shared" si="2076"/>
        <v>1.2</v>
      </c>
      <c r="F1030" s="162" t="str">
        <f t="shared" si="2076"/>
        <v/>
      </c>
      <c r="G1030" s="163" t="str">
        <f t="shared" ref="G1030:G1037" si="2078">IF(J1030&lt;&gt;0, IFERROR(IF( $F1030=2,  MROUND($AH1030*J1030,1),    IF( OR($F1030="",$F1030=1),   MROUND($AH1030*J1030,2.5),  MROUND($AH1030*J1030, 0.1))), "" ), "")</f>
        <v/>
      </c>
      <c r="H1030" s="164"/>
      <c r="I1030" s="164"/>
      <c r="J1030" s="165"/>
      <c r="K1030" s="163" t="str">
        <f t="shared" ref="K1030:K1037" si="2079">IF(N1030&lt;&gt;0, IFERROR(IF( $F1030=2,  MROUND($AH1030*N1030,1),    IF( OR($F1030="",$F1030=1),   MROUND($AH1030*N1030,2.5),  MROUND($AH1030*N1030, 0.1))), "" ), "")</f>
        <v/>
      </c>
      <c r="L1030" s="164"/>
      <c r="M1030" s="164"/>
      <c r="N1030" s="165"/>
      <c r="O1030" s="163" t="str">
        <f t="shared" ref="O1030:O1037" si="2080">IF(R1030&lt;&gt;0, IFERROR(IF( $F1030=2,  MROUND($AH1030*R1030,1),    IF( OR($F1030="",$F1030=1),   MROUND($AH1030*R1030,2.5),  MROUND($AH1030*R1030, 0.1))), "" ), "")</f>
        <v/>
      </c>
      <c r="P1030" s="164"/>
      <c r="Q1030" s="164"/>
      <c r="R1030" s="165"/>
      <c r="S1030" s="163" t="str">
        <f t="shared" ref="S1030:S1037" si="2081">IF(V1030&lt;&gt;0, IFERROR(IF( $F1030=2,  MROUND($AH1030*V1030,1),    IF( OR($F1030="",$F1030=1),   MROUND($AH1030*V1030,2.5),  MROUND($AH1030*V1030, 0.1))), "" ), "")</f>
        <v/>
      </c>
      <c r="T1030" s="164"/>
      <c r="U1030" s="164"/>
      <c r="V1030" s="165"/>
      <c r="W1030" s="163" t="str">
        <f t="shared" ref="W1030:W1037" si="2082">IF(Z1030&lt;&gt;0, IFERROR(IF( $F1030=2,  MROUND($AH1030*Z1030,1),    IF( OR($F1030="",$F1030=1),   MROUND($AH1030*Z1030,2.5),  MROUND($AH1030*Z1030, 0.1))), "" ), "")</f>
        <v/>
      </c>
      <c r="X1030" s="164"/>
      <c r="Y1030" s="164"/>
      <c r="Z1030" s="165"/>
      <c r="AA1030" s="163" t="str">
        <f t="shared" ref="AA1030:AA1037" si="2083">IF(AD1030&lt;&gt;0, IFERROR(IF( $F1030=2,  MROUND($AH1030*AD1030,1),    IF( OR($F1030="",$F1030=1),   MROUND($AH1030*AD1030,2.5),  MROUND($AH1030*AD1030, 0.1))), "" ), "")</f>
        <v/>
      </c>
      <c r="AB1030" s="164"/>
      <c r="AC1030" s="164"/>
      <c r="AD1030" s="165"/>
      <c r="AE1030" s="166">
        <f t="shared" ref="AE1030:AE1037" si="2084">(IF(ISNUMBER(G1030),G1030,0)*H1030*I1030+IF(ISNUMBER(K1030),K1030,1)*L1030*M1030+IF(ISNUMBER(O1030),O1030,1)*P1030*Q1030+IF(ISNUMBER(S1030),S1030,1)*T1030*U1030+IF(ISNUMBER(W1030),W1030,1)*X1030*Y1030+IF(ISNUMBER(AA1030),AA1030,1)*AB1030*AC1030)*IF(ISNUMBER(F1030),F1030,1)</f>
        <v>0</v>
      </c>
      <c r="AF1030" s="167">
        <f t="shared" si="2046"/>
        <v>0</v>
      </c>
      <c r="AG1030" s="168">
        <f t="shared" ref="AG1030:AG1037" si="2085">IFERROR((AF1030/(AH1030*IF(ISNUMBER(F1030),F1030,1))),0)</f>
        <v>0</v>
      </c>
      <c r="AH1030" s="169">
        <f t="shared" ref="AH1030:AH1037" si="2086">IF(ISNUMBER(AH974), AH974+(AH974*$AH$1010),"")</f>
        <v>192.8132434</v>
      </c>
      <c r="AI1030" s="167">
        <f> ( IF(ISNUMBER(G1030), VLOOKUP(G1030/$AH1030,F!$A1:$B101,2,1)*G1030*$H1030*$I1030,0)+IF(ISNUMBER(K1030), VLOOKUP(K1030/$AH1030,F!$A1:$B101,2,1)*K1030*$L1030*$M1030,0)+IF(ISNUMBER(O1030), VLOOKUP(O1030/$AH1030,F!$A1:$B101,2,1)*O1030*$P1030*$Q1030,0)+IF(ISNUMBER(S1030), VLOOKUP(S1030/$AH1030,F!$A1:$B101,2,1)*S1030*$T1030*$U1030,0)+IF(ISNUMBER(W1030), VLOOKUP(W1030/$AH1030,F!$A1:$B101,2,1)*W1030*$X1030*$Y1030,0)+IF(ISNUMBER(AA1030), VLOOKUP(AA1030/$AH1030,F!$A1:$B101,2,1)*AA1030*$AB1030*$AC1030,0))*IF(ISNUMBER(F1030),F1030,1)*IF(ISNUMBER(E1030),E1030,1)</f>
        <v>0</v>
      </c>
      <c r="AJ1030" s="164">
        <f t="shared" ref="AJ1030:AJ1037" si="2087">H1030*I1030+L1030*M1030+P1030*Q1030+T1030*U1030+X1030*Y1030+AB1030*AC1030</f>
        <v>0</v>
      </c>
      <c r="AK1030" s="170">
        <f t="array" ref="AK1030">IFERROR(I1030*INDEX(F!$P$21:$AB$33, MATCH(G1030/$AH1030, F!$O$21:$O$33,1), MATCH(E1030, F!$P$20:$AB$20,1)), 0 ) +IFERROR( M1030*INDEX(F!$P$21:$AB$33, MATCH(K1030/$AH1030, F!$O$21:$O$33,1), MATCH(E1030, F!$P$20:$AB$20,1)),0) +  IFERROR( Q1030*INDEX(F!$P$21:$AB$33, MATCH(O1030/$AH1030, F!$O$21:$O$33,1), MATCH(E1030, F!$P$20:$AB$20,1)), 0) + IFERROR( U1030*INDEX(F!$P$21:$AB$33, MATCH(S1030/$AH1030, F!$O$21:$O$33,1), MATCH(E1030, F!$P$20:$AB$20,1)),0)  + IFERROR(Y1030*INDEX(F!$P$21:$AB$33, MATCH(W1030/$AH1030, F!$O$21:$O$33,1), MATCH(E1030, F!$P$20:$AB$20,1)),0)  + IFERROR( AC1030*INDEX(F!$P$21:$AB$33, MATCH(AA1030/$AH1030, F!$O$21:$O$33,1), MATCH(E1030, F!$P$20:$AB$20,1)),)</f>
        <v>0</v>
      </c>
      <c r="AL1030" s="42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</row>
    <row r="1031" ht="15.75" hidden="1" customHeight="1">
      <c r="A1031" s="44">
        <f>A975+A954</f>
        <v>43910</v>
      </c>
      <c r="B1031" s="135" t="str">
        <f t="shared" ref="B1031:F1031" si="2077">IF(B975="","",B975)</f>
        <v>Тяжелая</v>
      </c>
      <c r="C1031" s="136" t="str">
        <f t="shared" si="2077"/>
        <v>ЖМ</v>
      </c>
      <c r="D1031" s="137" t="str">
        <f t="shared" si="2077"/>
        <v>Жим лежа</v>
      </c>
      <c r="E1031" s="48">
        <f t="shared" si="2077"/>
        <v>1</v>
      </c>
      <c r="F1031" s="138" t="str">
        <f t="shared" si="2077"/>
        <v/>
      </c>
      <c r="G1031" s="139" t="str">
        <f t="shared" si="2078"/>
        <v/>
      </c>
      <c r="H1031" s="140"/>
      <c r="I1031" s="140"/>
      <c r="J1031" s="141"/>
      <c r="K1031" s="139" t="str">
        <f t="shared" si="2079"/>
        <v/>
      </c>
      <c r="L1031" s="140"/>
      <c r="M1031" s="140"/>
      <c r="N1031" s="141"/>
      <c r="O1031" s="139" t="str">
        <f t="shared" si="2080"/>
        <v/>
      </c>
      <c r="P1031" s="140"/>
      <c r="Q1031" s="140"/>
      <c r="R1031" s="141"/>
      <c r="S1031" s="139" t="str">
        <f t="shared" si="2081"/>
        <v/>
      </c>
      <c r="T1031" s="140"/>
      <c r="U1031" s="140"/>
      <c r="V1031" s="141"/>
      <c r="W1031" s="139" t="str">
        <f t="shared" si="2082"/>
        <v/>
      </c>
      <c r="X1031" s="140"/>
      <c r="Y1031" s="140"/>
      <c r="Z1031" s="141"/>
      <c r="AA1031" s="139" t="str">
        <f t="shared" si="2083"/>
        <v/>
      </c>
      <c r="AB1031" s="140"/>
      <c r="AC1031" s="140"/>
      <c r="AD1031" s="141"/>
      <c r="AE1031" s="142">
        <f t="shared" si="2084"/>
        <v>0</v>
      </c>
      <c r="AF1031" s="143">
        <f t="shared" si="2046"/>
        <v>0</v>
      </c>
      <c r="AG1031" s="144">
        <f t="shared" si="2085"/>
        <v>0</v>
      </c>
      <c r="AH1031" s="76">
        <f t="shared" si="2086"/>
        <v>135.6833935</v>
      </c>
      <c r="AI1031" s="143">
        <f> ( IF(ISNUMBER(G1031), VLOOKUP(G1031/$AH1031,F!$A1:$B101,2,1)*G1031*$H1031*$I1031,0)+IF(ISNUMBER(K1031), VLOOKUP(K1031/$AH1031,F!$A1:$B101,2,1)*K1031*$L1031*$M1031,0)+IF(ISNUMBER(O1031), VLOOKUP(O1031/$AH1031,F!$A1:$B101,2,1)*O1031*$P1031*$Q1031,0)+IF(ISNUMBER(S1031), VLOOKUP(S1031/$AH1031,F!$A1:$B101,2,1)*S1031*$T1031*$U1031,0)+IF(ISNUMBER(W1031), VLOOKUP(W1031/$AH1031,F!$A1:$B101,2,1)*W1031*$X1031*$Y1031,0)+IF(ISNUMBER(AA1031), VLOOKUP(AA1031/$AH1031,F!$A1:$B101,2,1)*AA1031*$AB1031*$AC1031,0))*IF(ISNUMBER(F1031),F1031,1)*IF(ISNUMBER(E1031),E1031,1)</f>
        <v>0</v>
      </c>
      <c r="AJ1031" s="140">
        <f t="shared" si="2087"/>
        <v>0</v>
      </c>
      <c r="AK1031" s="145">
        <f t="array" ref="AK1031">IFERROR(I1031*INDEX(F!$P$21:$AB$33, MATCH(G1031/$AH1031, F!$O$21:$O$33,1), MATCH(E1031, F!$P$20:$AB$20,1)), 0 ) +IFERROR( M1031*INDEX(F!$P$21:$AB$33, MATCH(K1031/$AH1031, F!$O$21:$O$33,1), MATCH(E1031, F!$P$20:$AB$20,1)),0) +  IFERROR( Q1031*INDEX(F!$P$21:$AB$33, MATCH(O1031/$AH1031, F!$O$21:$O$33,1), MATCH(E1031, F!$P$20:$AB$20,1)), 0) + IFERROR( U1031*INDEX(F!$P$21:$AB$33, MATCH(S1031/$AH1031, F!$O$21:$O$33,1), MATCH(E1031, F!$P$20:$AB$20,1)),0)  + IFERROR(Y1031*INDEX(F!$P$21:$AB$33, MATCH(W1031/$AH1031, F!$O$21:$O$33,1), MATCH(E1031, F!$P$20:$AB$20,1)),0)  + IFERROR( AC1031*INDEX(F!$P$21:$AB$33, MATCH(AA1031/$AH1031, F!$O$21:$O$33,1), MATCH(E1031, F!$P$20:$AB$20,1)),)</f>
        <v>0</v>
      </c>
      <c r="AL1031" s="59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</row>
    <row r="1032" ht="15.75" hidden="1" customHeight="1">
      <c r="A1032" s="59"/>
      <c r="B1032" s="173" t="str">
        <f t="shared" ref="B1032:F1032" si="2088">IF(B976="","",B976)</f>
        <v>Средняя</v>
      </c>
      <c r="C1032" s="174" t="str">
        <f t="shared" si="2088"/>
        <v>ПР</v>
      </c>
      <c r="D1032" s="175" t="str">
        <f t="shared" si="2088"/>
        <v>Присед</v>
      </c>
      <c r="E1032" s="48">
        <f t="shared" si="2088"/>
        <v>1.2</v>
      </c>
      <c r="F1032" s="176" t="str">
        <f t="shared" si="2088"/>
        <v/>
      </c>
      <c r="G1032" s="177" t="str">
        <f t="shared" si="2078"/>
        <v/>
      </c>
      <c r="H1032" s="178"/>
      <c r="I1032" s="178"/>
      <c r="J1032" s="179"/>
      <c r="K1032" s="177" t="str">
        <f t="shared" si="2079"/>
        <v/>
      </c>
      <c r="L1032" s="178"/>
      <c r="M1032" s="178"/>
      <c r="N1032" s="179"/>
      <c r="O1032" s="177" t="str">
        <f t="shared" si="2080"/>
        <v/>
      </c>
      <c r="P1032" s="178"/>
      <c r="Q1032" s="178"/>
      <c r="R1032" s="179"/>
      <c r="S1032" s="177" t="str">
        <f t="shared" si="2081"/>
        <v/>
      </c>
      <c r="T1032" s="178"/>
      <c r="U1032" s="178"/>
      <c r="V1032" s="179"/>
      <c r="W1032" s="177" t="str">
        <f t="shared" si="2082"/>
        <v/>
      </c>
      <c r="X1032" s="178"/>
      <c r="Y1032" s="178"/>
      <c r="Z1032" s="179"/>
      <c r="AA1032" s="177" t="str">
        <f t="shared" si="2083"/>
        <v/>
      </c>
      <c r="AB1032" s="178"/>
      <c r="AC1032" s="178"/>
      <c r="AD1032" s="179"/>
      <c r="AE1032" s="180">
        <f t="shared" si="2084"/>
        <v>0</v>
      </c>
      <c r="AF1032" s="181">
        <f t="shared" si="2046"/>
        <v>0</v>
      </c>
      <c r="AG1032" s="182">
        <f t="shared" si="2085"/>
        <v>0</v>
      </c>
      <c r="AH1032" s="76">
        <f t="shared" si="2086"/>
        <v>192.8132434</v>
      </c>
      <c r="AI1032" s="181">
        <f> ( IF(ISNUMBER(G1032), VLOOKUP(G1032/$AH1032,F!$A1:$B101,2,1)*G1032*$H1032*$I1032,0)+IF(ISNUMBER(K1032), VLOOKUP(K1032/$AH1032,F!$A1:$B101,2,1)*K1032*$L1032*$M1032,0)+IF(ISNUMBER(O1032), VLOOKUP(O1032/$AH1032,F!$A1:$B101,2,1)*O1032*$P1032*$Q1032,0)+IF(ISNUMBER(S1032), VLOOKUP(S1032/$AH1032,F!$A1:$B101,2,1)*S1032*$T1032*$U1032,0)+IF(ISNUMBER(W1032), VLOOKUP(W1032/$AH1032,F!$A1:$B101,2,1)*W1032*$X1032*$Y1032,0)+IF(ISNUMBER(AA1032), VLOOKUP(AA1032/$AH1032,F!$A1:$B101,2,1)*AA1032*$AB1032*$AC1032,0))*IF(ISNUMBER(F1032),F1032,1)*IF(ISNUMBER(E1032),E1032,1)</f>
        <v>0</v>
      </c>
      <c r="AJ1032" s="178">
        <f t="shared" si="2087"/>
        <v>0</v>
      </c>
      <c r="AK1032" s="183">
        <f t="array" ref="AK1032">IFERROR(I1032*INDEX(F!$P$21:$AB$33, MATCH(G1032/$AH1032, F!$O$21:$O$33,1), MATCH(E1032, F!$P$20:$AB$20,1)), 0 ) +IFERROR( M1032*INDEX(F!$P$21:$AB$33, MATCH(K1032/$AH1032, F!$O$21:$O$33,1), MATCH(E1032, F!$P$20:$AB$20,1)),0) +  IFERROR( Q1032*INDEX(F!$P$21:$AB$33, MATCH(O1032/$AH1032, F!$O$21:$O$33,1), MATCH(E1032, F!$P$20:$AB$20,1)), 0) + IFERROR( U1032*INDEX(F!$P$21:$AB$33, MATCH(S1032/$AH1032, F!$O$21:$O$33,1), MATCH(E1032, F!$P$20:$AB$20,1)),0)  + IFERROR(Y1032*INDEX(F!$P$21:$AB$33, MATCH(W1032/$AH1032, F!$O$21:$O$33,1), MATCH(E1032, F!$P$20:$AB$20,1)),0)  + IFERROR( AC1032*INDEX(F!$P$21:$AB$33, MATCH(AA1032/$AH1032, F!$O$21:$O$33,1), MATCH(E1032, F!$P$20:$AB$20,1)),)</f>
        <v>0</v>
      </c>
      <c r="AL1032" s="59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</row>
    <row r="1033" ht="15.75" hidden="1" customHeight="1">
      <c r="A1033" s="59"/>
      <c r="B1033" s="135" t="str">
        <f t="shared" ref="B1033:F1033" si="2089">IF(B977="","",B977)</f>
        <v>Средняя</v>
      </c>
      <c r="C1033" s="136" t="str">
        <f t="shared" si="2089"/>
        <v>ЖМ</v>
      </c>
      <c r="D1033" s="137" t="str">
        <f t="shared" si="2089"/>
        <v>Жим на наклонной скамье</v>
      </c>
      <c r="E1033" s="48">
        <f t="shared" si="2089"/>
        <v>1</v>
      </c>
      <c r="F1033" s="138" t="str">
        <f t="shared" si="2089"/>
        <v/>
      </c>
      <c r="G1033" s="139" t="str">
        <f t="shared" si="2078"/>
        <v/>
      </c>
      <c r="H1033" s="140"/>
      <c r="I1033" s="140"/>
      <c r="J1033" s="141"/>
      <c r="K1033" s="139" t="str">
        <f t="shared" si="2079"/>
        <v/>
      </c>
      <c r="L1033" s="140"/>
      <c r="M1033" s="140"/>
      <c r="N1033" s="141"/>
      <c r="O1033" s="139" t="str">
        <f t="shared" si="2080"/>
        <v/>
      </c>
      <c r="P1033" s="140"/>
      <c r="Q1033" s="140"/>
      <c r="R1033" s="141"/>
      <c r="S1033" s="139" t="str">
        <f t="shared" si="2081"/>
        <v/>
      </c>
      <c r="T1033" s="140"/>
      <c r="U1033" s="140"/>
      <c r="V1033" s="141"/>
      <c r="W1033" s="139" t="str">
        <f t="shared" si="2082"/>
        <v/>
      </c>
      <c r="X1033" s="140"/>
      <c r="Y1033" s="140"/>
      <c r="Z1033" s="141"/>
      <c r="AA1033" s="139" t="str">
        <f t="shared" si="2083"/>
        <v/>
      </c>
      <c r="AB1033" s="140"/>
      <c r="AC1033" s="140"/>
      <c r="AD1033" s="141"/>
      <c r="AE1033" s="142">
        <f t="shared" si="2084"/>
        <v>0</v>
      </c>
      <c r="AF1033" s="143">
        <f t="shared" si="2046"/>
        <v>0</v>
      </c>
      <c r="AG1033" s="144">
        <f t="shared" si="2085"/>
        <v>0</v>
      </c>
      <c r="AH1033" s="76">
        <f t="shared" si="2086"/>
        <v>108.5467148</v>
      </c>
      <c r="AI1033" s="143">
        <f> ( IF(ISNUMBER(G1033), VLOOKUP(G1033/$AH1033,F!$A1:$B101,2,1)*G1033*$H1033*$I1033,0)+IF(ISNUMBER(K1033), VLOOKUP(K1033/$AH1033,F!$A1:$B101,2,1)*K1033*$L1033*$M1033,0)+IF(ISNUMBER(O1033), VLOOKUP(O1033/$AH1033,F!$A1:$B101,2,1)*O1033*$P1033*$Q1033,0)+IF(ISNUMBER(S1033), VLOOKUP(S1033/$AH1033,F!$A1:$B101,2,1)*S1033*$T1033*$U1033,0)+IF(ISNUMBER(W1033), VLOOKUP(W1033/$AH1033,F!$A1:$B101,2,1)*W1033*$X1033*$Y1033,0)+IF(ISNUMBER(AA1033), VLOOKUP(AA1033/$AH1033,F!$A1:$B101,2,1)*AA1033*$AB1033*$AC1033,0))*IF(ISNUMBER(F1033),F1033,1)*IF(ISNUMBER(E1033),E1033,1)</f>
        <v>0</v>
      </c>
      <c r="AJ1033" s="140">
        <f t="shared" si="2087"/>
        <v>0</v>
      </c>
      <c r="AK1033" s="145">
        <f t="array" ref="AK1033">IFERROR(I1033*INDEX(F!$P$21:$AB$33, MATCH(G1033/$AH1033, F!$O$21:$O$33,1), MATCH(E1033, F!$P$20:$AB$20,1)), 0 ) +IFERROR( M1033*INDEX(F!$P$21:$AB$33, MATCH(K1033/$AH1033, F!$O$21:$O$33,1), MATCH(E1033, F!$P$20:$AB$20,1)),0) +  IFERROR( Q1033*INDEX(F!$P$21:$AB$33, MATCH(O1033/$AH1033, F!$O$21:$O$33,1), MATCH(E1033, F!$P$20:$AB$20,1)), 0) + IFERROR( U1033*INDEX(F!$P$21:$AB$33, MATCH(S1033/$AH1033, F!$O$21:$O$33,1), MATCH(E1033, F!$P$20:$AB$20,1)),0)  + IFERROR(Y1033*INDEX(F!$P$21:$AB$33, MATCH(W1033/$AH1033, F!$O$21:$O$33,1), MATCH(E1033, F!$P$20:$AB$20,1)),0)  + IFERROR( AC1033*INDEX(F!$P$21:$AB$33, MATCH(AA1033/$AH1033, F!$O$21:$O$33,1), MATCH(E1033, F!$P$20:$AB$20,1)),)</f>
        <v>0</v>
      </c>
      <c r="AL1033" s="59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</row>
    <row r="1034" ht="15.75" hidden="1" customHeight="1">
      <c r="A1034" s="59"/>
      <c r="B1034" s="173" t="str">
        <f t="shared" ref="B1034:F1034" si="2090">IF(B978="","",B978)</f>
        <v>Средняя</v>
      </c>
      <c r="C1034" s="174" t="str">
        <f t="shared" si="2090"/>
        <v>ОФП</v>
      </c>
      <c r="D1034" s="175" t="str">
        <f t="shared" si="2090"/>
        <v>Бицепс стоя</v>
      </c>
      <c r="E1034" s="48">
        <f t="shared" si="2090"/>
        <v>0.5</v>
      </c>
      <c r="F1034" s="176" t="str">
        <f t="shared" si="2090"/>
        <v/>
      </c>
      <c r="G1034" s="177" t="str">
        <f t="shared" si="2078"/>
        <v/>
      </c>
      <c r="H1034" s="178"/>
      <c r="I1034" s="178"/>
      <c r="J1034" s="179"/>
      <c r="K1034" s="177" t="str">
        <f t="shared" si="2079"/>
        <v/>
      </c>
      <c r="L1034" s="178"/>
      <c r="M1034" s="178"/>
      <c r="N1034" s="179"/>
      <c r="O1034" s="177" t="str">
        <f t="shared" si="2080"/>
        <v/>
      </c>
      <c r="P1034" s="178"/>
      <c r="Q1034" s="178"/>
      <c r="R1034" s="179"/>
      <c r="S1034" s="177" t="str">
        <f t="shared" si="2081"/>
        <v/>
      </c>
      <c r="T1034" s="178"/>
      <c r="U1034" s="178"/>
      <c r="V1034" s="179"/>
      <c r="W1034" s="177" t="str">
        <f t="shared" si="2082"/>
        <v/>
      </c>
      <c r="X1034" s="178"/>
      <c r="Y1034" s="178"/>
      <c r="Z1034" s="179"/>
      <c r="AA1034" s="177" t="str">
        <f t="shared" si="2083"/>
        <v/>
      </c>
      <c r="AB1034" s="178"/>
      <c r="AC1034" s="178"/>
      <c r="AD1034" s="179"/>
      <c r="AE1034" s="180">
        <f t="shared" si="2084"/>
        <v>0</v>
      </c>
      <c r="AF1034" s="181">
        <f t="shared" si="2046"/>
        <v>0</v>
      </c>
      <c r="AG1034" s="182">
        <f t="shared" si="2085"/>
        <v>0</v>
      </c>
      <c r="AH1034" s="76" t="str">
        <f t="shared" si="2086"/>
        <v/>
      </c>
      <c r="AI1034" s="181">
        <f> ( IF(ISNUMBER(G1034), VLOOKUP(G1034/$AH1034,F!$A1:$B101,2,1)*G1034*$H1034*$I1034,0)+IF(ISNUMBER(K1034), VLOOKUP(K1034/$AH1034,F!$A1:$B101,2,1)*K1034*$L1034*$M1034,0)+IF(ISNUMBER(O1034), VLOOKUP(O1034/$AH1034,F!$A1:$B101,2,1)*O1034*$P1034*$Q1034,0)+IF(ISNUMBER(S1034), VLOOKUP(S1034/$AH1034,F!$A1:$B101,2,1)*S1034*$T1034*$U1034,0)+IF(ISNUMBER(W1034), VLOOKUP(W1034/$AH1034,F!$A1:$B101,2,1)*W1034*$X1034*$Y1034,0)+IF(ISNUMBER(AA1034), VLOOKUP(AA1034/$AH1034,F!$A1:$B101,2,1)*AA1034*$AB1034*$AC1034,0))*IF(ISNUMBER(F1034),F1034,1)*IF(ISNUMBER(E1034),E1034,1)</f>
        <v>0</v>
      </c>
      <c r="AJ1034" s="178">
        <f t="shared" si="2087"/>
        <v>0</v>
      </c>
      <c r="AK1034" s="183">
        <f t="array" ref="AK1034">IFERROR(I1034*INDEX(F!$P$21:$AB$33, MATCH(G1034/$AH1034, F!$O$21:$O$33,1), MATCH(E1034, F!$P$20:$AB$20,1)), 0 ) +IFERROR( M1034*INDEX(F!$P$21:$AB$33, MATCH(K1034/$AH1034, F!$O$21:$O$33,1), MATCH(E1034, F!$P$20:$AB$20,1)),0) +  IFERROR( Q1034*INDEX(F!$P$21:$AB$33, MATCH(O1034/$AH1034, F!$O$21:$O$33,1), MATCH(E1034, F!$P$20:$AB$20,1)), 0) + IFERROR( U1034*INDEX(F!$P$21:$AB$33, MATCH(S1034/$AH1034, F!$O$21:$O$33,1), MATCH(E1034, F!$P$20:$AB$20,1)),0)  + IFERROR(Y1034*INDEX(F!$P$21:$AB$33, MATCH(W1034/$AH1034, F!$O$21:$O$33,1), MATCH(E1034, F!$P$20:$AB$20,1)),0)  + IFERROR( AC1034*INDEX(F!$P$21:$AB$33, MATCH(AA1034/$AH1034, F!$O$21:$O$33,1), MATCH(E1034, F!$P$20:$AB$20,1)),)</f>
        <v>0</v>
      </c>
      <c r="AL1034" s="59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</row>
    <row r="1035" ht="15.75" hidden="1" customHeight="1">
      <c r="A1035" s="59"/>
      <c r="B1035" s="135" t="str">
        <f t="shared" ref="B1035:F1035" si="2091">IF(B979="","",B979)</f>
        <v/>
      </c>
      <c r="C1035" s="136" t="str">
        <f t="shared" si="2091"/>
        <v/>
      </c>
      <c r="D1035" s="137" t="str">
        <f t="shared" si="2091"/>
        <v/>
      </c>
      <c r="E1035" s="48" t="str">
        <f t="shared" si="2091"/>
        <v/>
      </c>
      <c r="F1035" s="138" t="str">
        <f t="shared" si="2091"/>
        <v/>
      </c>
      <c r="G1035" s="139" t="str">
        <f t="shared" si="2078"/>
        <v/>
      </c>
      <c r="H1035" s="140"/>
      <c r="I1035" s="140"/>
      <c r="J1035" s="141"/>
      <c r="K1035" s="139" t="str">
        <f t="shared" si="2079"/>
        <v/>
      </c>
      <c r="L1035" s="140"/>
      <c r="M1035" s="140"/>
      <c r="N1035" s="141"/>
      <c r="O1035" s="139" t="str">
        <f t="shared" si="2080"/>
        <v/>
      </c>
      <c r="P1035" s="140"/>
      <c r="Q1035" s="140"/>
      <c r="R1035" s="141"/>
      <c r="S1035" s="139" t="str">
        <f t="shared" si="2081"/>
        <v/>
      </c>
      <c r="T1035" s="140"/>
      <c r="U1035" s="140"/>
      <c r="V1035" s="141"/>
      <c r="W1035" s="139" t="str">
        <f t="shared" si="2082"/>
        <v/>
      </c>
      <c r="X1035" s="140"/>
      <c r="Y1035" s="140"/>
      <c r="Z1035" s="141"/>
      <c r="AA1035" s="139" t="str">
        <f t="shared" si="2083"/>
        <v/>
      </c>
      <c r="AB1035" s="140"/>
      <c r="AC1035" s="140"/>
      <c r="AD1035" s="141"/>
      <c r="AE1035" s="142">
        <f t="shared" si="2084"/>
        <v>0</v>
      </c>
      <c r="AF1035" s="143">
        <f t="shared" si="2046"/>
        <v>0</v>
      </c>
      <c r="AG1035" s="144">
        <f t="shared" si="2085"/>
        <v>0</v>
      </c>
      <c r="AH1035" s="76" t="str">
        <f t="shared" si="2086"/>
        <v/>
      </c>
      <c r="AI1035" s="143">
        <f> ( IF(ISNUMBER(G1035), VLOOKUP(G1035/$AH1035,F!$A1:$B101,2,1)*G1035*$H1035*$I1035,0)+IF(ISNUMBER(K1035), VLOOKUP(K1035/$AH1035,F!$A1:$B101,2,1)*K1035*$L1035*$M1035,0)+IF(ISNUMBER(O1035), VLOOKUP(O1035/$AH1035,F!$A1:$B101,2,1)*O1035*$P1035*$Q1035,0)+IF(ISNUMBER(S1035), VLOOKUP(S1035/$AH1035,F!$A1:$B101,2,1)*S1035*$T1035*$U1035,0)+IF(ISNUMBER(W1035), VLOOKUP(W1035/$AH1035,F!$A1:$B101,2,1)*W1035*$X1035*$Y1035,0)+IF(ISNUMBER(AA1035), VLOOKUP(AA1035/$AH1035,F!$A1:$B101,2,1)*AA1035*$AB1035*$AC1035,0))*IF(ISNUMBER(F1035),F1035,1)*IF(ISNUMBER(E1035),E1035,1)</f>
        <v>0</v>
      </c>
      <c r="AJ1035" s="140">
        <f t="shared" si="2087"/>
        <v>0</v>
      </c>
      <c r="AK1035" s="145">
        <f t="array" ref="AK1035">IFERROR(I1035*INDEX(F!$P$21:$AB$33, MATCH(G1035/$AH1035, F!$O$21:$O$33,1), MATCH(E1035, F!$P$20:$AB$20,1)), 0 ) +IFERROR( M1035*INDEX(F!$P$21:$AB$33, MATCH(K1035/$AH1035, F!$O$21:$O$33,1), MATCH(E1035, F!$P$20:$AB$20,1)),0) +  IFERROR( Q1035*INDEX(F!$P$21:$AB$33, MATCH(O1035/$AH1035, F!$O$21:$O$33,1), MATCH(E1035, F!$P$20:$AB$20,1)), 0) + IFERROR( U1035*INDEX(F!$P$21:$AB$33, MATCH(S1035/$AH1035, F!$O$21:$O$33,1), MATCH(E1035, F!$P$20:$AB$20,1)),0)  + IFERROR(Y1035*INDEX(F!$P$21:$AB$33, MATCH(W1035/$AH1035, F!$O$21:$O$33,1), MATCH(E1035, F!$P$20:$AB$20,1)),0)  + IFERROR( AC1035*INDEX(F!$P$21:$AB$33, MATCH(AA1035/$AH1035, F!$O$21:$O$33,1), MATCH(E1035, F!$P$20:$AB$20,1)),)</f>
        <v>0</v>
      </c>
      <c r="AL1035" s="59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</row>
    <row r="1036" ht="15.75" hidden="1" customHeight="1">
      <c r="A1036" s="59"/>
      <c r="B1036" s="173" t="str">
        <f t="shared" ref="B1036:F1036" si="2092">IF(B980="","",B980)</f>
        <v/>
      </c>
      <c r="C1036" s="174" t="str">
        <f t="shared" si="2092"/>
        <v/>
      </c>
      <c r="D1036" s="175" t="str">
        <f t="shared" si="2092"/>
        <v/>
      </c>
      <c r="E1036" s="48" t="str">
        <f t="shared" si="2092"/>
        <v/>
      </c>
      <c r="F1036" s="176" t="str">
        <f t="shared" si="2092"/>
        <v/>
      </c>
      <c r="G1036" s="177" t="str">
        <f t="shared" si="2078"/>
        <v/>
      </c>
      <c r="H1036" s="178"/>
      <c r="I1036" s="178"/>
      <c r="J1036" s="179"/>
      <c r="K1036" s="177" t="str">
        <f t="shared" si="2079"/>
        <v/>
      </c>
      <c r="L1036" s="178"/>
      <c r="M1036" s="178"/>
      <c r="N1036" s="179"/>
      <c r="O1036" s="177" t="str">
        <f t="shared" si="2080"/>
        <v/>
      </c>
      <c r="P1036" s="178"/>
      <c r="Q1036" s="178"/>
      <c r="R1036" s="179"/>
      <c r="S1036" s="177" t="str">
        <f t="shared" si="2081"/>
        <v/>
      </c>
      <c r="T1036" s="178"/>
      <c r="U1036" s="178"/>
      <c r="V1036" s="179"/>
      <c r="W1036" s="177" t="str">
        <f t="shared" si="2082"/>
        <v/>
      </c>
      <c r="X1036" s="178"/>
      <c r="Y1036" s="178"/>
      <c r="Z1036" s="179"/>
      <c r="AA1036" s="177" t="str">
        <f t="shared" si="2083"/>
        <v/>
      </c>
      <c r="AB1036" s="178"/>
      <c r="AC1036" s="178"/>
      <c r="AD1036" s="179"/>
      <c r="AE1036" s="180">
        <f t="shared" si="2084"/>
        <v>0</v>
      </c>
      <c r="AF1036" s="181">
        <f t="shared" si="2046"/>
        <v>0</v>
      </c>
      <c r="AG1036" s="182">
        <f t="shared" si="2085"/>
        <v>0</v>
      </c>
      <c r="AH1036" s="76" t="str">
        <f t="shared" si="2086"/>
        <v/>
      </c>
      <c r="AI1036" s="181">
        <f> ( IF(ISNUMBER(G1036), VLOOKUP(G1036/$AH1036,F!$A1:$B101,2,1)*G1036*$H1036*$I1036,0)+IF(ISNUMBER(K1036), VLOOKUP(K1036/$AH1036,F!$A1:$B101,2,1)*K1036*$L1036*$M1036,0)+IF(ISNUMBER(O1036), VLOOKUP(O1036/$AH1036,F!$A1:$B101,2,1)*O1036*$P1036*$Q1036,0)+IF(ISNUMBER(S1036), VLOOKUP(S1036/$AH1036,F!$A1:$B101,2,1)*S1036*$T1036*$U1036,0)+IF(ISNUMBER(W1036), VLOOKUP(W1036/$AH1036,F!$A1:$B101,2,1)*W1036*$X1036*$Y1036,0)+IF(ISNUMBER(AA1036), VLOOKUP(AA1036/$AH1036,F!$A1:$B101,2,1)*AA1036*$AB1036*$AC1036,0))*IF(ISNUMBER(F1036),F1036,1)*IF(ISNUMBER(E1036),E1036,1)</f>
        <v>0</v>
      </c>
      <c r="AJ1036" s="178">
        <f t="shared" si="2087"/>
        <v>0</v>
      </c>
      <c r="AK1036" s="183">
        <f t="array" ref="AK1036">IFERROR(I1036*INDEX(F!$P$21:$AB$33, MATCH(G1036/$AH1036, F!$O$21:$O$33,1), MATCH(E1036, F!$P$20:$AB$20,1)), 0 ) +IFERROR( M1036*INDEX(F!$P$21:$AB$33, MATCH(K1036/$AH1036, F!$O$21:$O$33,1), MATCH(E1036, F!$P$20:$AB$20,1)),0) +  IFERROR( Q1036*INDEX(F!$P$21:$AB$33, MATCH(O1036/$AH1036, F!$O$21:$O$33,1), MATCH(E1036, F!$P$20:$AB$20,1)), 0) + IFERROR( U1036*INDEX(F!$P$21:$AB$33, MATCH(S1036/$AH1036, F!$O$21:$O$33,1), MATCH(E1036, F!$P$20:$AB$20,1)),0)  + IFERROR(Y1036*INDEX(F!$P$21:$AB$33, MATCH(W1036/$AH1036, F!$O$21:$O$33,1), MATCH(E1036, F!$P$20:$AB$20,1)),0)  + IFERROR( AC1036*INDEX(F!$P$21:$AB$33, MATCH(AA1036/$AH1036, F!$O$21:$O$33,1), MATCH(E1036, F!$P$20:$AB$20,1)),)</f>
        <v>0</v>
      </c>
      <c r="AL1036" s="59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</row>
    <row r="1037" ht="15.75" hidden="1" customHeight="1">
      <c r="A1037" s="59"/>
      <c r="B1037" s="135" t="str">
        <f t="shared" ref="B1037:F1037" si="2093">IF(B981="","",B981)</f>
        <v/>
      </c>
      <c r="C1037" s="136" t="str">
        <f t="shared" si="2093"/>
        <v/>
      </c>
      <c r="D1037" s="137" t="str">
        <f t="shared" si="2093"/>
        <v/>
      </c>
      <c r="E1037" s="48" t="str">
        <f t="shared" si="2093"/>
        <v/>
      </c>
      <c r="F1037" s="138" t="str">
        <f t="shared" si="2093"/>
        <v/>
      </c>
      <c r="G1037" s="139" t="str">
        <f t="shared" si="2078"/>
        <v/>
      </c>
      <c r="H1037" s="140"/>
      <c r="I1037" s="140"/>
      <c r="J1037" s="141"/>
      <c r="K1037" s="139" t="str">
        <f t="shared" si="2079"/>
        <v/>
      </c>
      <c r="L1037" s="140"/>
      <c r="M1037" s="140"/>
      <c r="N1037" s="141"/>
      <c r="O1037" s="139" t="str">
        <f t="shared" si="2080"/>
        <v/>
      </c>
      <c r="P1037" s="140"/>
      <c r="Q1037" s="140"/>
      <c r="R1037" s="141"/>
      <c r="S1037" s="139" t="str">
        <f t="shared" si="2081"/>
        <v/>
      </c>
      <c r="T1037" s="140"/>
      <c r="U1037" s="140"/>
      <c r="V1037" s="141"/>
      <c r="W1037" s="139" t="str">
        <f t="shared" si="2082"/>
        <v/>
      </c>
      <c r="X1037" s="140"/>
      <c r="Y1037" s="140"/>
      <c r="Z1037" s="141"/>
      <c r="AA1037" s="139" t="str">
        <f t="shared" si="2083"/>
        <v/>
      </c>
      <c r="AB1037" s="140"/>
      <c r="AC1037" s="140"/>
      <c r="AD1037" s="141"/>
      <c r="AE1037" s="142">
        <f t="shared" si="2084"/>
        <v>0</v>
      </c>
      <c r="AF1037" s="143">
        <f t="shared" si="2046"/>
        <v>0</v>
      </c>
      <c r="AG1037" s="144">
        <f t="shared" si="2085"/>
        <v>0</v>
      </c>
      <c r="AH1037" s="76" t="str">
        <f t="shared" si="2086"/>
        <v/>
      </c>
      <c r="AI1037" s="143">
        <f> ( IF(ISNUMBER(G1037), VLOOKUP(G1037/$AH1037,F!$A1:$B101,2,1)*G1037*$H1037*$I1037,0)+IF(ISNUMBER(K1037), VLOOKUP(K1037/$AH1037,F!$A1:$B101,2,1)*K1037*$L1037*$M1037,0)+IF(ISNUMBER(O1037), VLOOKUP(O1037/$AH1037,F!$A1:$B101,2,1)*O1037*$P1037*$Q1037,0)+IF(ISNUMBER(S1037), VLOOKUP(S1037/$AH1037,F!$A1:$B101,2,1)*S1037*$T1037*$U1037,0)+IF(ISNUMBER(W1037), VLOOKUP(W1037/$AH1037,F!$A1:$B101,2,1)*W1037*$X1037*$Y1037,0)+IF(ISNUMBER(AA1037), VLOOKUP(AA1037/$AH1037,F!$A1:$B101,2,1)*AA1037*$AB1037*$AC1037,0))*IF(ISNUMBER(F1037),F1037,1)*IF(ISNUMBER(E1037),E1037,1)</f>
        <v>0</v>
      </c>
      <c r="AJ1037" s="140">
        <f t="shared" si="2087"/>
        <v>0</v>
      </c>
      <c r="AK1037" s="145">
        <f t="array" ref="AK1037">IFERROR(I1037*INDEX(F!$P$21:$AB$33, MATCH(G1037/$AH1037, F!$O$21:$O$33,1), MATCH(E1037, F!$P$20:$AB$20,1)), 0 ) +IFERROR( M1037*INDEX(F!$P$21:$AB$33, MATCH(K1037/$AH1037, F!$O$21:$O$33,1), MATCH(E1037, F!$P$20:$AB$20,1)),0) +  IFERROR( Q1037*INDEX(F!$P$21:$AB$33, MATCH(O1037/$AH1037, F!$O$21:$O$33,1), MATCH(E1037, F!$P$20:$AB$20,1)), 0) + IFERROR( U1037*INDEX(F!$P$21:$AB$33, MATCH(S1037/$AH1037, F!$O$21:$O$33,1), MATCH(E1037, F!$P$20:$AB$20,1)),0)  + IFERROR(Y1037*INDEX(F!$P$21:$AB$33, MATCH(W1037/$AH1037, F!$O$21:$O$33,1), MATCH(E1037, F!$P$20:$AB$20,1)),0)  + IFERROR( AC1037*INDEX(F!$P$21:$AB$33, MATCH(AA1037/$AH1037, F!$O$21:$O$33,1), MATCH(E1037, F!$P$20:$AB$20,1)),)</f>
        <v>0</v>
      </c>
      <c r="AL1037" s="59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</row>
    <row r="1038" ht="15.75" hidden="1" customHeight="1">
      <c r="A1038" s="98"/>
      <c r="B1038" s="188"/>
      <c r="C1038" s="189"/>
      <c r="D1038" s="190"/>
      <c r="E1038" s="102">
        <f>ROUND(IFERROR(SUMPRODUCT(AJ1030:AJ1037,E1030:E1037)/AJ1038,0),3)</f>
        <v>0</v>
      </c>
      <c r="F1038" s="191"/>
      <c r="G1038" s="192"/>
      <c r="H1038" s="193"/>
      <c r="I1038" s="193"/>
      <c r="J1038" s="194"/>
      <c r="K1038" s="192"/>
      <c r="L1038" s="193"/>
      <c r="M1038" s="193"/>
      <c r="N1038" s="194"/>
      <c r="O1038" s="192"/>
      <c r="P1038" s="193"/>
      <c r="Q1038" s="193"/>
      <c r="R1038" s="194"/>
      <c r="S1038" s="192"/>
      <c r="T1038" s="193"/>
      <c r="U1038" s="193"/>
      <c r="V1038" s="194"/>
      <c r="W1038" s="192"/>
      <c r="X1038" s="193"/>
      <c r="Y1038" s="193"/>
      <c r="Z1038" s="194"/>
      <c r="AA1038" s="192"/>
      <c r="AB1038" s="193"/>
      <c r="AC1038" s="193"/>
      <c r="AD1038" s="194"/>
      <c r="AE1038" s="107">
        <f>SUM(AE1030:AE1037)</f>
        <v>0</v>
      </c>
      <c r="AF1038" s="108">
        <f t="shared" si="2046"/>
        <v>0</v>
      </c>
      <c r="AG1038" s="109">
        <f>IFERROR(  SUMPRODUCT(AG1030:AG1037,AJ1030:AJ1037)/AJ1038,0)</f>
        <v>0</v>
      </c>
      <c r="AH1038" s="157"/>
      <c r="AI1038" s="111">
        <f t="shared" ref="AI1038:AJ1038" si="2094">SUM(AI1030:AI1037)</f>
        <v>0</v>
      </c>
      <c r="AJ1038" s="111">
        <f t="shared" si="2094"/>
        <v>0</v>
      </c>
      <c r="AK1038" s="112">
        <f>IF(SUM(AK1030:AK1037)=0,TIME(,0,),TIME(,SUM(AK1030:AK1037)+F!$V$37,))</f>
        <v>0</v>
      </c>
      <c r="AL1038" s="98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</row>
    <row r="1039" ht="15.75" hidden="1" customHeight="1">
      <c r="A1039" s="25">
        <f>A1040</f>
        <v>43911</v>
      </c>
      <c r="B1039" s="26" t="str">
        <f t="shared" ref="B1039:F1039" si="2095">IF(B983="","",B983)</f>
        <v/>
      </c>
      <c r="C1039" s="27" t="str">
        <f t="shared" si="2095"/>
        <v/>
      </c>
      <c r="D1039" s="28" t="str">
        <f t="shared" si="2095"/>
        <v/>
      </c>
      <c r="E1039" s="29" t="str">
        <f t="shared" si="2095"/>
        <v/>
      </c>
      <c r="F1039" s="30" t="str">
        <f t="shared" si="2095"/>
        <v/>
      </c>
      <c r="G1039" s="31" t="str">
        <f t="shared" ref="G1039:G1046" si="2097">IF(J1039&lt;&gt;0, IFERROR(IF( $F1039=2,  MROUND($AH1039*J1039,1),    IF( OR($F1039="",$F1039=1),   MROUND($AH1039*J1039,2.5),  MROUND($AH1039*J1039, 0.1))), "" ), "")</f>
        <v/>
      </c>
      <c r="H1039" s="32"/>
      <c r="I1039" s="32"/>
      <c r="J1039" s="33"/>
      <c r="K1039" s="31" t="str">
        <f t="shared" ref="K1039:K1046" si="2098">IF(N1039&lt;&gt;0, IFERROR(IF( $F1039=2,  MROUND($AH1039*N1039,1),    IF( OR($F1039="",$F1039=1),   MROUND($AH1039*N1039,2.5),  MROUND($AH1039*N1039, 0.1))), "" ), "")</f>
        <v/>
      </c>
      <c r="L1039" s="32"/>
      <c r="M1039" s="32"/>
      <c r="N1039" s="33"/>
      <c r="O1039" s="31" t="str">
        <f t="shared" ref="O1039:O1046" si="2099">IF(R1039&lt;&gt;0, IFERROR(IF( $F1039=2,  MROUND($AH1039*R1039,1),    IF( OR($F1039="",$F1039=1),   MROUND($AH1039*R1039,2.5),  MROUND($AH1039*R1039, 0.1))), "" ), "")</f>
        <v/>
      </c>
      <c r="P1039" s="32"/>
      <c r="Q1039" s="32"/>
      <c r="R1039" s="33"/>
      <c r="S1039" s="31" t="str">
        <f t="shared" ref="S1039:S1046" si="2100">IF(V1039&lt;&gt;0, IFERROR(IF( $F1039=2,  MROUND($AH1039*V1039,1),    IF( OR($F1039="",$F1039=1),   MROUND($AH1039*V1039,2.5),  MROUND($AH1039*V1039, 0.1))), "" ), "")</f>
        <v/>
      </c>
      <c r="T1039" s="32"/>
      <c r="U1039" s="32"/>
      <c r="V1039" s="33"/>
      <c r="W1039" s="31" t="str">
        <f t="shared" ref="W1039:W1046" si="2101">IF(Z1039&lt;&gt;0, IFERROR(IF( $F1039=2,  MROUND($AH1039*Z1039,1),    IF( OR($F1039="",$F1039=1),   MROUND($AH1039*Z1039,2.5),  MROUND($AH1039*Z1039, 0.1))), "" ), "")</f>
        <v/>
      </c>
      <c r="X1039" s="32"/>
      <c r="Y1039" s="32"/>
      <c r="Z1039" s="33"/>
      <c r="AA1039" s="31" t="str">
        <f t="shared" ref="AA1039:AA1046" si="2102">IF(AD1039&lt;&gt;0, IFERROR(IF( $F1039=2,  MROUND($AH1039*AD1039,1),    IF( OR($F1039="",$F1039=1),   MROUND($AH1039*AD1039,2.5),  MROUND($AH1039*AD1039, 0.1))), "" ), "")</f>
        <v/>
      </c>
      <c r="AB1039" s="32"/>
      <c r="AC1039" s="32"/>
      <c r="AD1039" s="33"/>
      <c r="AE1039" s="35">
        <f t="shared" ref="AE1039:AE1046" si="2103">(IF(ISNUMBER(G1039),G1039,0)*H1039*I1039+IF(ISNUMBER(K1039),K1039,1)*L1039*M1039+IF(ISNUMBER(O1039),O1039,1)*P1039*Q1039+IF(ISNUMBER(S1039),S1039,1)*T1039*U1039+IF(ISNUMBER(W1039),W1039,1)*X1039*Y1039+IF(ISNUMBER(AA1039),AA1039,1)*AB1039*AC1039)*IF(ISNUMBER(F1039),F1039,1)</f>
        <v>0</v>
      </c>
      <c r="AF1039" s="36">
        <f t="shared" si="2046"/>
        <v>0</v>
      </c>
      <c r="AG1039" s="195">
        <f t="shared" ref="AG1039:AG1046" si="2104">IFERROR((AF1039/(AH1039*IF(ISNUMBER(F1039),F1039,1))),0)</f>
        <v>0</v>
      </c>
      <c r="AH1039" s="169" t="str">
        <f t="shared" ref="AH1039:AH1046" si="2105">IF(ISNUMBER(AH983), AH983+(AH983*$AH$1010),"")</f>
        <v/>
      </c>
      <c r="AI1039" s="196">
        <f> ( IF(ISNUMBER(G1039), VLOOKUP(G1039/$AH1039,F!$A1:$B101,2,1)*G1039*$H1039*$I1039,0)+IF(ISNUMBER(K1039), VLOOKUP(K1039/$AH1039,F!$A1:$B101,2,1)*K1039*$L1039*$M1039,0)+IF(ISNUMBER(O1039), VLOOKUP(O1039/$AH1039,F!$A1:$B101,2,1)*O1039*$P1039*$Q1039,0)+IF(ISNUMBER(S1039), VLOOKUP(S1039/$AH1039,F!$A1:$B101,2,1)*S1039*$T1039*$U1039,0)+IF(ISNUMBER(W1039), VLOOKUP(W1039/$AH1039,F!$A1:$B101,2,1)*W1039*$X1039*$Y1039,0)+IF(ISNUMBER(AA1039), VLOOKUP(AA1039/$AH1039,F!$A1:$B101,2,1)*AA1039*$AB1039*$AC1039,0))*IF(ISNUMBER(F1039),F1039,1)*IF(ISNUMBER(E1039),E1039,1)</f>
        <v>0</v>
      </c>
      <c r="AJ1039" s="40">
        <f t="shared" ref="AJ1039:AJ1046" si="2106">H1039*I1039+L1039*M1039+P1039*Q1039+T1039*U1039+X1039*Y1039+AB1039*AC1039</f>
        <v>0</v>
      </c>
      <c r="AK1039" s="41">
        <f t="array" ref="AK1039">IFERROR(I1039*INDEX(F!$P$21:$AB$33, MATCH(G1039/$AH1039, F!$O$21:$O$33,1), MATCH(E1039, F!$P$20:$AB$20,1)), 0 ) +IFERROR( M1039*INDEX(F!$P$21:$AB$33, MATCH(K1039/$AH1039, F!$O$21:$O$33,1), MATCH(E1039, F!$P$20:$AB$20,1)),0) +  IFERROR( Q1039*INDEX(F!$P$21:$AB$33, MATCH(O1039/$AH1039, F!$O$21:$O$33,1), MATCH(E1039, F!$P$20:$AB$20,1)), 0) + IFERROR( U1039*INDEX(F!$P$21:$AB$33, MATCH(S1039/$AH1039, F!$O$21:$O$33,1), MATCH(E1039, F!$P$20:$AB$20,1)),0)  + IFERROR(Y1039*INDEX(F!$P$21:$AB$33, MATCH(W1039/$AH1039, F!$O$21:$O$33,1), MATCH(E1039, F!$P$20:$AB$20,1)),0)  + IFERROR( AC1039*INDEX(F!$P$21:$AB$33, MATCH(AA1039/$AH1039, F!$O$21:$O$33,1), MATCH(E1039, F!$P$20:$AB$20,1)),)</f>
        <v>0</v>
      </c>
      <c r="AL1039" s="42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</row>
    <row r="1040" ht="15.75" hidden="1" customHeight="1">
      <c r="A1040" s="44">
        <f>A984+A954</f>
        <v>43911</v>
      </c>
      <c r="B1040" s="45" t="str">
        <f t="shared" ref="B1040:F1040" si="2096">IF(B984="","",B984)</f>
        <v/>
      </c>
      <c r="C1040" s="46" t="str">
        <f t="shared" si="2096"/>
        <v/>
      </c>
      <c r="D1040" s="47" t="str">
        <f t="shared" si="2096"/>
        <v/>
      </c>
      <c r="E1040" s="48" t="str">
        <f t="shared" si="2096"/>
        <v/>
      </c>
      <c r="F1040" s="49" t="str">
        <f t="shared" si="2096"/>
        <v/>
      </c>
      <c r="G1040" s="50" t="str">
        <f t="shared" si="2097"/>
        <v/>
      </c>
      <c r="H1040" s="51"/>
      <c r="I1040" s="51"/>
      <c r="J1040" s="52"/>
      <c r="K1040" s="50" t="str">
        <f t="shared" si="2098"/>
        <v/>
      </c>
      <c r="L1040" s="51"/>
      <c r="M1040" s="51"/>
      <c r="N1040" s="52"/>
      <c r="O1040" s="50" t="str">
        <f t="shared" si="2099"/>
        <v/>
      </c>
      <c r="P1040" s="51"/>
      <c r="Q1040" s="51"/>
      <c r="R1040" s="52"/>
      <c r="S1040" s="50" t="str">
        <f t="shared" si="2100"/>
        <v/>
      </c>
      <c r="T1040" s="51"/>
      <c r="U1040" s="51"/>
      <c r="V1040" s="52"/>
      <c r="W1040" s="50" t="str">
        <f t="shared" si="2101"/>
        <v/>
      </c>
      <c r="X1040" s="51"/>
      <c r="Y1040" s="51"/>
      <c r="Z1040" s="52"/>
      <c r="AA1040" s="50" t="str">
        <f t="shared" si="2102"/>
        <v/>
      </c>
      <c r="AB1040" s="51"/>
      <c r="AC1040" s="51"/>
      <c r="AD1040" s="52"/>
      <c r="AE1040" s="53">
        <f t="shared" si="2103"/>
        <v>0</v>
      </c>
      <c r="AF1040" s="54">
        <f t="shared" si="2046"/>
        <v>0</v>
      </c>
      <c r="AG1040" s="75">
        <f t="shared" si="2104"/>
        <v>0</v>
      </c>
      <c r="AH1040" s="76" t="str">
        <f t="shared" si="2105"/>
        <v/>
      </c>
      <c r="AI1040" s="77">
        <f> ( IF(ISNUMBER(G1040), VLOOKUP(G1040/$AH1040,F!$A1:$B101,2,1)*G1040*$H1040*$I1040,0)+IF(ISNUMBER(K1040), VLOOKUP(K1040/$AH1040,F!$A1:$B101,2,1)*K1040*$L1040*$M1040,0)+IF(ISNUMBER(O1040), VLOOKUP(O1040/$AH1040,F!$A1:$B101,2,1)*O1040*$P1040*$Q1040,0)+IF(ISNUMBER(S1040), VLOOKUP(S1040/$AH1040,F!$A1:$B101,2,1)*S1040*$T1040*$U1040,0)+IF(ISNUMBER(W1040), VLOOKUP(W1040/$AH1040,F!$A1:$B101,2,1)*W1040*$X1040*$Y1040,0)+IF(ISNUMBER(AA1040), VLOOKUP(AA1040/$AH1040,F!$A1:$B101,2,1)*AA1040*$AB1040*$AC1040,0))*IF(ISNUMBER(F1040),F1040,1)*IF(ISNUMBER(E1040),E1040,1)</f>
        <v>0</v>
      </c>
      <c r="AJ1040" s="57">
        <f t="shared" si="2106"/>
        <v>0</v>
      </c>
      <c r="AK1040" s="58">
        <f t="array" ref="AK1040">IFERROR(I1040*INDEX(F!$P$21:$AB$33, MATCH(G1040/$AH1040, F!$O$21:$O$33,1), MATCH(E1040, F!$P$20:$AB$20,1)), 0 ) +IFERROR( M1040*INDEX(F!$P$21:$AB$33, MATCH(K1040/$AH1040, F!$O$21:$O$33,1), MATCH(E1040, F!$P$20:$AB$20,1)),0) +  IFERROR( Q1040*INDEX(F!$P$21:$AB$33, MATCH(O1040/$AH1040, F!$O$21:$O$33,1), MATCH(E1040, F!$P$20:$AB$20,1)), 0) + IFERROR( U1040*INDEX(F!$P$21:$AB$33, MATCH(S1040/$AH1040, F!$O$21:$O$33,1), MATCH(E1040, F!$P$20:$AB$20,1)),0)  + IFERROR(Y1040*INDEX(F!$P$21:$AB$33, MATCH(W1040/$AH1040, F!$O$21:$O$33,1), MATCH(E1040, F!$P$20:$AB$20,1)),0)  + IFERROR( AC1040*INDEX(F!$P$21:$AB$33, MATCH(AA1040/$AH1040, F!$O$21:$O$33,1), MATCH(E1040, F!$P$20:$AB$20,1)),)</f>
        <v>0</v>
      </c>
      <c r="AL1040" s="59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</row>
    <row r="1041" ht="15.75" hidden="1" customHeight="1">
      <c r="A1041" s="59"/>
      <c r="B1041" s="60" t="str">
        <f t="shared" ref="B1041:F1041" si="2107">IF(B985="","",B985)</f>
        <v/>
      </c>
      <c r="C1041" s="61" t="str">
        <f t="shared" si="2107"/>
        <v/>
      </c>
      <c r="D1041" s="62" t="str">
        <f t="shared" si="2107"/>
        <v/>
      </c>
      <c r="E1041" s="48" t="str">
        <f t="shared" si="2107"/>
        <v/>
      </c>
      <c r="F1041" s="63" t="str">
        <f t="shared" si="2107"/>
        <v/>
      </c>
      <c r="G1041" s="64" t="str">
        <f t="shared" si="2097"/>
        <v/>
      </c>
      <c r="H1041" s="34"/>
      <c r="I1041" s="34"/>
      <c r="J1041" s="65"/>
      <c r="K1041" s="64" t="str">
        <f t="shared" si="2098"/>
        <v/>
      </c>
      <c r="L1041" s="34"/>
      <c r="M1041" s="34"/>
      <c r="N1041" s="65"/>
      <c r="O1041" s="64" t="str">
        <f t="shared" si="2099"/>
        <v/>
      </c>
      <c r="P1041" s="34"/>
      <c r="Q1041" s="34"/>
      <c r="R1041" s="65"/>
      <c r="S1041" s="64" t="str">
        <f t="shared" si="2100"/>
        <v/>
      </c>
      <c r="T1041" s="34"/>
      <c r="U1041" s="34"/>
      <c r="V1041" s="65"/>
      <c r="W1041" s="64" t="str">
        <f t="shared" si="2101"/>
        <v/>
      </c>
      <c r="X1041" s="34"/>
      <c r="Y1041" s="34"/>
      <c r="Z1041" s="65"/>
      <c r="AA1041" s="64" t="str">
        <f t="shared" si="2102"/>
        <v/>
      </c>
      <c r="AB1041" s="34"/>
      <c r="AC1041" s="34"/>
      <c r="AD1041" s="65"/>
      <c r="AE1041" s="66">
        <f t="shared" si="2103"/>
        <v>0</v>
      </c>
      <c r="AF1041" s="67">
        <f t="shared" si="2046"/>
        <v>0</v>
      </c>
      <c r="AG1041" s="68">
        <f t="shared" si="2104"/>
        <v>0</v>
      </c>
      <c r="AH1041" s="76" t="str">
        <f t="shared" si="2105"/>
        <v/>
      </c>
      <c r="AI1041" s="70">
        <f> ( IF(ISNUMBER(G1041), VLOOKUP(G1041/$AH1041,F!$A1:$B101,2,1)*G1041*$H1041*$I1041,0)+IF(ISNUMBER(K1041), VLOOKUP(K1041/$AH1041,F!$A1:$B101,2,1)*K1041*$L1041*$M1041,0)+IF(ISNUMBER(O1041), VLOOKUP(O1041/$AH1041,F!$A1:$B101,2,1)*O1041*$P1041*$Q1041,0)+IF(ISNUMBER(S1041), VLOOKUP(S1041/$AH1041,F!$A1:$B101,2,1)*S1041*$T1041*$U1041,0)+IF(ISNUMBER(W1041), VLOOKUP(W1041/$AH1041,F!$A1:$B101,2,1)*W1041*$X1041*$Y1041,0)+IF(ISNUMBER(AA1041), VLOOKUP(AA1041/$AH1041,F!$A1:$B101,2,1)*AA1041*$AB1041*$AC1041,0))*IF(ISNUMBER(F1041),F1041,1)*IF(ISNUMBER(E1041),E1041,1)</f>
        <v>0</v>
      </c>
      <c r="AJ1041" s="71">
        <f t="shared" si="2106"/>
        <v>0</v>
      </c>
      <c r="AK1041" s="72">
        <f t="array" ref="AK1041">IFERROR(I1041*INDEX(F!$P$21:$AB$33, MATCH(G1041/$AH1041, F!$O$21:$O$33,1), MATCH(E1041, F!$P$20:$AB$20,1)), 0 ) +IFERROR( M1041*INDEX(F!$P$21:$AB$33, MATCH(K1041/$AH1041, F!$O$21:$O$33,1), MATCH(E1041, F!$P$20:$AB$20,1)),0) +  IFERROR( Q1041*INDEX(F!$P$21:$AB$33, MATCH(O1041/$AH1041, F!$O$21:$O$33,1), MATCH(E1041, F!$P$20:$AB$20,1)), 0) + IFERROR( U1041*INDEX(F!$P$21:$AB$33, MATCH(S1041/$AH1041, F!$O$21:$O$33,1), MATCH(E1041, F!$P$20:$AB$20,1)),0)  + IFERROR(Y1041*INDEX(F!$P$21:$AB$33, MATCH(W1041/$AH1041, F!$O$21:$O$33,1), MATCH(E1041, F!$P$20:$AB$20,1)),0)  + IFERROR( AC1041*INDEX(F!$P$21:$AB$33, MATCH(AA1041/$AH1041, F!$O$21:$O$33,1), MATCH(E1041, F!$P$20:$AB$20,1)),)</f>
        <v>0</v>
      </c>
      <c r="AL1041" s="59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</row>
    <row r="1042" ht="15.75" hidden="1" customHeight="1">
      <c r="A1042" s="59"/>
      <c r="B1042" s="215" t="str">
        <f t="shared" ref="B1042:F1042" si="2108">IF(B986="","",B986)</f>
        <v/>
      </c>
      <c r="C1042" s="73" t="str">
        <f t="shared" si="2108"/>
        <v/>
      </c>
      <c r="D1042" s="47" t="str">
        <f t="shared" si="2108"/>
        <v/>
      </c>
      <c r="E1042" s="48" t="str">
        <f t="shared" si="2108"/>
        <v/>
      </c>
      <c r="F1042" s="74" t="str">
        <f t="shared" si="2108"/>
        <v/>
      </c>
      <c r="G1042" s="50" t="str">
        <f t="shared" si="2097"/>
        <v/>
      </c>
      <c r="H1042" s="51"/>
      <c r="I1042" s="51"/>
      <c r="J1042" s="52"/>
      <c r="K1042" s="50" t="str">
        <f t="shared" si="2098"/>
        <v/>
      </c>
      <c r="L1042" s="51"/>
      <c r="M1042" s="51"/>
      <c r="N1042" s="52"/>
      <c r="O1042" s="50" t="str">
        <f t="shared" si="2099"/>
        <v/>
      </c>
      <c r="P1042" s="51"/>
      <c r="Q1042" s="51"/>
      <c r="R1042" s="52"/>
      <c r="S1042" s="50" t="str">
        <f t="shared" si="2100"/>
        <v/>
      </c>
      <c r="T1042" s="51"/>
      <c r="U1042" s="51"/>
      <c r="V1042" s="52"/>
      <c r="W1042" s="50" t="str">
        <f t="shared" si="2101"/>
        <v/>
      </c>
      <c r="X1042" s="51"/>
      <c r="Y1042" s="51"/>
      <c r="Z1042" s="52"/>
      <c r="AA1042" s="50" t="str">
        <f t="shared" si="2102"/>
        <v/>
      </c>
      <c r="AB1042" s="51"/>
      <c r="AC1042" s="51"/>
      <c r="AD1042" s="52"/>
      <c r="AE1042" s="53">
        <f t="shared" si="2103"/>
        <v>0</v>
      </c>
      <c r="AF1042" s="54">
        <f t="shared" si="2046"/>
        <v>0</v>
      </c>
      <c r="AG1042" s="75">
        <f t="shared" si="2104"/>
        <v>0</v>
      </c>
      <c r="AH1042" s="76" t="str">
        <f t="shared" si="2105"/>
        <v/>
      </c>
      <c r="AI1042" s="77">
        <f> ( IF(ISNUMBER(G1042), VLOOKUP(G1042/$AH1042,F!$A1:$B101,2,1)*G1042*$H1042*$I1042,0)+IF(ISNUMBER(K1042), VLOOKUP(K1042/$AH1042,F!$A1:$B101,2,1)*K1042*$L1042*$M1042,0)+IF(ISNUMBER(O1042), VLOOKUP(O1042/$AH1042,F!$A1:$B101,2,1)*O1042*$P1042*$Q1042,0)+IF(ISNUMBER(S1042), VLOOKUP(S1042/$AH1042,F!$A1:$B101,2,1)*S1042*$T1042*$U1042,0)+IF(ISNUMBER(W1042), VLOOKUP(W1042/$AH1042,F!$A1:$B101,2,1)*W1042*$X1042*$Y1042,0)+IF(ISNUMBER(AA1042), VLOOKUP(AA1042/$AH1042,F!$A1:$B101,2,1)*AA1042*$AB1042*$AC1042,0))*IF(ISNUMBER(F1042),F1042,1)*IF(ISNUMBER(E1042),E1042,1)</f>
        <v>0</v>
      </c>
      <c r="AJ1042" s="57">
        <f t="shared" si="2106"/>
        <v>0</v>
      </c>
      <c r="AK1042" s="58">
        <f t="array" ref="AK1042">IFERROR(I1042*INDEX(F!$P$21:$AB$33, MATCH(G1042/$AH1042, F!$O$21:$O$33,1), MATCH(E1042, F!$P$20:$AB$20,1)), 0 ) +IFERROR( M1042*INDEX(F!$P$21:$AB$33, MATCH(K1042/$AH1042, F!$O$21:$O$33,1), MATCH(E1042, F!$P$20:$AB$20,1)),0) +  IFERROR( Q1042*INDEX(F!$P$21:$AB$33, MATCH(O1042/$AH1042, F!$O$21:$O$33,1), MATCH(E1042, F!$P$20:$AB$20,1)), 0) + IFERROR( U1042*INDEX(F!$P$21:$AB$33, MATCH(S1042/$AH1042, F!$O$21:$O$33,1), MATCH(E1042, F!$P$20:$AB$20,1)),0)  + IFERROR(Y1042*INDEX(F!$P$21:$AB$33, MATCH(W1042/$AH1042, F!$O$21:$O$33,1), MATCH(E1042, F!$P$20:$AB$20,1)),0)  + IFERROR( AC1042*INDEX(F!$P$21:$AB$33, MATCH(AA1042/$AH1042, F!$O$21:$O$33,1), MATCH(E1042, F!$P$20:$AB$20,1)),)</f>
        <v>0</v>
      </c>
      <c r="AL1042" s="59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</row>
    <row r="1043" ht="15.75" hidden="1" customHeight="1">
      <c r="A1043" s="59"/>
      <c r="B1043" s="216" t="str">
        <f t="shared" ref="B1043:F1043" si="2109">IF(B987="","",B987)</f>
        <v/>
      </c>
      <c r="C1043" s="78" t="str">
        <f t="shared" si="2109"/>
        <v/>
      </c>
      <c r="D1043" s="62" t="str">
        <f t="shared" si="2109"/>
        <v/>
      </c>
      <c r="E1043" s="48" t="str">
        <f t="shared" si="2109"/>
        <v/>
      </c>
      <c r="F1043" s="79" t="str">
        <f t="shared" si="2109"/>
        <v/>
      </c>
      <c r="G1043" s="64" t="str">
        <f t="shared" si="2097"/>
        <v/>
      </c>
      <c r="H1043" s="34"/>
      <c r="I1043" s="34"/>
      <c r="J1043" s="65"/>
      <c r="K1043" s="64" t="str">
        <f t="shared" si="2098"/>
        <v/>
      </c>
      <c r="L1043" s="34"/>
      <c r="M1043" s="34"/>
      <c r="N1043" s="65"/>
      <c r="O1043" s="64" t="str">
        <f t="shared" si="2099"/>
        <v/>
      </c>
      <c r="P1043" s="34"/>
      <c r="Q1043" s="34"/>
      <c r="R1043" s="65"/>
      <c r="S1043" s="64" t="str">
        <f t="shared" si="2100"/>
        <v/>
      </c>
      <c r="T1043" s="34"/>
      <c r="U1043" s="34"/>
      <c r="V1043" s="65"/>
      <c r="W1043" s="64" t="str">
        <f t="shared" si="2101"/>
        <v/>
      </c>
      <c r="X1043" s="34"/>
      <c r="Y1043" s="34"/>
      <c r="Z1043" s="65"/>
      <c r="AA1043" s="64" t="str">
        <f t="shared" si="2102"/>
        <v/>
      </c>
      <c r="AB1043" s="34"/>
      <c r="AC1043" s="34"/>
      <c r="AD1043" s="65"/>
      <c r="AE1043" s="66">
        <f t="shared" si="2103"/>
        <v>0</v>
      </c>
      <c r="AF1043" s="67">
        <f t="shared" si="2046"/>
        <v>0</v>
      </c>
      <c r="AG1043" s="68">
        <f t="shared" si="2104"/>
        <v>0</v>
      </c>
      <c r="AH1043" s="76" t="str">
        <f t="shared" si="2105"/>
        <v/>
      </c>
      <c r="AI1043" s="70">
        <f> ( IF(ISNUMBER(G1043), VLOOKUP(G1043/$AH1043,F!$A1:$B101,2,1)*G1043*$H1043*$I1043,0)+IF(ISNUMBER(K1043), VLOOKUP(K1043/$AH1043,F!$A1:$B101,2,1)*K1043*$L1043*$M1043,0)+IF(ISNUMBER(O1043), VLOOKUP(O1043/$AH1043,F!$A1:$B101,2,1)*O1043*$P1043*$Q1043,0)+IF(ISNUMBER(S1043), VLOOKUP(S1043/$AH1043,F!$A1:$B101,2,1)*S1043*$T1043*$U1043,0)+IF(ISNUMBER(W1043), VLOOKUP(W1043/$AH1043,F!$A1:$B101,2,1)*W1043*$X1043*$Y1043,0)+IF(ISNUMBER(AA1043), VLOOKUP(AA1043/$AH1043,F!$A1:$B101,2,1)*AA1043*$AB1043*$AC1043,0))*IF(ISNUMBER(F1043),F1043,1)*IF(ISNUMBER(E1043),E1043,1)</f>
        <v>0</v>
      </c>
      <c r="AJ1043" s="71">
        <f t="shared" si="2106"/>
        <v>0</v>
      </c>
      <c r="AK1043" s="72">
        <f t="array" ref="AK1043">IFERROR(I1043*INDEX(F!$P$21:$AB$33, MATCH(G1043/$AH1043, F!$O$21:$O$33,1), MATCH(E1043, F!$P$20:$AB$20,1)), 0 ) +IFERROR( M1043*INDEX(F!$P$21:$AB$33, MATCH(K1043/$AH1043, F!$O$21:$O$33,1), MATCH(E1043, F!$P$20:$AB$20,1)),0) +  IFERROR( Q1043*INDEX(F!$P$21:$AB$33, MATCH(O1043/$AH1043, F!$O$21:$O$33,1), MATCH(E1043, F!$P$20:$AB$20,1)), 0) + IFERROR( U1043*INDEX(F!$P$21:$AB$33, MATCH(S1043/$AH1043, F!$O$21:$O$33,1), MATCH(E1043, F!$P$20:$AB$20,1)),0)  + IFERROR(Y1043*INDEX(F!$P$21:$AB$33, MATCH(W1043/$AH1043, F!$O$21:$O$33,1), MATCH(E1043, F!$P$20:$AB$20,1)),0)  + IFERROR( AC1043*INDEX(F!$P$21:$AB$33, MATCH(AA1043/$AH1043, F!$O$21:$O$33,1), MATCH(E1043, F!$P$20:$AB$20,1)),)</f>
        <v>0</v>
      </c>
      <c r="AL1043" s="59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</row>
    <row r="1044" ht="15.75" hidden="1" customHeight="1">
      <c r="A1044" s="59"/>
      <c r="B1044" s="45" t="str">
        <f t="shared" ref="B1044:F1044" si="2110">IF(B988="","",B988)</f>
        <v/>
      </c>
      <c r="C1044" s="46" t="str">
        <f t="shared" si="2110"/>
        <v/>
      </c>
      <c r="D1044" s="197" t="str">
        <f t="shared" si="2110"/>
        <v/>
      </c>
      <c r="E1044" s="48" t="str">
        <f t="shared" si="2110"/>
        <v/>
      </c>
      <c r="F1044" s="83" t="str">
        <f t="shared" si="2110"/>
        <v/>
      </c>
      <c r="G1044" s="50" t="str">
        <f t="shared" si="2097"/>
        <v/>
      </c>
      <c r="H1044" s="51"/>
      <c r="I1044" s="51"/>
      <c r="J1044" s="52"/>
      <c r="K1044" s="50" t="str">
        <f t="shared" si="2098"/>
        <v/>
      </c>
      <c r="L1044" s="51"/>
      <c r="M1044" s="51"/>
      <c r="N1044" s="52"/>
      <c r="O1044" s="50" t="str">
        <f t="shared" si="2099"/>
        <v/>
      </c>
      <c r="P1044" s="51"/>
      <c r="Q1044" s="51"/>
      <c r="R1044" s="52"/>
      <c r="S1044" s="50" t="str">
        <f t="shared" si="2100"/>
        <v/>
      </c>
      <c r="T1044" s="51"/>
      <c r="U1044" s="51"/>
      <c r="V1044" s="52"/>
      <c r="W1044" s="50" t="str">
        <f t="shared" si="2101"/>
        <v/>
      </c>
      <c r="X1044" s="51"/>
      <c r="Y1044" s="51"/>
      <c r="Z1044" s="52"/>
      <c r="AA1044" s="50" t="str">
        <f t="shared" si="2102"/>
        <v/>
      </c>
      <c r="AB1044" s="51"/>
      <c r="AC1044" s="51"/>
      <c r="AD1044" s="52"/>
      <c r="AE1044" s="53">
        <f t="shared" si="2103"/>
        <v>0</v>
      </c>
      <c r="AF1044" s="54">
        <f t="shared" si="2046"/>
        <v>0</v>
      </c>
      <c r="AG1044" s="75">
        <f t="shared" si="2104"/>
        <v>0</v>
      </c>
      <c r="AH1044" s="76" t="str">
        <f t="shared" si="2105"/>
        <v/>
      </c>
      <c r="AI1044" s="77">
        <f> ( IF(ISNUMBER(G1044), VLOOKUP(G1044/$AH1044,F!$A1:$B101,2,1)*G1044*$H1044*$I1044,0)+IF(ISNUMBER(K1044), VLOOKUP(K1044/$AH1044,F!$A1:$B101,2,1)*K1044*$L1044*$M1044,0)+IF(ISNUMBER(O1044), VLOOKUP(O1044/$AH1044,F!$A1:$B101,2,1)*O1044*$P1044*$Q1044,0)+IF(ISNUMBER(S1044), VLOOKUP(S1044/$AH1044,F!$A1:$B101,2,1)*S1044*$T1044*$U1044,0)+IF(ISNUMBER(W1044), VLOOKUP(W1044/$AH1044,F!$A1:$B101,2,1)*W1044*$X1044*$Y1044,0)+IF(ISNUMBER(AA1044), VLOOKUP(AA1044/$AH1044,F!$A1:$B101,2,1)*AA1044*$AB1044*$AC1044,0))*IF(ISNUMBER(F1044),F1044,1)*IF(ISNUMBER(E1044),E1044,1)</f>
        <v>0</v>
      </c>
      <c r="AJ1044" s="86">
        <f t="shared" si="2106"/>
        <v>0</v>
      </c>
      <c r="AK1044" s="58">
        <f t="array" ref="AK1044">IFERROR(I1044*INDEX(F!$P$21:$AB$33, MATCH(G1044/$AH1044, F!$O$21:$O$33,1), MATCH(E1044, F!$P$20:$AB$20,1)), 0 ) +IFERROR( M1044*INDEX(F!$P$21:$AB$33, MATCH(K1044/$AH1044, F!$O$21:$O$33,1), MATCH(E1044, F!$P$20:$AB$20,1)),0) +  IFERROR( Q1044*INDEX(F!$P$21:$AB$33, MATCH(O1044/$AH1044, F!$O$21:$O$33,1), MATCH(E1044, F!$P$20:$AB$20,1)), 0) + IFERROR( U1044*INDEX(F!$P$21:$AB$33, MATCH(S1044/$AH1044, F!$O$21:$O$33,1), MATCH(E1044, F!$P$20:$AB$20,1)),0)  + IFERROR(Y1044*INDEX(F!$P$21:$AB$33, MATCH(W1044/$AH1044, F!$O$21:$O$33,1), MATCH(E1044, F!$P$20:$AB$20,1)),0)  + IFERROR( AC1044*INDEX(F!$P$21:$AB$33, MATCH(AA1044/$AH1044, F!$O$21:$O$33,1), MATCH(E1044, F!$P$20:$AB$20,1)),)</f>
        <v>0</v>
      </c>
      <c r="AL1044" s="59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</row>
    <row r="1045" ht="15.75" hidden="1" customHeight="1">
      <c r="A1045" s="59"/>
      <c r="B1045" s="60" t="str">
        <f t="shared" ref="B1045:F1045" si="2111">IF(B989="","",B989)</f>
        <v/>
      </c>
      <c r="C1045" s="61" t="str">
        <f t="shared" si="2111"/>
        <v/>
      </c>
      <c r="D1045" s="198" t="str">
        <f t="shared" si="2111"/>
        <v/>
      </c>
      <c r="E1045" s="48" t="str">
        <f t="shared" si="2111"/>
        <v/>
      </c>
      <c r="F1045" s="79" t="str">
        <f t="shared" si="2111"/>
        <v/>
      </c>
      <c r="G1045" s="64" t="str">
        <f t="shared" si="2097"/>
        <v/>
      </c>
      <c r="H1045" s="34"/>
      <c r="I1045" s="34"/>
      <c r="J1045" s="65"/>
      <c r="K1045" s="64" t="str">
        <f t="shared" si="2098"/>
        <v/>
      </c>
      <c r="L1045" s="34"/>
      <c r="M1045" s="34"/>
      <c r="N1045" s="65"/>
      <c r="O1045" s="64" t="str">
        <f t="shared" si="2099"/>
        <v/>
      </c>
      <c r="P1045" s="34"/>
      <c r="Q1045" s="34"/>
      <c r="R1045" s="65"/>
      <c r="S1045" s="64" t="str">
        <f t="shared" si="2100"/>
        <v/>
      </c>
      <c r="T1045" s="34"/>
      <c r="U1045" s="34"/>
      <c r="V1045" s="65"/>
      <c r="W1045" s="64" t="str">
        <f t="shared" si="2101"/>
        <v/>
      </c>
      <c r="X1045" s="34"/>
      <c r="Y1045" s="34"/>
      <c r="Z1045" s="65"/>
      <c r="AA1045" s="64" t="str">
        <f t="shared" si="2102"/>
        <v/>
      </c>
      <c r="AB1045" s="34"/>
      <c r="AC1045" s="34"/>
      <c r="AD1045" s="65"/>
      <c r="AE1045" s="66">
        <f t="shared" si="2103"/>
        <v>0</v>
      </c>
      <c r="AF1045" s="67">
        <f t="shared" si="2046"/>
        <v>0</v>
      </c>
      <c r="AG1045" s="68">
        <f t="shared" si="2104"/>
        <v>0</v>
      </c>
      <c r="AH1045" s="76" t="str">
        <f t="shared" si="2105"/>
        <v/>
      </c>
      <c r="AI1045" s="90">
        <f> ( IF(ISNUMBER(G1045), VLOOKUP(G1045/$AH1045,F!$A1:$B101,2,1)*G1045*$H1045*$I1045,0)+IF(ISNUMBER(K1045), VLOOKUP(K1045/$AH1045,F!$A1:$B101,2,1)*K1045*$L1045*$M1045,0)+IF(ISNUMBER(O1045), VLOOKUP(O1045/$AH1045,F!$A1:$B101,2,1)*O1045*$P1045*$Q1045,0)+IF(ISNUMBER(S1045), VLOOKUP(S1045/$AH1045,F!$A1:$B101,2,1)*S1045*$T1045*$U1045,0)+IF(ISNUMBER(W1045), VLOOKUP(W1045/$AH1045,F!$A1:$B101,2,1)*W1045*$X1045*$Y1045,0)+IF(ISNUMBER(AA1045), VLOOKUP(AA1045/$AH1045,F!$A1:$B101,2,1)*AA1045*$AB1045*$AC1045,0))*IF(ISNUMBER(F1045),F1045,1)*IF(ISNUMBER(E1045),E1045,1)</f>
        <v>0</v>
      </c>
      <c r="AJ1045" s="34">
        <f t="shared" si="2106"/>
        <v>0</v>
      </c>
      <c r="AK1045" s="91">
        <f t="array" ref="AK1045">IFERROR(I1045*INDEX(F!$P$21:$AB$33, MATCH(G1045/$AH1045, F!$O$21:$O$33,1), MATCH(E1045, F!$P$20:$AB$20,1)), 0 ) +IFERROR( M1045*INDEX(F!$P$21:$AB$33, MATCH(K1045/$AH1045, F!$O$21:$O$33,1), MATCH(E1045, F!$P$20:$AB$20,1)),0) +  IFERROR( Q1045*INDEX(F!$P$21:$AB$33, MATCH(O1045/$AH1045, F!$O$21:$O$33,1), MATCH(E1045, F!$P$20:$AB$20,1)), 0) + IFERROR( U1045*INDEX(F!$P$21:$AB$33, MATCH(S1045/$AH1045, F!$O$21:$O$33,1), MATCH(E1045, F!$P$20:$AB$20,1)),0)  + IFERROR(Y1045*INDEX(F!$P$21:$AB$33, MATCH(W1045/$AH1045, F!$O$21:$O$33,1), MATCH(E1045, F!$P$20:$AB$20,1)),0)  + IFERROR( AC1045*INDEX(F!$P$21:$AB$33, MATCH(AA1045/$AH1045, F!$O$21:$O$33,1), MATCH(E1045, F!$P$20:$AB$20,1)),)</f>
        <v>0</v>
      </c>
      <c r="AL1045" s="59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</row>
    <row r="1046" ht="15.75" hidden="1" customHeight="1">
      <c r="A1046" s="59"/>
      <c r="B1046" s="45" t="str">
        <f t="shared" ref="B1046:F1046" si="2112">IF(B990="","",B990)</f>
        <v/>
      </c>
      <c r="C1046" s="46" t="str">
        <f t="shared" si="2112"/>
        <v/>
      </c>
      <c r="D1046" s="92" t="str">
        <f t="shared" si="2112"/>
        <v/>
      </c>
      <c r="E1046" s="48" t="str">
        <f t="shared" si="2112"/>
        <v/>
      </c>
      <c r="F1046" s="74" t="str">
        <f t="shared" si="2112"/>
        <v/>
      </c>
      <c r="G1046" s="50" t="str">
        <f t="shared" si="2097"/>
        <v/>
      </c>
      <c r="H1046" s="51"/>
      <c r="I1046" s="51"/>
      <c r="J1046" s="52"/>
      <c r="K1046" s="50" t="str">
        <f t="shared" si="2098"/>
        <v/>
      </c>
      <c r="L1046" s="51"/>
      <c r="M1046" s="51"/>
      <c r="N1046" s="52"/>
      <c r="O1046" s="50" t="str">
        <f t="shared" si="2099"/>
        <v/>
      </c>
      <c r="P1046" s="51"/>
      <c r="Q1046" s="51"/>
      <c r="R1046" s="52"/>
      <c r="S1046" s="50" t="str">
        <f t="shared" si="2100"/>
        <v/>
      </c>
      <c r="T1046" s="51"/>
      <c r="U1046" s="51"/>
      <c r="V1046" s="52"/>
      <c r="W1046" s="50" t="str">
        <f t="shared" si="2101"/>
        <v/>
      </c>
      <c r="X1046" s="51"/>
      <c r="Y1046" s="51"/>
      <c r="Z1046" s="52"/>
      <c r="AA1046" s="50" t="str">
        <f t="shared" si="2102"/>
        <v/>
      </c>
      <c r="AB1046" s="51"/>
      <c r="AC1046" s="51"/>
      <c r="AD1046" s="52"/>
      <c r="AE1046" s="53">
        <f t="shared" si="2103"/>
        <v>0</v>
      </c>
      <c r="AF1046" s="93">
        <f t="shared" si="2046"/>
        <v>0</v>
      </c>
      <c r="AG1046" s="94">
        <f t="shared" si="2104"/>
        <v>0</v>
      </c>
      <c r="AH1046" s="76" t="str">
        <f t="shared" si="2105"/>
        <v/>
      </c>
      <c r="AI1046" s="95">
        <f> ( IF(ISNUMBER(G1046), VLOOKUP(G1046/$AH1046,F!$A1:$B101,2,1)*G1046*$H1046*$I1046,0)+IF(ISNUMBER(K1046), VLOOKUP(K1046/$AH1046,F!$A1:$B101,2,1)*K1046*$L1046*$M1046,0)+IF(ISNUMBER(O1046), VLOOKUP(O1046/$AH1046,F!$A1:$B101,2,1)*O1046*$P1046*$Q1046,0)+IF(ISNUMBER(S1046), VLOOKUP(S1046/$AH1046,F!$A1:$B101,2,1)*S1046*$T1046*$U1046,0)+IF(ISNUMBER(W1046), VLOOKUP(W1046/$AH1046,F!$A1:$B101,2,1)*W1046*$X1046*$Y1046,0)+IF(ISNUMBER(AA1046), VLOOKUP(AA1046/$AH1046,F!$A1:$B101,2,1)*AA1046*$AB1046*$AC1046,0))*IF(ISNUMBER(F1046),F1046,1)*IF(ISNUMBER(E1046),E1046,1)</f>
        <v>0</v>
      </c>
      <c r="AJ1046" s="96">
        <f t="shared" si="2106"/>
        <v>0</v>
      </c>
      <c r="AK1046" s="97">
        <f t="array" ref="AK1046">IFERROR(I1046*INDEX(F!$P$21:$AB$33, MATCH(G1046/$AH1046, F!$O$21:$O$33,1), MATCH(E1046, F!$P$20:$AB$20,1)), 0 ) +IFERROR( M1046*INDEX(F!$P$21:$AB$33, MATCH(K1046/$AH1046, F!$O$21:$O$33,1), MATCH(E1046, F!$P$20:$AB$20,1)),0) +  IFERROR( Q1046*INDEX(F!$P$21:$AB$33, MATCH(O1046/$AH1046, F!$O$21:$O$33,1), MATCH(E1046, F!$P$20:$AB$20,1)), 0) + IFERROR( U1046*INDEX(F!$P$21:$AB$33, MATCH(S1046/$AH1046, F!$O$21:$O$33,1), MATCH(E1046, F!$P$20:$AB$20,1)),0)  + IFERROR(Y1046*INDEX(F!$P$21:$AB$33, MATCH(W1046/$AH1046, F!$O$21:$O$33,1), MATCH(E1046, F!$P$20:$AB$20,1)),0)  + IFERROR( AC1046*INDEX(F!$P$21:$AB$33, MATCH(AA1046/$AH1046, F!$O$21:$O$33,1), MATCH(E1046, F!$P$20:$AB$20,1)),)</f>
        <v>0</v>
      </c>
      <c r="AL1046" s="59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</row>
    <row r="1047" ht="15.75" hidden="1" customHeight="1">
      <c r="A1047" s="98"/>
      <c r="B1047" s="99"/>
      <c r="C1047" s="100"/>
      <c r="D1047" s="101"/>
      <c r="E1047" s="102">
        <f>ROUND(IFERROR(SUMPRODUCT(AJ1039:AJ1046,E1039:E1046)/AJ1047,0),3)</f>
        <v>0</v>
      </c>
      <c r="F1047" s="199"/>
      <c r="G1047" s="104"/>
      <c r="H1047" s="105"/>
      <c r="I1047" s="105"/>
      <c r="J1047" s="106"/>
      <c r="K1047" s="104"/>
      <c r="L1047" s="105"/>
      <c r="M1047" s="105"/>
      <c r="N1047" s="106"/>
      <c r="O1047" s="104"/>
      <c r="P1047" s="105"/>
      <c r="Q1047" s="105"/>
      <c r="R1047" s="106"/>
      <c r="S1047" s="104"/>
      <c r="T1047" s="105"/>
      <c r="U1047" s="105"/>
      <c r="V1047" s="106"/>
      <c r="W1047" s="104"/>
      <c r="X1047" s="105"/>
      <c r="Y1047" s="105"/>
      <c r="Z1047" s="106"/>
      <c r="AA1047" s="104"/>
      <c r="AB1047" s="105"/>
      <c r="AC1047" s="105"/>
      <c r="AD1047" s="106"/>
      <c r="AE1047" s="107">
        <f>SUM(AE1039:AE1046)</f>
        <v>0</v>
      </c>
      <c r="AF1047" s="108">
        <f t="shared" si="2046"/>
        <v>0</v>
      </c>
      <c r="AG1047" s="109">
        <f>IFERROR(  SUMPRODUCT(AG1039:AG1046,AJ1039:AJ1046)/AJ1047,0)</f>
        <v>0</v>
      </c>
      <c r="AH1047" s="157"/>
      <c r="AI1047" s="111">
        <f t="shared" ref="AI1047:AJ1047" si="2113">SUM(AI1039:AI1046)</f>
        <v>0</v>
      </c>
      <c r="AJ1047" s="111">
        <f t="shared" si="2113"/>
        <v>0</v>
      </c>
      <c r="AK1047" s="112">
        <f>IF(SUM(AK1039:AK1046)=0,TIME(,0,),TIME(,SUM(AK1039:AK1046)+F!$V$37,))</f>
        <v>0</v>
      </c>
      <c r="AL1047" s="98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</row>
    <row r="1048" ht="15.75" hidden="1" customHeight="1">
      <c r="A1048" s="113">
        <f>A1049</f>
        <v>43912</v>
      </c>
      <c r="B1048" s="114" t="str">
        <f t="shared" ref="B1048:F1048" si="2114">IF(B992="","",B992)</f>
        <v/>
      </c>
      <c r="C1048" s="115" t="str">
        <f t="shared" si="2114"/>
        <v/>
      </c>
      <c r="D1048" s="116" t="str">
        <f t="shared" si="2114"/>
        <v/>
      </c>
      <c r="E1048" s="29" t="str">
        <f t="shared" si="2114"/>
        <v/>
      </c>
      <c r="F1048" s="117" t="str">
        <f t="shared" si="2114"/>
        <v/>
      </c>
      <c r="G1048" s="118" t="str">
        <f t="shared" ref="G1048:G1055" si="2116">IF(J1048&lt;&gt;0, IFERROR(IF( $F1048=2,  MROUND($AH1048*J1048,1),    IF( OR($F1048="",$F1048=1),   MROUND($AH1048*J1048,2.5),  MROUND($AH1048*J1048, 0.1))), "" ), "")</f>
        <v/>
      </c>
      <c r="H1048" s="119"/>
      <c r="I1048" s="119"/>
      <c r="J1048" s="120"/>
      <c r="K1048" s="118" t="str">
        <f t="shared" ref="K1048:K1055" si="2117">IF(N1048&lt;&gt;0, IFERROR(IF( $F1048=2,  MROUND($AH1048*N1048,1),    IF( OR($F1048="",$F1048=1),   MROUND($AH1048*N1048,2.5),  MROUND($AH1048*N1048, 0.1))), "" ), "")</f>
        <v/>
      </c>
      <c r="L1048" s="119"/>
      <c r="M1048" s="119"/>
      <c r="N1048" s="120"/>
      <c r="O1048" s="118" t="str">
        <f t="shared" ref="O1048:O1055" si="2118">IF(R1048&lt;&gt;0, IFERROR(IF( $F1048=2,  MROUND($AH1048*R1048,1),    IF( OR($F1048="",$F1048=1),   MROUND($AH1048*R1048,2.5),  MROUND($AH1048*R1048, 0.1))), "" ), "")</f>
        <v/>
      </c>
      <c r="P1048" s="119"/>
      <c r="Q1048" s="119"/>
      <c r="R1048" s="120"/>
      <c r="S1048" s="118" t="str">
        <f t="shared" ref="S1048:S1055" si="2119">IF(V1048&lt;&gt;0, IFERROR(IF( $F1048=2,  MROUND($AH1048*V1048,1),    IF( OR($F1048="",$F1048=1),   MROUND($AH1048*V1048,2.5),  MROUND($AH1048*V1048, 0.1))), "" ), "")</f>
        <v/>
      </c>
      <c r="T1048" s="119"/>
      <c r="U1048" s="119"/>
      <c r="V1048" s="120"/>
      <c r="W1048" s="118" t="str">
        <f t="shared" ref="W1048:W1055" si="2120">IF(Z1048&lt;&gt;0, IFERROR(IF( $F1048=2,  MROUND($AH1048*Z1048,1),    IF( OR($F1048="",$F1048=1),   MROUND($AH1048*Z1048,2.5),  MROUND($AH1048*Z1048, 0.1))), "" ), "")</f>
        <v/>
      </c>
      <c r="X1048" s="119"/>
      <c r="Y1048" s="119"/>
      <c r="Z1048" s="120"/>
      <c r="AA1048" s="118" t="str">
        <f t="shared" ref="AA1048:AA1055" si="2121">IF(AD1048&lt;&gt;0, IFERROR(IF( $F1048=2,  MROUND($AH1048*AD1048,1),    IF( OR($F1048="",$F1048=1),   MROUND($AH1048*AD1048,2.5),  MROUND($AH1048*AD1048, 0.1))), "" ), "")</f>
        <v/>
      </c>
      <c r="AB1048" s="119"/>
      <c r="AC1048" s="119"/>
      <c r="AD1048" s="120"/>
      <c r="AE1048" s="121">
        <f t="shared" ref="AE1048:AE1055" si="2122">(IF(ISNUMBER(G1048),G1048,0)*H1048*I1048+IF(ISNUMBER(K1048),K1048,1)*L1048*M1048+IF(ISNUMBER(O1048),O1048,1)*P1048*Q1048+IF(ISNUMBER(S1048),S1048,1)*T1048*U1048+IF(ISNUMBER(W1048),W1048,1)*X1048*Y1048+IF(ISNUMBER(AA1048),AA1048,1)*AB1048*AC1048)*IF(ISNUMBER(F1048),F1048,1)</f>
        <v>0</v>
      </c>
      <c r="AF1048" s="122">
        <f t="shared" si="2046"/>
        <v>0</v>
      </c>
      <c r="AG1048" s="200">
        <f t="shared" ref="AG1048:AG1055" si="2123">IFERROR((AF1048/(AH1048*IF(ISNUMBER(F1048),F1048,1))),0)</f>
        <v>0</v>
      </c>
      <c r="AH1048" s="169" t="str">
        <f t="shared" ref="AH1048:AH1055" si="2124">IF(ISNUMBER(AH992), AH992+(AH992*$AH$1010),"")</f>
        <v/>
      </c>
      <c r="AI1048" s="122">
        <f> ( IF(ISNUMBER(G1048), VLOOKUP(G1048/$AH1048,F!$A1:$B101,2,1)*G1048*$H1048*$I1048,0)+IF(ISNUMBER(K1048), VLOOKUP(K1048/$AH1048,F!$A1:$B101,2,1)*K1048*$L1048*$M1048,0)+IF(ISNUMBER(O1048), VLOOKUP(O1048/$AH1048,F!$A1:$B101,2,1)*O1048*$P1048*$Q1048,0)+IF(ISNUMBER(S1048), VLOOKUP(S1048/$AH1048,F!$A1:$B101,2,1)*S1048*$T1048*$U1048,0)+IF(ISNUMBER(W1048), VLOOKUP(W1048/$AH1048,F!$A1:$B101,2,1)*W1048*$X1048*$Y1048,0)+IF(ISNUMBER(AA1048), VLOOKUP(AA1048/$AH1048,F!$A1:$B101,2,1)*AA1048*$AB1048*$AC1048,0))*IF(ISNUMBER(F1048),F1048,1)*IF(ISNUMBER(E1048),E1048,1)</f>
        <v>0</v>
      </c>
      <c r="AJ1048" s="119">
        <f t="shared" ref="AJ1048:AJ1055" si="2125">H1048*I1048+L1048*M1048+P1048*Q1048+T1048*U1048+X1048*Y1048+AB1048*AC1048</f>
        <v>0</v>
      </c>
      <c r="AK1048" s="125">
        <f t="array" ref="AK1048">IFERROR(I1048*INDEX(F!$P$21:$AB$33, MATCH(G1048/$AH1048, F!$O$21:$O$33,1), MATCH(E1048, F!$P$20:$AB$20,1)), 0 ) +IFERROR( M1048*INDEX(F!$P$21:$AB$33, MATCH(K1048/$AH1048, F!$O$21:$O$33,1), MATCH(E1048, F!$P$20:$AB$20,1)),0) +  IFERROR( Q1048*INDEX(F!$P$21:$AB$33, MATCH(O1048/$AH1048, F!$O$21:$O$33,1), MATCH(E1048, F!$P$20:$AB$20,1)), 0) + IFERROR( U1048*INDEX(F!$P$21:$AB$33, MATCH(S1048/$AH1048, F!$O$21:$O$33,1), MATCH(E1048, F!$P$20:$AB$20,1)),0)  + IFERROR(Y1048*INDEX(F!$P$21:$AB$33, MATCH(W1048/$AH1048, F!$O$21:$O$33,1), MATCH(E1048, F!$P$20:$AB$20,1)),0)  + IFERROR( AC1048*INDEX(F!$P$21:$AB$33, MATCH(AA1048/$AH1048, F!$O$21:$O$33,1), MATCH(E1048, F!$P$20:$AB$20,1)),)</f>
        <v>0</v>
      </c>
      <c r="AL1048" s="42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</row>
    <row r="1049" ht="15.75" hidden="1" customHeight="1">
      <c r="A1049" s="44">
        <f>A993+A954</f>
        <v>43912</v>
      </c>
      <c r="B1049" s="126" t="str">
        <f t="shared" ref="B1049:F1049" si="2115">IF(B993="","",B993)</f>
        <v/>
      </c>
      <c r="C1049" s="127" t="str">
        <f t="shared" si="2115"/>
        <v/>
      </c>
      <c r="D1049" s="128" t="str">
        <f t="shared" si="2115"/>
        <v/>
      </c>
      <c r="E1049" s="48" t="str">
        <f t="shared" si="2115"/>
        <v/>
      </c>
      <c r="F1049" s="129" t="str">
        <f t="shared" si="2115"/>
        <v/>
      </c>
      <c r="G1049" s="130" t="str">
        <f t="shared" si="2116"/>
        <v/>
      </c>
      <c r="H1049" s="34"/>
      <c r="I1049" s="34"/>
      <c r="J1049" s="65"/>
      <c r="K1049" s="130" t="str">
        <f t="shared" si="2117"/>
        <v/>
      </c>
      <c r="L1049" s="34"/>
      <c r="M1049" s="34"/>
      <c r="N1049" s="65"/>
      <c r="O1049" s="130" t="str">
        <f t="shared" si="2118"/>
        <v/>
      </c>
      <c r="P1049" s="34"/>
      <c r="Q1049" s="34"/>
      <c r="R1049" s="65"/>
      <c r="S1049" s="130" t="str">
        <f t="shared" si="2119"/>
        <v/>
      </c>
      <c r="T1049" s="34"/>
      <c r="U1049" s="34"/>
      <c r="V1049" s="65"/>
      <c r="W1049" s="130" t="str">
        <f t="shared" si="2120"/>
        <v/>
      </c>
      <c r="X1049" s="34"/>
      <c r="Y1049" s="34"/>
      <c r="Z1049" s="65"/>
      <c r="AA1049" s="130" t="str">
        <f t="shared" si="2121"/>
        <v/>
      </c>
      <c r="AB1049" s="34"/>
      <c r="AC1049" s="34"/>
      <c r="AD1049" s="65"/>
      <c r="AE1049" s="131">
        <f t="shared" si="2122"/>
        <v>0</v>
      </c>
      <c r="AF1049" s="132">
        <f t="shared" si="2046"/>
        <v>0</v>
      </c>
      <c r="AG1049" s="133">
        <f t="shared" si="2123"/>
        <v>0</v>
      </c>
      <c r="AH1049" s="76" t="str">
        <f t="shared" si="2124"/>
        <v/>
      </c>
      <c r="AI1049" s="132">
        <f> ( IF(ISNUMBER(G1049), VLOOKUP(G1049/$AH1049,F!$A1:$B101,2,1)*G1049*$H1049*$I1049,0)+IF(ISNUMBER(K1049), VLOOKUP(K1049/$AH1049,F!$A1:$B101,2,1)*K1049*$L1049*$M1049,0)+IF(ISNUMBER(O1049), VLOOKUP(O1049/$AH1049,F!$A1:$B101,2,1)*O1049*$P1049*$Q1049,0)+IF(ISNUMBER(S1049), VLOOKUP(S1049/$AH1049,F!$A1:$B101,2,1)*S1049*$T1049*$U1049,0)+IF(ISNUMBER(W1049), VLOOKUP(W1049/$AH1049,F!$A1:$B101,2,1)*W1049*$X1049*$Y1049,0)+IF(ISNUMBER(AA1049), VLOOKUP(AA1049/$AH1049,F!$A1:$B101,2,1)*AA1049*$AB1049*$AC1049,0))*IF(ISNUMBER(F1049),F1049,1)*IF(ISNUMBER(E1049),E1049,1)</f>
        <v>0</v>
      </c>
      <c r="AJ1049" s="34">
        <f t="shared" si="2125"/>
        <v>0</v>
      </c>
      <c r="AK1049" s="134">
        <f t="array" ref="AK1049">IFERROR(I1049*INDEX(F!$P$21:$AB$33, MATCH(G1049/$AH1049, F!$O$21:$O$33,1), MATCH(E1049, F!$P$20:$AB$20,1)), 0 ) +IFERROR( M1049*INDEX(F!$P$21:$AB$33, MATCH(K1049/$AH1049, F!$O$21:$O$33,1), MATCH(E1049, F!$P$20:$AB$20,1)),0) +  IFERROR( Q1049*INDEX(F!$P$21:$AB$33, MATCH(O1049/$AH1049, F!$O$21:$O$33,1), MATCH(E1049, F!$P$20:$AB$20,1)), 0) + IFERROR( U1049*INDEX(F!$P$21:$AB$33, MATCH(S1049/$AH1049, F!$O$21:$O$33,1), MATCH(E1049, F!$P$20:$AB$20,1)),0)  + IFERROR(Y1049*INDEX(F!$P$21:$AB$33, MATCH(W1049/$AH1049, F!$O$21:$O$33,1), MATCH(E1049, F!$P$20:$AB$20,1)),0)  + IFERROR( AC1049*INDEX(F!$P$21:$AB$33, MATCH(AA1049/$AH1049, F!$O$21:$O$33,1), MATCH(E1049, F!$P$20:$AB$20,1)),)</f>
        <v>0</v>
      </c>
      <c r="AL1049" s="59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</row>
    <row r="1050" ht="15.75" hidden="1" customHeight="1">
      <c r="A1050" s="59"/>
      <c r="B1050" s="135" t="str">
        <f t="shared" ref="B1050:F1050" si="2126">IF(B994="","",B994)</f>
        <v/>
      </c>
      <c r="C1050" s="136" t="str">
        <f t="shared" si="2126"/>
        <v/>
      </c>
      <c r="D1050" s="137" t="str">
        <f t="shared" si="2126"/>
        <v/>
      </c>
      <c r="E1050" s="48" t="str">
        <f t="shared" si="2126"/>
        <v/>
      </c>
      <c r="F1050" s="138" t="str">
        <f t="shared" si="2126"/>
        <v/>
      </c>
      <c r="G1050" s="139" t="str">
        <f t="shared" si="2116"/>
        <v/>
      </c>
      <c r="H1050" s="140"/>
      <c r="I1050" s="140"/>
      <c r="J1050" s="141"/>
      <c r="K1050" s="139" t="str">
        <f t="shared" si="2117"/>
        <v/>
      </c>
      <c r="L1050" s="140"/>
      <c r="M1050" s="140"/>
      <c r="N1050" s="141"/>
      <c r="O1050" s="139" t="str">
        <f t="shared" si="2118"/>
        <v/>
      </c>
      <c r="P1050" s="140"/>
      <c r="Q1050" s="140"/>
      <c r="R1050" s="141"/>
      <c r="S1050" s="139" t="str">
        <f t="shared" si="2119"/>
        <v/>
      </c>
      <c r="T1050" s="140"/>
      <c r="U1050" s="140"/>
      <c r="V1050" s="141"/>
      <c r="W1050" s="139" t="str">
        <f t="shared" si="2120"/>
        <v/>
      </c>
      <c r="X1050" s="140"/>
      <c r="Y1050" s="140"/>
      <c r="Z1050" s="141"/>
      <c r="AA1050" s="139" t="str">
        <f t="shared" si="2121"/>
        <v/>
      </c>
      <c r="AB1050" s="140"/>
      <c r="AC1050" s="140"/>
      <c r="AD1050" s="141"/>
      <c r="AE1050" s="142">
        <f t="shared" si="2122"/>
        <v>0</v>
      </c>
      <c r="AF1050" s="143">
        <f t="shared" si="2046"/>
        <v>0</v>
      </c>
      <c r="AG1050" s="144">
        <f t="shared" si="2123"/>
        <v>0</v>
      </c>
      <c r="AH1050" s="76" t="str">
        <f t="shared" si="2124"/>
        <v/>
      </c>
      <c r="AI1050" s="143">
        <f> ( IF(ISNUMBER(G1050), VLOOKUP(G1050/$AH1050,F!$A1:$B101,2,1)*G1050*$H1050*$I1050,0)+IF(ISNUMBER(K1050), VLOOKUP(K1050/$AH1050,F!$A1:$B101,2,1)*K1050*$L1050*$M1050,0)+IF(ISNUMBER(O1050), VLOOKUP(O1050/$AH1050,F!$A1:$B101,2,1)*O1050*$P1050*$Q1050,0)+IF(ISNUMBER(S1050), VLOOKUP(S1050/$AH1050,F!$A1:$B101,2,1)*S1050*$T1050*$U1050,0)+IF(ISNUMBER(W1050), VLOOKUP(W1050/$AH1050,F!$A1:$B101,2,1)*W1050*$X1050*$Y1050,0)+IF(ISNUMBER(AA1050), VLOOKUP(AA1050/$AH1050,F!$A1:$B101,2,1)*AA1050*$AB1050*$AC1050,0))*IF(ISNUMBER(F1050),F1050,1)*IF(ISNUMBER(E1050),E1050,1)</f>
        <v>0</v>
      </c>
      <c r="AJ1050" s="140">
        <f t="shared" si="2125"/>
        <v>0</v>
      </c>
      <c r="AK1050" s="145">
        <f t="array" ref="AK1050">IFERROR(I1050*INDEX(F!$P$21:$AB$33, MATCH(G1050/$AH1050, F!$O$21:$O$33,1), MATCH(E1050, F!$P$20:$AB$20,1)), 0 ) +IFERROR( M1050*INDEX(F!$P$21:$AB$33, MATCH(K1050/$AH1050, F!$O$21:$O$33,1), MATCH(E1050, F!$P$20:$AB$20,1)),0) +  IFERROR( Q1050*INDEX(F!$P$21:$AB$33, MATCH(O1050/$AH1050, F!$O$21:$O$33,1), MATCH(E1050, F!$P$20:$AB$20,1)), 0) + IFERROR( U1050*INDEX(F!$P$21:$AB$33, MATCH(S1050/$AH1050, F!$O$21:$O$33,1), MATCH(E1050, F!$P$20:$AB$20,1)),0)  + IFERROR(Y1050*INDEX(F!$P$21:$AB$33, MATCH(W1050/$AH1050, F!$O$21:$O$33,1), MATCH(E1050, F!$P$20:$AB$20,1)),0)  + IFERROR( AC1050*INDEX(F!$P$21:$AB$33, MATCH(AA1050/$AH1050, F!$O$21:$O$33,1), MATCH(E1050, F!$P$20:$AB$20,1)),)</f>
        <v>0</v>
      </c>
      <c r="AL1050" s="59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</row>
    <row r="1051" ht="15.75" hidden="1" customHeight="1">
      <c r="A1051" s="59"/>
      <c r="B1051" s="126" t="str">
        <f t="shared" ref="B1051:F1051" si="2127">IF(B995="","",B995)</f>
        <v/>
      </c>
      <c r="C1051" s="127" t="str">
        <f t="shared" si="2127"/>
        <v/>
      </c>
      <c r="D1051" s="128" t="str">
        <f t="shared" si="2127"/>
        <v/>
      </c>
      <c r="E1051" s="48" t="str">
        <f t="shared" si="2127"/>
        <v/>
      </c>
      <c r="F1051" s="129" t="str">
        <f t="shared" si="2127"/>
        <v/>
      </c>
      <c r="G1051" s="130" t="str">
        <f t="shared" si="2116"/>
        <v/>
      </c>
      <c r="H1051" s="34"/>
      <c r="I1051" s="34"/>
      <c r="J1051" s="65"/>
      <c r="K1051" s="130" t="str">
        <f t="shared" si="2117"/>
        <v/>
      </c>
      <c r="L1051" s="34"/>
      <c r="M1051" s="34"/>
      <c r="N1051" s="65"/>
      <c r="O1051" s="130" t="str">
        <f t="shared" si="2118"/>
        <v/>
      </c>
      <c r="P1051" s="34"/>
      <c r="Q1051" s="34"/>
      <c r="R1051" s="65"/>
      <c r="S1051" s="130" t="str">
        <f t="shared" si="2119"/>
        <v/>
      </c>
      <c r="T1051" s="34"/>
      <c r="U1051" s="34"/>
      <c r="V1051" s="65"/>
      <c r="W1051" s="130" t="str">
        <f t="shared" si="2120"/>
        <v/>
      </c>
      <c r="X1051" s="34"/>
      <c r="Y1051" s="34"/>
      <c r="Z1051" s="65"/>
      <c r="AA1051" s="130" t="str">
        <f t="shared" si="2121"/>
        <v/>
      </c>
      <c r="AB1051" s="34"/>
      <c r="AC1051" s="34"/>
      <c r="AD1051" s="65"/>
      <c r="AE1051" s="131">
        <f t="shared" si="2122"/>
        <v>0</v>
      </c>
      <c r="AF1051" s="132">
        <f t="shared" si="2046"/>
        <v>0</v>
      </c>
      <c r="AG1051" s="133">
        <f t="shared" si="2123"/>
        <v>0</v>
      </c>
      <c r="AH1051" s="76" t="str">
        <f t="shared" si="2124"/>
        <v/>
      </c>
      <c r="AI1051" s="132">
        <f> ( IF(ISNUMBER(G1051), VLOOKUP(G1051/$AH1051,F!$A1:$B101,2,1)*G1051*$H1051*$I1051,0)+IF(ISNUMBER(K1051), VLOOKUP(K1051/$AH1051,F!$A1:$B101,2,1)*K1051*$L1051*$M1051,0)+IF(ISNUMBER(O1051), VLOOKUP(O1051/$AH1051,F!$A1:$B101,2,1)*O1051*$P1051*$Q1051,0)+IF(ISNUMBER(S1051), VLOOKUP(S1051/$AH1051,F!$A1:$B101,2,1)*S1051*$T1051*$U1051,0)+IF(ISNUMBER(W1051), VLOOKUP(W1051/$AH1051,F!$A1:$B101,2,1)*W1051*$X1051*$Y1051,0)+IF(ISNUMBER(AA1051), VLOOKUP(AA1051/$AH1051,F!$A1:$B101,2,1)*AA1051*$AB1051*$AC1051,0))*IF(ISNUMBER(F1051),F1051,1)*IF(ISNUMBER(E1051),E1051,1)</f>
        <v>0</v>
      </c>
      <c r="AJ1051" s="34">
        <f t="shared" si="2125"/>
        <v>0</v>
      </c>
      <c r="AK1051" s="134">
        <f t="array" ref="AK1051">IFERROR(I1051*INDEX(F!$P$21:$AB$33, MATCH(G1051/$AH1051, F!$O$21:$O$33,1), MATCH(E1051, F!$P$20:$AB$20,1)), 0 ) +IFERROR( M1051*INDEX(F!$P$21:$AB$33, MATCH(K1051/$AH1051, F!$O$21:$O$33,1), MATCH(E1051, F!$P$20:$AB$20,1)),0) +  IFERROR( Q1051*INDEX(F!$P$21:$AB$33, MATCH(O1051/$AH1051, F!$O$21:$O$33,1), MATCH(E1051, F!$P$20:$AB$20,1)), 0) + IFERROR( U1051*INDEX(F!$P$21:$AB$33, MATCH(S1051/$AH1051, F!$O$21:$O$33,1), MATCH(E1051, F!$P$20:$AB$20,1)),0)  + IFERROR(Y1051*INDEX(F!$P$21:$AB$33, MATCH(W1051/$AH1051, F!$O$21:$O$33,1), MATCH(E1051, F!$P$20:$AB$20,1)),0)  + IFERROR( AC1051*INDEX(F!$P$21:$AB$33, MATCH(AA1051/$AH1051, F!$O$21:$O$33,1), MATCH(E1051, F!$P$20:$AB$20,1)),)</f>
        <v>0</v>
      </c>
      <c r="AL1051" s="59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</row>
    <row r="1052" ht="15.75" hidden="1" customHeight="1">
      <c r="A1052" s="59"/>
      <c r="B1052" s="135" t="str">
        <f t="shared" ref="B1052:F1052" si="2128">IF(B996="","",B996)</f>
        <v/>
      </c>
      <c r="C1052" s="136" t="str">
        <f t="shared" si="2128"/>
        <v/>
      </c>
      <c r="D1052" s="137" t="str">
        <f t="shared" si="2128"/>
        <v/>
      </c>
      <c r="E1052" s="48" t="str">
        <f t="shared" si="2128"/>
        <v/>
      </c>
      <c r="F1052" s="138" t="str">
        <f t="shared" si="2128"/>
        <v/>
      </c>
      <c r="G1052" s="139" t="str">
        <f t="shared" si="2116"/>
        <v/>
      </c>
      <c r="H1052" s="140"/>
      <c r="I1052" s="140"/>
      <c r="J1052" s="141"/>
      <c r="K1052" s="139" t="str">
        <f t="shared" si="2117"/>
        <v/>
      </c>
      <c r="L1052" s="140"/>
      <c r="M1052" s="140"/>
      <c r="N1052" s="141"/>
      <c r="O1052" s="139" t="str">
        <f t="shared" si="2118"/>
        <v/>
      </c>
      <c r="P1052" s="140"/>
      <c r="Q1052" s="140"/>
      <c r="R1052" s="141"/>
      <c r="S1052" s="139" t="str">
        <f t="shared" si="2119"/>
        <v/>
      </c>
      <c r="T1052" s="140"/>
      <c r="U1052" s="140"/>
      <c r="V1052" s="141"/>
      <c r="W1052" s="139" t="str">
        <f t="shared" si="2120"/>
        <v/>
      </c>
      <c r="X1052" s="140"/>
      <c r="Y1052" s="140"/>
      <c r="Z1052" s="141"/>
      <c r="AA1052" s="139" t="str">
        <f t="shared" si="2121"/>
        <v/>
      </c>
      <c r="AB1052" s="140"/>
      <c r="AC1052" s="140"/>
      <c r="AD1052" s="141"/>
      <c r="AE1052" s="142">
        <f t="shared" si="2122"/>
        <v>0</v>
      </c>
      <c r="AF1052" s="143">
        <f t="shared" si="2046"/>
        <v>0</v>
      </c>
      <c r="AG1052" s="144">
        <f t="shared" si="2123"/>
        <v>0</v>
      </c>
      <c r="AH1052" s="76" t="str">
        <f t="shared" si="2124"/>
        <v/>
      </c>
      <c r="AI1052" s="143">
        <f> ( IF(ISNUMBER(G1052), VLOOKUP(G1052/$AH1052,F!$A1:$B101,2,1)*G1052*$H1052*$I1052,0)+IF(ISNUMBER(K1052), VLOOKUP(K1052/$AH1052,F!$A1:$B101,2,1)*K1052*$L1052*$M1052,0)+IF(ISNUMBER(O1052), VLOOKUP(O1052/$AH1052,F!$A1:$B101,2,1)*O1052*$P1052*$Q1052,0)+IF(ISNUMBER(S1052), VLOOKUP(S1052/$AH1052,F!$A1:$B101,2,1)*S1052*$T1052*$U1052,0)+IF(ISNUMBER(W1052), VLOOKUP(W1052/$AH1052,F!$A1:$B101,2,1)*W1052*$X1052*$Y1052,0)+IF(ISNUMBER(AA1052), VLOOKUP(AA1052/$AH1052,F!$A1:$B101,2,1)*AA1052*$AB1052*$AC1052,0))*IF(ISNUMBER(F1052),F1052,1)*IF(ISNUMBER(E1052),E1052,1)</f>
        <v>0</v>
      </c>
      <c r="AJ1052" s="140">
        <f t="shared" si="2125"/>
        <v>0</v>
      </c>
      <c r="AK1052" s="145">
        <f t="array" ref="AK1052">IFERROR(I1052*INDEX(F!$P$21:$AB$33, MATCH(G1052/$AH1052, F!$O$21:$O$33,1), MATCH(E1052, F!$P$20:$AB$20,1)), 0 ) +IFERROR( M1052*INDEX(F!$P$21:$AB$33, MATCH(K1052/$AH1052, F!$O$21:$O$33,1), MATCH(E1052, F!$P$20:$AB$20,1)),0) +  IFERROR( Q1052*INDEX(F!$P$21:$AB$33, MATCH(O1052/$AH1052, F!$O$21:$O$33,1), MATCH(E1052, F!$P$20:$AB$20,1)), 0) + IFERROR( U1052*INDEX(F!$P$21:$AB$33, MATCH(S1052/$AH1052, F!$O$21:$O$33,1), MATCH(E1052, F!$P$20:$AB$20,1)),0)  + IFERROR(Y1052*INDEX(F!$P$21:$AB$33, MATCH(W1052/$AH1052, F!$O$21:$O$33,1), MATCH(E1052, F!$P$20:$AB$20,1)),0)  + IFERROR( AC1052*INDEX(F!$P$21:$AB$33, MATCH(AA1052/$AH1052, F!$O$21:$O$33,1), MATCH(E1052, F!$P$20:$AB$20,1)),)</f>
        <v>0</v>
      </c>
      <c r="AL1052" s="59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</row>
    <row r="1053" ht="15.75" hidden="1" customHeight="1">
      <c r="A1053" s="59"/>
      <c r="B1053" s="126" t="str">
        <f t="shared" ref="B1053:F1053" si="2129">IF(B997="","",B997)</f>
        <v/>
      </c>
      <c r="C1053" s="127" t="str">
        <f t="shared" si="2129"/>
        <v/>
      </c>
      <c r="D1053" s="128" t="str">
        <f t="shared" si="2129"/>
        <v/>
      </c>
      <c r="E1053" s="48" t="str">
        <f t="shared" si="2129"/>
        <v/>
      </c>
      <c r="F1053" s="129" t="str">
        <f t="shared" si="2129"/>
        <v/>
      </c>
      <c r="G1053" s="130" t="str">
        <f t="shared" si="2116"/>
        <v/>
      </c>
      <c r="H1053" s="34"/>
      <c r="I1053" s="34"/>
      <c r="J1053" s="65"/>
      <c r="K1053" s="130" t="str">
        <f t="shared" si="2117"/>
        <v/>
      </c>
      <c r="L1053" s="34"/>
      <c r="M1053" s="34"/>
      <c r="N1053" s="65"/>
      <c r="O1053" s="130" t="str">
        <f t="shared" si="2118"/>
        <v/>
      </c>
      <c r="P1053" s="34"/>
      <c r="Q1053" s="34"/>
      <c r="R1053" s="65"/>
      <c r="S1053" s="130" t="str">
        <f t="shared" si="2119"/>
        <v/>
      </c>
      <c r="T1053" s="34"/>
      <c r="U1053" s="34"/>
      <c r="V1053" s="65"/>
      <c r="W1053" s="130" t="str">
        <f t="shared" si="2120"/>
        <v/>
      </c>
      <c r="X1053" s="34"/>
      <c r="Y1053" s="34"/>
      <c r="Z1053" s="65"/>
      <c r="AA1053" s="130" t="str">
        <f t="shared" si="2121"/>
        <v/>
      </c>
      <c r="AB1053" s="34"/>
      <c r="AC1053" s="34"/>
      <c r="AD1053" s="65"/>
      <c r="AE1053" s="131">
        <f t="shared" si="2122"/>
        <v>0</v>
      </c>
      <c r="AF1053" s="132">
        <f t="shared" si="2046"/>
        <v>0</v>
      </c>
      <c r="AG1053" s="133">
        <f t="shared" si="2123"/>
        <v>0</v>
      </c>
      <c r="AH1053" s="76" t="str">
        <f t="shared" si="2124"/>
        <v/>
      </c>
      <c r="AI1053" s="132">
        <f> ( IF(ISNUMBER(G1053), VLOOKUP(G1053/$AH1053,F!$A1:$B101,2,1)*G1053*$H1053*$I1053,0)+IF(ISNUMBER(K1053), VLOOKUP(K1053/$AH1053,F!$A1:$B101,2,1)*K1053*$L1053*$M1053,0)+IF(ISNUMBER(O1053), VLOOKUP(O1053/$AH1053,F!$A1:$B101,2,1)*O1053*$P1053*$Q1053,0)+IF(ISNUMBER(S1053), VLOOKUP(S1053/$AH1053,F!$A1:$B101,2,1)*S1053*$T1053*$U1053,0)+IF(ISNUMBER(W1053), VLOOKUP(W1053/$AH1053,F!$A1:$B101,2,1)*W1053*$X1053*$Y1053,0)+IF(ISNUMBER(AA1053), VLOOKUP(AA1053/$AH1053,F!$A1:$B101,2,1)*AA1053*$AB1053*$AC1053,0))*IF(ISNUMBER(F1053),F1053,1)*IF(ISNUMBER(E1053),E1053,1)</f>
        <v>0</v>
      </c>
      <c r="AJ1053" s="34">
        <f t="shared" si="2125"/>
        <v>0</v>
      </c>
      <c r="AK1053" s="134">
        <f t="array" ref="AK1053">IFERROR(I1053*INDEX(F!$P$21:$AB$33, MATCH(G1053/$AH1053, F!$O$21:$O$33,1), MATCH(E1053, F!$P$20:$AB$20,1)), 0 ) +IFERROR( M1053*INDEX(F!$P$21:$AB$33, MATCH(K1053/$AH1053, F!$O$21:$O$33,1), MATCH(E1053, F!$P$20:$AB$20,1)),0) +  IFERROR( Q1053*INDEX(F!$P$21:$AB$33, MATCH(O1053/$AH1053, F!$O$21:$O$33,1), MATCH(E1053, F!$P$20:$AB$20,1)), 0) + IFERROR( U1053*INDEX(F!$P$21:$AB$33, MATCH(S1053/$AH1053, F!$O$21:$O$33,1), MATCH(E1053, F!$P$20:$AB$20,1)),0)  + IFERROR(Y1053*INDEX(F!$P$21:$AB$33, MATCH(W1053/$AH1053, F!$O$21:$O$33,1), MATCH(E1053, F!$P$20:$AB$20,1)),0)  + IFERROR( AC1053*INDEX(F!$P$21:$AB$33, MATCH(AA1053/$AH1053, F!$O$21:$O$33,1), MATCH(E1053, F!$P$20:$AB$20,1)),)</f>
        <v>0</v>
      </c>
      <c r="AL1053" s="59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</row>
    <row r="1054" ht="15.75" hidden="1" customHeight="1">
      <c r="A1054" s="59"/>
      <c r="B1054" s="135" t="str">
        <f t="shared" ref="B1054:F1054" si="2130">IF(B998="","",B998)</f>
        <v/>
      </c>
      <c r="C1054" s="136" t="str">
        <f t="shared" si="2130"/>
        <v/>
      </c>
      <c r="D1054" s="137" t="str">
        <f t="shared" si="2130"/>
        <v/>
      </c>
      <c r="E1054" s="48" t="str">
        <f t="shared" si="2130"/>
        <v/>
      </c>
      <c r="F1054" s="138" t="str">
        <f t="shared" si="2130"/>
        <v/>
      </c>
      <c r="G1054" s="139" t="str">
        <f t="shared" si="2116"/>
        <v/>
      </c>
      <c r="H1054" s="140"/>
      <c r="I1054" s="140"/>
      <c r="J1054" s="141"/>
      <c r="K1054" s="139" t="str">
        <f t="shared" si="2117"/>
        <v/>
      </c>
      <c r="L1054" s="140"/>
      <c r="M1054" s="140"/>
      <c r="N1054" s="141"/>
      <c r="O1054" s="139" t="str">
        <f t="shared" si="2118"/>
        <v/>
      </c>
      <c r="P1054" s="140"/>
      <c r="Q1054" s="140"/>
      <c r="R1054" s="141"/>
      <c r="S1054" s="139" t="str">
        <f t="shared" si="2119"/>
        <v/>
      </c>
      <c r="T1054" s="140"/>
      <c r="U1054" s="140"/>
      <c r="V1054" s="141"/>
      <c r="W1054" s="139" t="str">
        <f t="shared" si="2120"/>
        <v/>
      </c>
      <c r="X1054" s="140"/>
      <c r="Y1054" s="140"/>
      <c r="Z1054" s="141"/>
      <c r="AA1054" s="139" t="str">
        <f t="shared" si="2121"/>
        <v/>
      </c>
      <c r="AB1054" s="140"/>
      <c r="AC1054" s="140"/>
      <c r="AD1054" s="141"/>
      <c r="AE1054" s="142">
        <f t="shared" si="2122"/>
        <v>0</v>
      </c>
      <c r="AF1054" s="143">
        <f t="shared" si="2046"/>
        <v>0</v>
      </c>
      <c r="AG1054" s="144">
        <f t="shared" si="2123"/>
        <v>0</v>
      </c>
      <c r="AH1054" s="76" t="str">
        <f t="shared" si="2124"/>
        <v/>
      </c>
      <c r="AI1054" s="143">
        <f> ( IF(ISNUMBER(G1054), VLOOKUP(G1054/$AH1054,F!$A1:$B101,2,1)*G1054*$H1054*$I1054,0)+IF(ISNUMBER(K1054), VLOOKUP(K1054/$AH1054,F!$A1:$B101,2,1)*K1054*$L1054*$M1054,0)+IF(ISNUMBER(O1054), VLOOKUP(O1054/$AH1054,F!$A1:$B101,2,1)*O1054*$P1054*$Q1054,0)+IF(ISNUMBER(S1054), VLOOKUP(S1054/$AH1054,F!$A1:$B101,2,1)*S1054*$T1054*$U1054,0)+IF(ISNUMBER(W1054), VLOOKUP(W1054/$AH1054,F!$A1:$B101,2,1)*W1054*$X1054*$Y1054,0)+IF(ISNUMBER(AA1054), VLOOKUP(AA1054/$AH1054,F!$A1:$B101,2,1)*AA1054*$AB1054*$AC1054,0))*IF(ISNUMBER(F1054),F1054,1)*IF(ISNUMBER(E1054),E1054,1)</f>
        <v>0</v>
      </c>
      <c r="AJ1054" s="140">
        <f t="shared" si="2125"/>
        <v>0</v>
      </c>
      <c r="AK1054" s="145">
        <f t="array" ref="AK1054">IFERROR(I1054*INDEX(F!$P$21:$AB$33, MATCH(G1054/$AH1054, F!$O$21:$O$33,1), MATCH(E1054, F!$P$20:$AB$20,1)), 0 ) +IFERROR( M1054*INDEX(F!$P$21:$AB$33, MATCH(K1054/$AH1054, F!$O$21:$O$33,1), MATCH(E1054, F!$P$20:$AB$20,1)),0) +  IFERROR( Q1054*INDEX(F!$P$21:$AB$33, MATCH(O1054/$AH1054, F!$O$21:$O$33,1), MATCH(E1054, F!$P$20:$AB$20,1)), 0) + IFERROR( U1054*INDEX(F!$P$21:$AB$33, MATCH(S1054/$AH1054, F!$O$21:$O$33,1), MATCH(E1054, F!$P$20:$AB$20,1)),0)  + IFERROR(Y1054*INDEX(F!$P$21:$AB$33, MATCH(W1054/$AH1054, F!$O$21:$O$33,1), MATCH(E1054, F!$P$20:$AB$20,1)),0)  + IFERROR( AC1054*INDEX(F!$P$21:$AB$33, MATCH(AA1054/$AH1054, F!$O$21:$O$33,1), MATCH(E1054, F!$P$20:$AB$20,1)),)</f>
        <v>0</v>
      </c>
      <c r="AL1054" s="59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</row>
    <row r="1055" ht="15.75" hidden="1" customHeight="1">
      <c r="A1055" s="59"/>
      <c r="B1055" s="126" t="str">
        <f t="shared" ref="B1055:F1055" si="2131">IF(B999="","",B999)</f>
        <v/>
      </c>
      <c r="C1055" s="127" t="str">
        <f t="shared" si="2131"/>
        <v/>
      </c>
      <c r="D1055" s="128" t="str">
        <f t="shared" si="2131"/>
        <v/>
      </c>
      <c r="E1055" s="48" t="str">
        <f t="shared" si="2131"/>
        <v/>
      </c>
      <c r="F1055" s="129" t="str">
        <f t="shared" si="2131"/>
        <v/>
      </c>
      <c r="G1055" s="130" t="str">
        <f t="shared" si="2116"/>
        <v/>
      </c>
      <c r="H1055" s="34"/>
      <c r="I1055" s="34"/>
      <c r="J1055" s="65"/>
      <c r="K1055" s="130" t="str">
        <f t="shared" si="2117"/>
        <v/>
      </c>
      <c r="L1055" s="34"/>
      <c r="M1055" s="34"/>
      <c r="N1055" s="65"/>
      <c r="O1055" s="130" t="str">
        <f t="shared" si="2118"/>
        <v/>
      </c>
      <c r="P1055" s="34"/>
      <c r="Q1055" s="34"/>
      <c r="R1055" s="65"/>
      <c r="S1055" s="130" t="str">
        <f t="shared" si="2119"/>
        <v/>
      </c>
      <c r="T1055" s="34"/>
      <c r="U1055" s="34"/>
      <c r="V1055" s="65"/>
      <c r="W1055" s="130" t="str">
        <f t="shared" si="2120"/>
        <v/>
      </c>
      <c r="X1055" s="34"/>
      <c r="Y1055" s="34"/>
      <c r="Z1055" s="65"/>
      <c r="AA1055" s="130" t="str">
        <f t="shared" si="2121"/>
        <v/>
      </c>
      <c r="AB1055" s="34"/>
      <c r="AC1055" s="34"/>
      <c r="AD1055" s="65"/>
      <c r="AE1055" s="131">
        <f t="shared" si="2122"/>
        <v>0</v>
      </c>
      <c r="AF1055" s="132">
        <f t="shared" si="2046"/>
        <v>0</v>
      </c>
      <c r="AG1055" s="133">
        <f t="shared" si="2123"/>
        <v>0</v>
      </c>
      <c r="AH1055" s="76" t="str">
        <f t="shared" si="2124"/>
        <v/>
      </c>
      <c r="AI1055" s="132">
        <f> ( IF(ISNUMBER(G1055), VLOOKUP(G1055/$AH1055,F!$A1:$B101,2,1)*G1055*$H1055*$I1055,0)+IF(ISNUMBER(K1055), VLOOKUP(K1055/$AH1055,F!$A1:$B101,2,1)*K1055*$L1055*$M1055,0)+IF(ISNUMBER(O1055), VLOOKUP(O1055/$AH1055,F!$A1:$B101,2,1)*O1055*$P1055*$Q1055,0)+IF(ISNUMBER(S1055), VLOOKUP(S1055/$AH1055,F!$A1:$B101,2,1)*S1055*$T1055*$U1055,0)+IF(ISNUMBER(W1055), VLOOKUP(W1055/$AH1055,F!$A1:$B101,2,1)*W1055*$X1055*$Y1055,0)+IF(ISNUMBER(AA1055), VLOOKUP(AA1055/$AH1055,F!$A1:$B101,2,1)*AA1055*$AB1055*$AC1055,0))*IF(ISNUMBER(F1055),F1055,1)*IF(ISNUMBER(E1055),E1055,1)</f>
        <v>0</v>
      </c>
      <c r="AJ1055" s="34">
        <f t="shared" si="2125"/>
        <v>0</v>
      </c>
      <c r="AK1055" s="134">
        <f t="array" ref="AK1055">IFERROR(I1055*INDEX(F!$P$21:$AB$33, MATCH(G1055/$AH1055, F!$O$21:$O$33,1), MATCH(E1055, F!$P$20:$AB$20,1)), 0 ) +IFERROR( M1055*INDEX(F!$P$21:$AB$33, MATCH(K1055/$AH1055, F!$O$21:$O$33,1), MATCH(E1055, F!$P$20:$AB$20,1)),0) +  IFERROR( Q1055*INDEX(F!$P$21:$AB$33, MATCH(O1055/$AH1055, F!$O$21:$O$33,1), MATCH(E1055, F!$P$20:$AB$20,1)), 0) + IFERROR( U1055*INDEX(F!$P$21:$AB$33, MATCH(S1055/$AH1055, F!$O$21:$O$33,1), MATCH(E1055, F!$P$20:$AB$20,1)),0)  + IFERROR(Y1055*INDEX(F!$P$21:$AB$33, MATCH(W1055/$AH1055, F!$O$21:$O$33,1), MATCH(E1055, F!$P$20:$AB$20,1)),0)  + IFERROR( AC1055*INDEX(F!$P$21:$AB$33, MATCH(AA1055/$AH1055, F!$O$21:$O$33,1), MATCH(E1055, F!$P$20:$AB$20,1)),)</f>
        <v>0</v>
      </c>
      <c r="AL1055" s="59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</row>
    <row r="1056" ht="15.75" hidden="1" customHeight="1">
      <c r="A1056" s="98"/>
      <c r="B1056" s="150"/>
      <c r="C1056" s="151"/>
      <c r="D1056" s="152"/>
      <c r="E1056" s="102">
        <f>ROUND(IFERROR(SUMPRODUCT(AJ1048:AJ1055,E1048:E1055)/AJ1056,0),3)</f>
        <v>0</v>
      </c>
      <c r="F1056" s="153"/>
      <c r="G1056" s="154"/>
      <c r="H1056" s="155"/>
      <c r="I1056" s="155"/>
      <c r="J1056" s="156"/>
      <c r="K1056" s="154"/>
      <c r="L1056" s="155"/>
      <c r="M1056" s="155"/>
      <c r="N1056" s="156"/>
      <c r="O1056" s="154"/>
      <c r="P1056" s="155"/>
      <c r="Q1056" s="155"/>
      <c r="R1056" s="156"/>
      <c r="S1056" s="154"/>
      <c r="T1056" s="155"/>
      <c r="U1056" s="155"/>
      <c r="V1056" s="156"/>
      <c r="W1056" s="154"/>
      <c r="X1056" s="155"/>
      <c r="Y1056" s="155"/>
      <c r="Z1056" s="156"/>
      <c r="AA1056" s="154"/>
      <c r="AB1056" s="155"/>
      <c r="AC1056" s="155"/>
      <c r="AD1056" s="156"/>
      <c r="AE1056" s="107">
        <f>SUM(AE1048:AE1055)</f>
        <v>0</v>
      </c>
      <c r="AF1056" s="108">
        <f t="shared" si="2046"/>
        <v>0</v>
      </c>
      <c r="AG1056" s="109">
        <f>IFERROR(  SUMPRODUCT(AG1048:AG1055,AJ1048:AJ1055)/AJ1056,0)</f>
        <v>0</v>
      </c>
      <c r="AH1056" s="157"/>
      <c r="AI1056" s="111">
        <f t="shared" ref="AI1056:AJ1056" si="2132">SUM(AI1048:AI1055)</f>
        <v>0</v>
      </c>
      <c r="AJ1056" s="111">
        <f t="shared" si="2132"/>
        <v>0</v>
      </c>
      <c r="AK1056" s="112">
        <f>IF(SUM(AK1048:AK1055)=0,TIME(,0,),TIME(,SUM(AK1048:AK1055)+F!$V$37,))</f>
        <v>0</v>
      </c>
      <c r="AL1056" s="98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</row>
    <row r="1057" ht="15.75" hidden="1" customHeight="1">
      <c r="A1057" s="158">
        <f>A1058</f>
        <v>43913</v>
      </c>
      <c r="B1057" s="159" t="str">
        <f t="shared" ref="B1057:F1057" si="2133">IF(B1001="","",B1001)</f>
        <v/>
      </c>
      <c r="C1057" s="160" t="str">
        <f t="shared" si="2133"/>
        <v/>
      </c>
      <c r="D1057" s="161" t="str">
        <f t="shared" si="2133"/>
        <v/>
      </c>
      <c r="E1057" s="29" t="str">
        <f t="shared" si="2133"/>
        <v/>
      </c>
      <c r="F1057" s="162" t="str">
        <f t="shared" si="2133"/>
        <v/>
      </c>
      <c r="G1057" s="163" t="str">
        <f t="shared" ref="G1057:G1064" si="2135">IF(J1057&lt;&gt;0, IFERROR(IF( $F1057=2,  MROUND($AH1057*J1057,1),    IF( OR($F1057="",$F1057=1),   MROUND($AH1057*J1057,2.5),  MROUND($AH1057*J1057, 0.1))), "" ), "")</f>
        <v/>
      </c>
      <c r="H1057" s="164"/>
      <c r="I1057" s="164"/>
      <c r="J1057" s="165"/>
      <c r="K1057" s="163" t="str">
        <f t="shared" ref="K1057:K1064" si="2136">IF(N1057&lt;&gt;0, IFERROR(IF( $F1057=2,  MROUND($AH1057*N1057,1),    IF( OR($F1057="",$F1057=1),   MROUND($AH1057*N1057,2.5),  MROUND($AH1057*N1057, 0.1))), "" ), "")</f>
        <v/>
      </c>
      <c r="L1057" s="164"/>
      <c r="M1057" s="164"/>
      <c r="N1057" s="165"/>
      <c r="O1057" s="163" t="str">
        <f t="shared" ref="O1057:O1064" si="2137">IF(R1057&lt;&gt;0, IFERROR(IF( $F1057=2,  MROUND($AH1057*R1057,1),    IF( OR($F1057="",$F1057=1),   MROUND($AH1057*R1057,2.5),  MROUND($AH1057*R1057, 0.1))), "" ), "")</f>
        <v/>
      </c>
      <c r="P1057" s="164"/>
      <c r="Q1057" s="164"/>
      <c r="R1057" s="165"/>
      <c r="S1057" s="163" t="str">
        <f t="shared" ref="S1057:S1064" si="2138">IF(V1057&lt;&gt;0, IFERROR(IF( $F1057=2,  MROUND($AH1057*V1057,1),    IF( OR($F1057="",$F1057=1),   MROUND($AH1057*V1057,2.5),  MROUND($AH1057*V1057, 0.1))), "" ), "")</f>
        <v/>
      </c>
      <c r="T1057" s="164"/>
      <c r="U1057" s="164"/>
      <c r="V1057" s="165"/>
      <c r="W1057" s="163" t="str">
        <f t="shared" ref="W1057:W1064" si="2139">IF(Z1057&lt;&gt;0, IFERROR(IF( $F1057=2,  MROUND($AH1057*Z1057,1),    IF( OR($F1057="",$F1057=1),   MROUND($AH1057*Z1057,2.5),  MROUND($AH1057*Z1057, 0.1))), "" ), "")</f>
        <v/>
      </c>
      <c r="X1057" s="164"/>
      <c r="Y1057" s="164"/>
      <c r="Z1057" s="165"/>
      <c r="AA1057" s="163" t="str">
        <f t="shared" ref="AA1057:AA1064" si="2140">IF(AD1057&lt;&gt;0, IFERROR(IF( $F1057=2,  MROUND($AH1057*AD1057,1),    IF( OR($F1057="",$F1057=1),   MROUND($AH1057*AD1057,2.5),  MROUND($AH1057*AD1057, 0.1))), "" ), "")</f>
        <v/>
      </c>
      <c r="AB1057" s="164"/>
      <c r="AC1057" s="164"/>
      <c r="AD1057" s="165"/>
      <c r="AE1057" s="166">
        <f t="shared" ref="AE1057:AE1064" si="2141">(IF(ISNUMBER(G1057),G1057,0)*H1057*I1057+IF(ISNUMBER(K1057),K1057,1)*L1057*M1057+IF(ISNUMBER(O1057),O1057,1)*P1057*Q1057+IF(ISNUMBER(S1057),S1057,1)*T1057*U1057+IF(ISNUMBER(W1057),W1057,1)*X1057*Y1057+IF(ISNUMBER(AA1057),AA1057,1)*AB1057*AC1057)*IF(ISNUMBER(F1057),F1057,1)</f>
        <v>0</v>
      </c>
      <c r="AF1057" s="167">
        <f t="shared" si="2046"/>
        <v>0</v>
      </c>
      <c r="AG1057" s="168">
        <f t="shared" ref="AG1057:AG1064" si="2142">IFERROR((AF1057/(AH1057*IF(ISNUMBER(F1057),F1057,1))),0)</f>
        <v>0</v>
      </c>
      <c r="AH1057" s="169" t="str">
        <f t="shared" ref="AH1057:AH1064" si="2143">IF(ISNUMBER(AH1001), AH1001+(AH1001*$AH$1010),"")</f>
        <v/>
      </c>
      <c r="AI1057" s="167">
        <f> ( IF(ISNUMBER(G1057), VLOOKUP(G1057/$AH1057,F!$A1:$B101,2,1)*G1057*$H1057*$I1057,0)+IF(ISNUMBER(K1057), VLOOKUP(K1057/$AH1057,F!$A1:$B101,2,1)*K1057*$L1057*$M1057,0)+IF(ISNUMBER(O1057), VLOOKUP(O1057/$AH1057,F!$A1:$B101,2,1)*O1057*$P1057*$Q1057,0)+IF(ISNUMBER(S1057), VLOOKUP(S1057/$AH1057,F!$A1:$B101,2,1)*S1057*$T1057*$U1057,0)+IF(ISNUMBER(W1057), VLOOKUP(W1057/$AH1057,F!$A1:$B101,2,1)*W1057*$X1057*$Y1057,0)+IF(ISNUMBER(AA1057), VLOOKUP(AA1057/$AH1057,F!$A1:$B101,2,1)*AA1057*$AB1057*$AC1057,0))*IF(ISNUMBER(F1057),F1057,1)*IF(ISNUMBER(E1057),E1057,1)</f>
        <v>0</v>
      </c>
      <c r="AJ1057" s="164">
        <f t="shared" ref="AJ1057:AJ1064" si="2144">H1057*I1057+L1057*M1057+P1057*Q1057+T1057*U1057+X1057*Y1057+AB1057*AC1057</f>
        <v>0</v>
      </c>
      <c r="AK1057" s="170">
        <f t="array" ref="AK1057">IFERROR(I1057*INDEX(F!$P$21:$AB$33, MATCH(G1057/$AH1057, F!$O$21:$O$33,1), MATCH(E1057, F!$P$20:$AB$20,1)), 0 ) +IFERROR( M1057*INDEX(F!$P$21:$AB$33, MATCH(K1057/$AH1057, F!$O$21:$O$33,1), MATCH(E1057, F!$P$20:$AB$20,1)),0) +  IFERROR( Q1057*INDEX(F!$P$21:$AB$33, MATCH(O1057/$AH1057, F!$O$21:$O$33,1), MATCH(E1057, F!$P$20:$AB$20,1)), 0) + IFERROR( U1057*INDEX(F!$P$21:$AB$33, MATCH(S1057/$AH1057, F!$O$21:$O$33,1), MATCH(E1057, F!$P$20:$AB$20,1)),0)  + IFERROR(Y1057*INDEX(F!$P$21:$AB$33, MATCH(W1057/$AH1057, F!$O$21:$O$33,1), MATCH(E1057, F!$P$20:$AB$20,1)),0)  + IFERROR( AC1057*INDEX(F!$P$21:$AB$33, MATCH(AA1057/$AH1057, F!$O$21:$O$33,1), MATCH(E1057, F!$P$20:$AB$20,1)),)</f>
        <v>0</v>
      </c>
      <c r="AL1057" s="42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</row>
    <row r="1058" ht="15.75" hidden="1" customHeight="1">
      <c r="A1058" s="44">
        <f>A1002+A954</f>
        <v>43913</v>
      </c>
      <c r="B1058" s="135" t="str">
        <f t="shared" ref="B1058:F1058" si="2134">IF(B1002="","",B1002)</f>
        <v/>
      </c>
      <c r="C1058" s="136" t="str">
        <f t="shared" si="2134"/>
        <v/>
      </c>
      <c r="D1058" s="137" t="str">
        <f t="shared" si="2134"/>
        <v/>
      </c>
      <c r="E1058" s="48" t="str">
        <f t="shared" si="2134"/>
        <v/>
      </c>
      <c r="F1058" s="138" t="str">
        <f t="shared" si="2134"/>
        <v/>
      </c>
      <c r="G1058" s="139" t="str">
        <f t="shared" si="2135"/>
        <v/>
      </c>
      <c r="H1058" s="140"/>
      <c r="I1058" s="140"/>
      <c r="J1058" s="141"/>
      <c r="K1058" s="139" t="str">
        <f t="shared" si="2136"/>
        <v/>
      </c>
      <c r="L1058" s="140"/>
      <c r="M1058" s="140"/>
      <c r="N1058" s="141"/>
      <c r="O1058" s="139" t="str">
        <f t="shared" si="2137"/>
        <v/>
      </c>
      <c r="P1058" s="140"/>
      <c r="Q1058" s="140"/>
      <c r="R1058" s="141"/>
      <c r="S1058" s="139" t="str">
        <f t="shared" si="2138"/>
        <v/>
      </c>
      <c r="T1058" s="140"/>
      <c r="U1058" s="140"/>
      <c r="V1058" s="141"/>
      <c r="W1058" s="139" t="str">
        <f t="shared" si="2139"/>
        <v/>
      </c>
      <c r="X1058" s="140"/>
      <c r="Y1058" s="140"/>
      <c r="Z1058" s="141"/>
      <c r="AA1058" s="139" t="str">
        <f t="shared" si="2140"/>
        <v/>
      </c>
      <c r="AB1058" s="140"/>
      <c r="AC1058" s="140"/>
      <c r="AD1058" s="141"/>
      <c r="AE1058" s="142">
        <f t="shared" si="2141"/>
        <v>0</v>
      </c>
      <c r="AF1058" s="143">
        <f t="shared" si="2046"/>
        <v>0</v>
      </c>
      <c r="AG1058" s="144">
        <f t="shared" si="2142"/>
        <v>0</v>
      </c>
      <c r="AH1058" s="76" t="str">
        <f t="shared" si="2143"/>
        <v/>
      </c>
      <c r="AI1058" s="143">
        <f> ( IF(ISNUMBER(G1058), VLOOKUP(G1058/$AH1058,F!$A1:$B101,2,1)*G1058*$H1058*$I1058,0)+IF(ISNUMBER(K1058), VLOOKUP(K1058/$AH1058,F!$A1:$B101,2,1)*K1058*$L1058*$M1058,0)+IF(ISNUMBER(O1058), VLOOKUP(O1058/$AH1058,F!$A1:$B101,2,1)*O1058*$P1058*$Q1058,0)+IF(ISNUMBER(S1058), VLOOKUP(S1058/$AH1058,F!$A1:$B101,2,1)*S1058*$T1058*$U1058,0)+IF(ISNUMBER(W1058), VLOOKUP(W1058/$AH1058,F!$A1:$B101,2,1)*W1058*$X1058*$Y1058,0)+IF(ISNUMBER(AA1058), VLOOKUP(AA1058/$AH1058,F!$A1:$B101,2,1)*AA1058*$AB1058*$AC1058,0))*IF(ISNUMBER(F1058),F1058,1)*IF(ISNUMBER(E1058),E1058,1)</f>
        <v>0</v>
      </c>
      <c r="AJ1058" s="140">
        <f t="shared" si="2144"/>
        <v>0</v>
      </c>
      <c r="AK1058" s="145">
        <f t="array" ref="AK1058">IFERROR(I1058*INDEX(F!$P$21:$AB$33, MATCH(G1058/$AH1058, F!$O$21:$O$33,1), MATCH(E1058, F!$P$20:$AB$20,1)), 0 ) +IFERROR( M1058*INDEX(F!$P$21:$AB$33, MATCH(K1058/$AH1058, F!$O$21:$O$33,1), MATCH(E1058, F!$P$20:$AB$20,1)),0) +  IFERROR( Q1058*INDEX(F!$P$21:$AB$33, MATCH(O1058/$AH1058, F!$O$21:$O$33,1), MATCH(E1058, F!$P$20:$AB$20,1)), 0) + IFERROR( U1058*INDEX(F!$P$21:$AB$33, MATCH(S1058/$AH1058, F!$O$21:$O$33,1), MATCH(E1058, F!$P$20:$AB$20,1)),0)  + IFERROR(Y1058*INDEX(F!$P$21:$AB$33, MATCH(W1058/$AH1058, F!$O$21:$O$33,1), MATCH(E1058, F!$P$20:$AB$20,1)),0)  + IFERROR( AC1058*INDEX(F!$P$21:$AB$33, MATCH(AA1058/$AH1058, F!$O$21:$O$33,1), MATCH(E1058, F!$P$20:$AB$20,1)),)</f>
        <v>0</v>
      </c>
      <c r="AL1058" s="59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</row>
    <row r="1059" ht="15.75" hidden="1" customHeight="1">
      <c r="A1059" s="59"/>
      <c r="B1059" s="173" t="str">
        <f t="shared" ref="B1059:F1059" si="2145">IF(B1003="","",B1003)</f>
        <v/>
      </c>
      <c r="C1059" s="174" t="str">
        <f t="shared" si="2145"/>
        <v/>
      </c>
      <c r="D1059" s="175" t="str">
        <f t="shared" si="2145"/>
        <v/>
      </c>
      <c r="E1059" s="48" t="str">
        <f t="shared" si="2145"/>
        <v/>
      </c>
      <c r="F1059" s="176" t="str">
        <f t="shared" si="2145"/>
        <v/>
      </c>
      <c r="G1059" s="177" t="str">
        <f t="shared" si="2135"/>
        <v/>
      </c>
      <c r="H1059" s="178"/>
      <c r="I1059" s="178"/>
      <c r="J1059" s="179"/>
      <c r="K1059" s="177" t="str">
        <f t="shared" si="2136"/>
        <v/>
      </c>
      <c r="L1059" s="178"/>
      <c r="M1059" s="178"/>
      <c r="N1059" s="179"/>
      <c r="O1059" s="177" t="str">
        <f t="shared" si="2137"/>
        <v/>
      </c>
      <c r="P1059" s="178"/>
      <c r="Q1059" s="178"/>
      <c r="R1059" s="179"/>
      <c r="S1059" s="177" t="str">
        <f t="shared" si="2138"/>
        <v/>
      </c>
      <c r="T1059" s="178"/>
      <c r="U1059" s="178"/>
      <c r="V1059" s="179"/>
      <c r="W1059" s="177" t="str">
        <f t="shared" si="2139"/>
        <v/>
      </c>
      <c r="X1059" s="178"/>
      <c r="Y1059" s="178"/>
      <c r="Z1059" s="179"/>
      <c r="AA1059" s="177" t="str">
        <f t="shared" si="2140"/>
        <v/>
      </c>
      <c r="AB1059" s="178"/>
      <c r="AC1059" s="178"/>
      <c r="AD1059" s="179"/>
      <c r="AE1059" s="180">
        <f t="shared" si="2141"/>
        <v>0</v>
      </c>
      <c r="AF1059" s="181">
        <f t="shared" si="2046"/>
        <v>0</v>
      </c>
      <c r="AG1059" s="182">
        <f t="shared" si="2142"/>
        <v>0</v>
      </c>
      <c r="AH1059" s="76" t="str">
        <f t="shared" si="2143"/>
        <v/>
      </c>
      <c r="AI1059" s="181">
        <f> ( IF(ISNUMBER(G1059), VLOOKUP(G1059/$AH1059,F!$A1:$B101,2,1)*G1059*$H1059*$I1059,0)+IF(ISNUMBER(K1059), VLOOKUP(K1059/$AH1059,F!$A1:$B101,2,1)*K1059*$L1059*$M1059,0)+IF(ISNUMBER(O1059), VLOOKUP(O1059/$AH1059,F!$A1:$B101,2,1)*O1059*$P1059*$Q1059,0)+IF(ISNUMBER(S1059), VLOOKUP(S1059/$AH1059,F!$A1:$B101,2,1)*S1059*$T1059*$U1059,0)+IF(ISNUMBER(W1059), VLOOKUP(W1059/$AH1059,F!$A1:$B101,2,1)*W1059*$X1059*$Y1059,0)+IF(ISNUMBER(AA1059), VLOOKUP(AA1059/$AH1059,F!$A1:$B101,2,1)*AA1059*$AB1059*$AC1059,0))*IF(ISNUMBER(F1059),F1059,1)*IF(ISNUMBER(E1059),E1059,1)</f>
        <v>0</v>
      </c>
      <c r="AJ1059" s="178">
        <f t="shared" si="2144"/>
        <v>0</v>
      </c>
      <c r="AK1059" s="183">
        <f t="array" ref="AK1059">IFERROR(I1059*INDEX(F!$P$21:$AB$33, MATCH(G1059/$AH1059, F!$O$21:$O$33,1), MATCH(E1059, F!$P$20:$AB$20,1)), 0 ) +IFERROR( M1059*INDEX(F!$P$21:$AB$33, MATCH(K1059/$AH1059, F!$O$21:$O$33,1), MATCH(E1059, F!$P$20:$AB$20,1)),0) +  IFERROR( Q1059*INDEX(F!$P$21:$AB$33, MATCH(O1059/$AH1059, F!$O$21:$O$33,1), MATCH(E1059, F!$P$20:$AB$20,1)), 0) + IFERROR( U1059*INDEX(F!$P$21:$AB$33, MATCH(S1059/$AH1059, F!$O$21:$O$33,1), MATCH(E1059, F!$P$20:$AB$20,1)),0)  + IFERROR(Y1059*INDEX(F!$P$21:$AB$33, MATCH(W1059/$AH1059, F!$O$21:$O$33,1), MATCH(E1059, F!$P$20:$AB$20,1)),0)  + IFERROR( AC1059*INDEX(F!$P$21:$AB$33, MATCH(AA1059/$AH1059, F!$O$21:$O$33,1), MATCH(E1059, F!$P$20:$AB$20,1)),)</f>
        <v>0</v>
      </c>
      <c r="AL1059" s="59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</row>
    <row r="1060" ht="15.75" hidden="1" customHeight="1">
      <c r="A1060" s="59"/>
      <c r="B1060" s="135" t="str">
        <f t="shared" ref="B1060:F1060" si="2146">IF(B1004="","",B1004)</f>
        <v/>
      </c>
      <c r="C1060" s="136" t="str">
        <f t="shared" si="2146"/>
        <v/>
      </c>
      <c r="D1060" s="137" t="str">
        <f t="shared" si="2146"/>
        <v/>
      </c>
      <c r="E1060" s="48" t="str">
        <f t="shared" si="2146"/>
        <v/>
      </c>
      <c r="F1060" s="138" t="str">
        <f t="shared" si="2146"/>
        <v/>
      </c>
      <c r="G1060" s="139" t="str">
        <f t="shared" si="2135"/>
        <v/>
      </c>
      <c r="H1060" s="140"/>
      <c r="I1060" s="140"/>
      <c r="J1060" s="141"/>
      <c r="K1060" s="139" t="str">
        <f t="shared" si="2136"/>
        <v/>
      </c>
      <c r="L1060" s="140"/>
      <c r="M1060" s="140"/>
      <c r="N1060" s="141"/>
      <c r="O1060" s="139" t="str">
        <f t="shared" si="2137"/>
        <v/>
      </c>
      <c r="P1060" s="140"/>
      <c r="Q1060" s="140"/>
      <c r="R1060" s="141"/>
      <c r="S1060" s="139" t="str">
        <f t="shared" si="2138"/>
        <v/>
      </c>
      <c r="T1060" s="140"/>
      <c r="U1060" s="140"/>
      <c r="V1060" s="141"/>
      <c r="W1060" s="139" t="str">
        <f t="shared" si="2139"/>
        <v/>
      </c>
      <c r="X1060" s="140"/>
      <c r="Y1060" s="140"/>
      <c r="Z1060" s="141"/>
      <c r="AA1060" s="139" t="str">
        <f t="shared" si="2140"/>
        <v/>
      </c>
      <c r="AB1060" s="140"/>
      <c r="AC1060" s="140"/>
      <c r="AD1060" s="141"/>
      <c r="AE1060" s="142">
        <f t="shared" si="2141"/>
        <v>0</v>
      </c>
      <c r="AF1060" s="143">
        <f t="shared" si="2046"/>
        <v>0</v>
      </c>
      <c r="AG1060" s="144">
        <f t="shared" si="2142"/>
        <v>0</v>
      </c>
      <c r="AH1060" s="76" t="str">
        <f t="shared" si="2143"/>
        <v/>
      </c>
      <c r="AI1060" s="143">
        <f> ( IF(ISNUMBER(G1060), VLOOKUP(G1060/$AH1060,F!$A1:$B101,2,1)*G1060*$H1060*$I1060,0)+IF(ISNUMBER(K1060), VLOOKUP(K1060/$AH1060,F!$A1:$B101,2,1)*K1060*$L1060*$M1060,0)+IF(ISNUMBER(O1060), VLOOKUP(O1060/$AH1060,F!$A1:$B101,2,1)*O1060*$P1060*$Q1060,0)+IF(ISNUMBER(S1060), VLOOKUP(S1060/$AH1060,F!$A1:$B101,2,1)*S1060*$T1060*$U1060,0)+IF(ISNUMBER(W1060), VLOOKUP(W1060/$AH1060,F!$A1:$B101,2,1)*W1060*$X1060*$Y1060,0)+IF(ISNUMBER(AA1060), VLOOKUP(AA1060/$AH1060,F!$A1:$B101,2,1)*AA1060*$AB1060*$AC1060,0))*IF(ISNUMBER(F1060),F1060,1)*IF(ISNUMBER(E1060),E1060,1)</f>
        <v>0</v>
      </c>
      <c r="AJ1060" s="140">
        <f t="shared" si="2144"/>
        <v>0</v>
      </c>
      <c r="AK1060" s="145">
        <f t="array" ref="AK1060">IFERROR(I1060*INDEX(F!$P$21:$AB$33, MATCH(G1060/$AH1060, F!$O$21:$O$33,1), MATCH(E1060, F!$P$20:$AB$20,1)), 0 ) +IFERROR( M1060*INDEX(F!$P$21:$AB$33, MATCH(K1060/$AH1060, F!$O$21:$O$33,1), MATCH(E1060, F!$P$20:$AB$20,1)),0) +  IFERROR( Q1060*INDEX(F!$P$21:$AB$33, MATCH(O1060/$AH1060, F!$O$21:$O$33,1), MATCH(E1060, F!$P$20:$AB$20,1)), 0) + IFERROR( U1060*INDEX(F!$P$21:$AB$33, MATCH(S1060/$AH1060, F!$O$21:$O$33,1), MATCH(E1060, F!$P$20:$AB$20,1)),0)  + IFERROR(Y1060*INDEX(F!$P$21:$AB$33, MATCH(W1060/$AH1060, F!$O$21:$O$33,1), MATCH(E1060, F!$P$20:$AB$20,1)),0)  + IFERROR( AC1060*INDEX(F!$P$21:$AB$33, MATCH(AA1060/$AH1060, F!$O$21:$O$33,1), MATCH(E1060, F!$P$20:$AB$20,1)),)</f>
        <v>0</v>
      </c>
      <c r="AL1060" s="59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</row>
    <row r="1061" ht="15.75" hidden="1" customHeight="1">
      <c r="A1061" s="59"/>
      <c r="B1061" s="173" t="str">
        <f t="shared" ref="B1061:F1061" si="2147">IF(B1005="","",B1005)</f>
        <v/>
      </c>
      <c r="C1061" s="174" t="str">
        <f t="shared" si="2147"/>
        <v/>
      </c>
      <c r="D1061" s="175" t="str">
        <f t="shared" si="2147"/>
        <v/>
      </c>
      <c r="E1061" s="48" t="str">
        <f t="shared" si="2147"/>
        <v/>
      </c>
      <c r="F1061" s="176" t="str">
        <f t="shared" si="2147"/>
        <v/>
      </c>
      <c r="G1061" s="177" t="str">
        <f t="shared" si="2135"/>
        <v/>
      </c>
      <c r="H1061" s="178"/>
      <c r="I1061" s="178"/>
      <c r="J1061" s="179"/>
      <c r="K1061" s="177" t="str">
        <f t="shared" si="2136"/>
        <v/>
      </c>
      <c r="L1061" s="178"/>
      <c r="M1061" s="178"/>
      <c r="N1061" s="179"/>
      <c r="O1061" s="177" t="str">
        <f t="shared" si="2137"/>
        <v/>
      </c>
      <c r="P1061" s="178"/>
      <c r="Q1061" s="178"/>
      <c r="R1061" s="179"/>
      <c r="S1061" s="177" t="str">
        <f t="shared" si="2138"/>
        <v/>
      </c>
      <c r="T1061" s="178"/>
      <c r="U1061" s="178"/>
      <c r="V1061" s="179"/>
      <c r="W1061" s="177" t="str">
        <f t="shared" si="2139"/>
        <v/>
      </c>
      <c r="X1061" s="178"/>
      <c r="Y1061" s="178"/>
      <c r="Z1061" s="179"/>
      <c r="AA1061" s="177" t="str">
        <f t="shared" si="2140"/>
        <v/>
      </c>
      <c r="AB1061" s="178"/>
      <c r="AC1061" s="178"/>
      <c r="AD1061" s="179"/>
      <c r="AE1061" s="180">
        <f t="shared" si="2141"/>
        <v>0</v>
      </c>
      <c r="AF1061" s="181">
        <f t="shared" si="2046"/>
        <v>0</v>
      </c>
      <c r="AG1061" s="182">
        <f t="shared" si="2142"/>
        <v>0</v>
      </c>
      <c r="AH1061" s="76" t="str">
        <f t="shared" si="2143"/>
        <v/>
      </c>
      <c r="AI1061" s="181">
        <f> ( IF(ISNUMBER(G1061), VLOOKUP(G1061/$AH1061,F!$A1:$B101,2,1)*G1061*$H1061*$I1061,0)+IF(ISNUMBER(K1061), VLOOKUP(K1061/$AH1061,F!$A1:$B101,2,1)*K1061*$L1061*$M1061,0)+IF(ISNUMBER(O1061), VLOOKUP(O1061/$AH1061,F!$A1:$B101,2,1)*O1061*$P1061*$Q1061,0)+IF(ISNUMBER(S1061), VLOOKUP(S1061/$AH1061,F!$A1:$B101,2,1)*S1061*$T1061*$U1061,0)+IF(ISNUMBER(W1061), VLOOKUP(W1061/$AH1061,F!$A1:$B101,2,1)*W1061*$X1061*$Y1061,0)+IF(ISNUMBER(AA1061), VLOOKUP(AA1061/$AH1061,F!$A1:$B101,2,1)*AA1061*$AB1061*$AC1061,0))*IF(ISNUMBER(F1061),F1061,1)*IF(ISNUMBER(E1061),E1061,1)</f>
        <v>0</v>
      </c>
      <c r="AJ1061" s="178">
        <f t="shared" si="2144"/>
        <v>0</v>
      </c>
      <c r="AK1061" s="183">
        <f t="array" ref="AK1061">IFERROR(I1061*INDEX(F!$P$21:$AB$33, MATCH(G1061/$AH1061, F!$O$21:$O$33,1), MATCH(E1061, F!$P$20:$AB$20,1)), 0 ) +IFERROR( M1061*INDEX(F!$P$21:$AB$33, MATCH(K1061/$AH1061, F!$O$21:$O$33,1), MATCH(E1061, F!$P$20:$AB$20,1)),0) +  IFERROR( Q1061*INDEX(F!$P$21:$AB$33, MATCH(O1061/$AH1061, F!$O$21:$O$33,1), MATCH(E1061, F!$P$20:$AB$20,1)), 0) + IFERROR( U1061*INDEX(F!$P$21:$AB$33, MATCH(S1061/$AH1061, F!$O$21:$O$33,1), MATCH(E1061, F!$P$20:$AB$20,1)),0)  + IFERROR(Y1061*INDEX(F!$P$21:$AB$33, MATCH(W1061/$AH1061, F!$O$21:$O$33,1), MATCH(E1061, F!$P$20:$AB$20,1)),0)  + IFERROR( AC1061*INDEX(F!$P$21:$AB$33, MATCH(AA1061/$AH1061, F!$O$21:$O$33,1), MATCH(E1061, F!$P$20:$AB$20,1)),)</f>
        <v>0</v>
      </c>
      <c r="AL1061" s="59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</row>
    <row r="1062" ht="15.75" hidden="1" customHeight="1">
      <c r="A1062" s="59"/>
      <c r="B1062" s="135" t="str">
        <f t="shared" ref="B1062:F1062" si="2148">IF(B1006="","",B1006)</f>
        <v/>
      </c>
      <c r="C1062" s="136" t="str">
        <f t="shared" si="2148"/>
        <v/>
      </c>
      <c r="D1062" s="137" t="str">
        <f t="shared" si="2148"/>
        <v/>
      </c>
      <c r="E1062" s="48" t="str">
        <f t="shared" si="2148"/>
        <v/>
      </c>
      <c r="F1062" s="138" t="str">
        <f t="shared" si="2148"/>
        <v/>
      </c>
      <c r="G1062" s="139" t="str">
        <f t="shared" si="2135"/>
        <v/>
      </c>
      <c r="H1062" s="140"/>
      <c r="I1062" s="140"/>
      <c r="J1062" s="141"/>
      <c r="K1062" s="139" t="str">
        <f t="shared" si="2136"/>
        <v/>
      </c>
      <c r="L1062" s="140"/>
      <c r="M1062" s="140"/>
      <c r="N1062" s="141"/>
      <c r="O1062" s="139" t="str">
        <f t="shared" si="2137"/>
        <v/>
      </c>
      <c r="P1062" s="140"/>
      <c r="Q1062" s="140"/>
      <c r="R1062" s="141"/>
      <c r="S1062" s="139" t="str">
        <f t="shared" si="2138"/>
        <v/>
      </c>
      <c r="T1062" s="140"/>
      <c r="U1062" s="140"/>
      <c r="V1062" s="141"/>
      <c r="W1062" s="139" t="str">
        <f t="shared" si="2139"/>
        <v/>
      </c>
      <c r="X1062" s="140"/>
      <c r="Y1062" s="140"/>
      <c r="Z1062" s="141"/>
      <c r="AA1062" s="139" t="str">
        <f t="shared" si="2140"/>
        <v/>
      </c>
      <c r="AB1062" s="140"/>
      <c r="AC1062" s="140"/>
      <c r="AD1062" s="141"/>
      <c r="AE1062" s="142">
        <f t="shared" si="2141"/>
        <v>0</v>
      </c>
      <c r="AF1062" s="143">
        <f t="shared" si="2046"/>
        <v>0</v>
      </c>
      <c r="AG1062" s="144">
        <f t="shared" si="2142"/>
        <v>0</v>
      </c>
      <c r="AH1062" s="76" t="str">
        <f t="shared" si="2143"/>
        <v/>
      </c>
      <c r="AI1062" s="143">
        <f> ( IF(ISNUMBER(G1062), VLOOKUP(G1062/$AH1062,F!$A1:$B101,2,1)*G1062*$H1062*$I1062,0)+IF(ISNUMBER(K1062), VLOOKUP(K1062/$AH1062,F!$A1:$B101,2,1)*K1062*$L1062*$M1062,0)+IF(ISNUMBER(O1062), VLOOKUP(O1062/$AH1062,F!$A1:$B101,2,1)*O1062*$P1062*$Q1062,0)+IF(ISNUMBER(S1062), VLOOKUP(S1062/$AH1062,F!$A1:$B101,2,1)*S1062*$T1062*$U1062,0)+IF(ISNUMBER(W1062), VLOOKUP(W1062/$AH1062,F!$A1:$B101,2,1)*W1062*$X1062*$Y1062,0)+IF(ISNUMBER(AA1062), VLOOKUP(AA1062/$AH1062,F!$A1:$B101,2,1)*AA1062*$AB1062*$AC1062,0))*IF(ISNUMBER(F1062),F1062,1)*IF(ISNUMBER(E1062),E1062,1)</f>
        <v>0</v>
      </c>
      <c r="AJ1062" s="140">
        <f t="shared" si="2144"/>
        <v>0</v>
      </c>
      <c r="AK1062" s="145">
        <f t="array" ref="AK1062">IFERROR(I1062*INDEX(F!$P$21:$AB$33, MATCH(G1062/$AH1062, F!$O$21:$O$33,1), MATCH(E1062, F!$P$20:$AB$20,1)), 0 ) +IFERROR( M1062*INDEX(F!$P$21:$AB$33, MATCH(K1062/$AH1062, F!$O$21:$O$33,1), MATCH(E1062, F!$P$20:$AB$20,1)),0) +  IFERROR( Q1062*INDEX(F!$P$21:$AB$33, MATCH(O1062/$AH1062, F!$O$21:$O$33,1), MATCH(E1062, F!$P$20:$AB$20,1)), 0) + IFERROR( U1062*INDEX(F!$P$21:$AB$33, MATCH(S1062/$AH1062, F!$O$21:$O$33,1), MATCH(E1062, F!$P$20:$AB$20,1)),0)  + IFERROR(Y1062*INDEX(F!$P$21:$AB$33, MATCH(W1062/$AH1062, F!$O$21:$O$33,1), MATCH(E1062, F!$P$20:$AB$20,1)),0)  + IFERROR( AC1062*INDEX(F!$P$21:$AB$33, MATCH(AA1062/$AH1062, F!$O$21:$O$33,1), MATCH(E1062, F!$P$20:$AB$20,1)),)</f>
        <v>0</v>
      </c>
      <c r="AL1062" s="59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</row>
    <row r="1063" ht="15.75" hidden="1" customHeight="1">
      <c r="A1063" s="59"/>
      <c r="B1063" s="173" t="str">
        <f t="shared" ref="B1063:F1063" si="2149">IF(B1007="","",B1007)</f>
        <v/>
      </c>
      <c r="C1063" s="174" t="str">
        <f t="shared" si="2149"/>
        <v/>
      </c>
      <c r="D1063" s="175" t="str">
        <f t="shared" si="2149"/>
        <v/>
      </c>
      <c r="E1063" s="48" t="str">
        <f t="shared" si="2149"/>
        <v/>
      </c>
      <c r="F1063" s="176" t="str">
        <f t="shared" si="2149"/>
        <v/>
      </c>
      <c r="G1063" s="177" t="str">
        <f t="shared" si="2135"/>
        <v/>
      </c>
      <c r="H1063" s="178"/>
      <c r="I1063" s="178"/>
      <c r="J1063" s="179"/>
      <c r="K1063" s="177" t="str">
        <f t="shared" si="2136"/>
        <v/>
      </c>
      <c r="L1063" s="178"/>
      <c r="M1063" s="178"/>
      <c r="N1063" s="179"/>
      <c r="O1063" s="177" t="str">
        <f t="shared" si="2137"/>
        <v/>
      </c>
      <c r="P1063" s="178"/>
      <c r="Q1063" s="178"/>
      <c r="R1063" s="179"/>
      <c r="S1063" s="177" t="str">
        <f t="shared" si="2138"/>
        <v/>
      </c>
      <c r="T1063" s="178"/>
      <c r="U1063" s="178"/>
      <c r="V1063" s="179"/>
      <c r="W1063" s="177" t="str">
        <f t="shared" si="2139"/>
        <v/>
      </c>
      <c r="X1063" s="178"/>
      <c r="Y1063" s="178"/>
      <c r="Z1063" s="179"/>
      <c r="AA1063" s="177" t="str">
        <f t="shared" si="2140"/>
        <v/>
      </c>
      <c r="AB1063" s="178"/>
      <c r="AC1063" s="178"/>
      <c r="AD1063" s="179"/>
      <c r="AE1063" s="180">
        <f t="shared" si="2141"/>
        <v>0</v>
      </c>
      <c r="AF1063" s="181">
        <f t="shared" si="2046"/>
        <v>0</v>
      </c>
      <c r="AG1063" s="182">
        <f t="shared" si="2142"/>
        <v>0</v>
      </c>
      <c r="AH1063" s="76" t="str">
        <f t="shared" si="2143"/>
        <v/>
      </c>
      <c r="AI1063" s="181">
        <f> ( IF(ISNUMBER(G1063), VLOOKUP(G1063/$AH1063,F!$A1:$B101,2,1)*G1063*$H1063*$I1063,0)+IF(ISNUMBER(K1063), VLOOKUP(K1063/$AH1063,F!$A1:$B101,2,1)*K1063*$L1063*$M1063,0)+IF(ISNUMBER(O1063), VLOOKUP(O1063/$AH1063,F!$A1:$B101,2,1)*O1063*$P1063*$Q1063,0)+IF(ISNUMBER(S1063), VLOOKUP(S1063/$AH1063,F!$A1:$B101,2,1)*S1063*$T1063*$U1063,0)+IF(ISNUMBER(W1063), VLOOKUP(W1063/$AH1063,F!$A1:$B101,2,1)*W1063*$X1063*$Y1063,0)+IF(ISNUMBER(AA1063), VLOOKUP(AA1063/$AH1063,F!$A1:$B101,2,1)*AA1063*$AB1063*$AC1063,0))*IF(ISNUMBER(F1063),F1063,1)*IF(ISNUMBER(E1063),E1063,1)</f>
        <v>0</v>
      </c>
      <c r="AJ1063" s="178">
        <f t="shared" si="2144"/>
        <v>0</v>
      </c>
      <c r="AK1063" s="183">
        <f t="array" ref="AK1063">IFERROR(I1063*INDEX(F!$P$21:$AB$33, MATCH(G1063/$AH1063, F!$O$21:$O$33,1), MATCH(E1063, F!$P$20:$AB$20,1)), 0 ) +IFERROR( M1063*INDEX(F!$P$21:$AB$33, MATCH(K1063/$AH1063, F!$O$21:$O$33,1), MATCH(E1063, F!$P$20:$AB$20,1)),0) +  IFERROR( Q1063*INDEX(F!$P$21:$AB$33, MATCH(O1063/$AH1063, F!$O$21:$O$33,1), MATCH(E1063, F!$P$20:$AB$20,1)), 0) + IFERROR( U1063*INDEX(F!$P$21:$AB$33, MATCH(S1063/$AH1063, F!$O$21:$O$33,1), MATCH(E1063, F!$P$20:$AB$20,1)),0)  + IFERROR(Y1063*INDEX(F!$P$21:$AB$33, MATCH(W1063/$AH1063, F!$O$21:$O$33,1), MATCH(E1063, F!$P$20:$AB$20,1)),0)  + IFERROR( AC1063*INDEX(F!$P$21:$AB$33, MATCH(AA1063/$AH1063, F!$O$21:$O$33,1), MATCH(E1063, F!$P$20:$AB$20,1)),)</f>
        <v>0</v>
      </c>
      <c r="AL1063" s="59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</row>
    <row r="1064" ht="15.75" hidden="1" customHeight="1">
      <c r="A1064" s="59"/>
      <c r="B1064" s="135" t="str">
        <f t="shared" ref="B1064:F1064" si="2150">IF(B1008="","",B1008)</f>
        <v/>
      </c>
      <c r="C1064" s="136" t="str">
        <f t="shared" si="2150"/>
        <v/>
      </c>
      <c r="D1064" s="137" t="str">
        <f t="shared" si="2150"/>
        <v/>
      </c>
      <c r="E1064" s="48" t="str">
        <f t="shared" si="2150"/>
        <v/>
      </c>
      <c r="F1064" s="138" t="str">
        <f t="shared" si="2150"/>
        <v/>
      </c>
      <c r="G1064" s="139" t="str">
        <f t="shared" si="2135"/>
        <v/>
      </c>
      <c r="H1064" s="140"/>
      <c r="I1064" s="140"/>
      <c r="J1064" s="141"/>
      <c r="K1064" s="139" t="str">
        <f t="shared" si="2136"/>
        <v/>
      </c>
      <c r="L1064" s="140"/>
      <c r="M1064" s="140"/>
      <c r="N1064" s="141"/>
      <c r="O1064" s="139" t="str">
        <f t="shared" si="2137"/>
        <v/>
      </c>
      <c r="P1064" s="140"/>
      <c r="Q1064" s="140"/>
      <c r="R1064" s="141"/>
      <c r="S1064" s="139" t="str">
        <f t="shared" si="2138"/>
        <v/>
      </c>
      <c r="T1064" s="140"/>
      <c r="U1064" s="140"/>
      <c r="V1064" s="141"/>
      <c r="W1064" s="139" t="str">
        <f t="shared" si="2139"/>
        <v/>
      </c>
      <c r="X1064" s="140"/>
      <c r="Y1064" s="140"/>
      <c r="Z1064" s="141"/>
      <c r="AA1064" s="139" t="str">
        <f t="shared" si="2140"/>
        <v/>
      </c>
      <c r="AB1064" s="140"/>
      <c r="AC1064" s="140"/>
      <c r="AD1064" s="141"/>
      <c r="AE1064" s="142">
        <f t="shared" si="2141"/>
        <v>0</v>
      </c>
      <c r="AF1064" s="143">
        <f t="shared" si="2046"/>
        <v>0</v>
      </c>
      <c r="AG1064" s="144">
        <f t="shared" si="2142"/>
        <v>0</v>
      </c>
      <c r="AH1064" s="76" t="str">
        <f t="shared" si="2143"/>
        <v/>
      </c>
      <c r="AI1064" s="143">
        <f> ( IF(ISNUMBER(G1064), VLOOKUP(G1064/$AH1064,F!$A1:$B101,2,1)*G1064*$H1064*$I1064,0)+IF(ISNUMBER(K1064), VLOOKUP(K1064/$AH1064,F!$A1:$B101,2,1)*K1064*$L1064*$M1064,0)+IF(ISNUMBER(O1064), VLOOKUP(O1064/$AH1064,F!$A1:$B101,2,1)*O1064*$P1064*$Q1064,0)+IF(ISNUMBER(S1064), VLOOKUP(S1064/$AH1064,F!$A1:$B101,2,1)*S1064*$T1064*$U1064,0)+IF(ISNUMBER(W1064), VLOOKUP(W1064/$AH1064,F!$A1:$B101,2,1)*W1064*$X1064*$Y1064,0)+IF(ISNUMBER(AA1064), VLOOKUP(AA1064/$AH1064,F!$A1:$B101,2,1)*AA1064*$AB1064*$AC1064,0))*IF(ISNUMBER(F1064),F1064,1)*IF(ISNUMBER(E1064),E1064,1)</f>
        <v>0</v>
      </c>
      <c r="AJ1064" s="140">
        <f t="shared" si="2144"/>
        <v>0</v>
      </c>
      <c r="AK1064" s="145">
        <f t="array" ref="AK1064">IFERROR(I1064*INDEX(F!$P$21:$AB$33, MATCH(G1064/$AH1064, F!$O$21:$O$33,1), MATCH(E1064, F!$P$20:$AB$20,1)), 0 ) +IFERROR( M1064*INDEX(F!$P$21:$AB$33, MATCH(K1064/$AH1064, F!$O$21:$O$33,1), MATCH(E1064, F!$P$20:$AB$20,1)),0) +  IFERROR( Q1064*INDEX(F!$P$21:$AB$33, MATCH(O1064/$AH1064, F!$O$21:$O$33,1), MATCH(E1064, F!$P$20:$AB$20,1)), 0) + IFERROR( U1064*INDEX(F!$P$21:$AB$33, MATCH(S1064/$AH1064, F!$O$21:$O$33,1), MATCH(E1064, F!$P$20:$AB$20,1)),0)  + IFERROR(Y1064*INDEX(F!$P$21:$AB$33, MATCH(W1064/$AH1064, F!$O$21:$O$33,1), MATCH(E1064, F!$P$20:$AB$20,1)),0)  + IFERROR( AC1064*INDEX(F!$P$21:$AB$33, MATCH(AA1064/$AH1064, F!$O$21:$O$33,1), MATCH(E1064, F!$P$20:$AB$20,1)),)</f>
        <v>0</v>
      </c>
      <c r="AL1064" s="59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</row>
    <row r="1065" ht="15.75" hidden="1" customHeight="1">
      <c r="A1065" s="98"/>
      <c r="B1065" s="188"/>
      <c r="C1065" s="189"/>
      <c r="D1065" s="190"/>
      <c r="E1065" s="102">
        <f>ROUND(IFERROR(SUMPRODUCT(AJ1057:AJ1064,E1057:E1064)/AJ1065,0),3)</f>
        <v>0</v>
      </c>
      <c r="F1065" s="191"/>
      <c r="G1065" s="201"/>
      <c r="H1065" s="193"/>
      <c r="I1065" s="193"/>
      <c r="J1065" s="194"/>
      <c r="K1065" s="201"/>
      <c r="L1065" s="193"/>
      <c r="M1065" s="193"/>
      <c r="N1065" s="194"/>
      <c r="O1065" s="201"/>
      <c r="P1065" s="193"/>
      <c r="Q1065" s="193"/>
      <c r="R1065" s="194"/>
      <c r="S1065" s="201"/>
      <c r="T1065" s="193"/>
      <c r="U1065" s="193"/>
      <c r="V1065" s="194"/>
      <c r="W1065" s="201"/>
      <c r="X1065" s="193"/>
      <c r="Y1065" s="193"/>
      <c r="Z1065" s="194"/>
      <c r="AA1065" s="201"/>
      <c r="AB1065" s="193"/>
      <c r="AC1065" s="193"/>
      <c r="AD1065" s="194"/>
      <c r="AE1065" s="107">
        <f>SUM(AE1057:AE1064)</f>
        <v>0</v>
      </c>
      <c r="AF1065" s="108">
        <f t="shared" si="2046"/>
        <v>0</v>
      </c>
      <c r="AG1065" s="109">
        <f>IFERROR(  SUMPRODUCT(AG1057:AG1064,AJ1057:AJ1064)/AJ1065,0)</f>
        <v>0</v>
      </c>
      <c r="AH1065" s="157"/>
      <c r="AI1065" s="111">
        <f t="shared" ref="AI1065:AJ1065" si="2151">SUM(AI1057:AI1064)</f>
        <v>0</v>
      </c>
      <c r="AJ1065" s="111">
        <f t="shared" si="2151"/>
        <v>0</v>
      </c>
      <c r="AK1065" s="112">
        <f>IF(SUM(AK1057:AK1064)=0,TIME(,0,),TIME(,SUM(AK1057:AK1064)+F!$V$37,))</f>
        <v>0</v>
      </c>
      <c r="AL1065" s="98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</row>
    <row r="1066" ht="15.75" hidden="1" customHeight="1">
      <c r="A1066" s="204">
        <f>A1010</f>
        <v>7</v>
      </c>
      <c r="B1066" s="205"/>
      <c r="C1066" s="205"/>
      <c r="D1066" s="205"/>
      <c r="E1066" s="7">
        <f>IF(AJ1066=0,0,(E1076*AJ1076 + E1085*AJ1085 + E1094*AJ1094 + E1103*AJ1103 + E1112*AJ1112 + E1121*AJ1121   ) /AJ1066 )</f>
        <v>0</v>
      </c>
      <c r="F1066" s="206" t="s">
        <v>0</v>
      </c>
      <c r="G1066" s="9"/>
      <c r="H1066" s="9"/>
      <c r="I1066" s="9"/>
      <c r="J1066" s="9"/>
      <c r="K1066" s="9"/>
      <c r="L1066" s="9"/>
      <c r="M1066" s="10"/>
      <c r="N1066" s="221">
        <f>N1010+1</f>
        <v>20</v>
      </c>
      <c r="O1066" s="222"/>
      <c r="P1066" s="222"/>
      <c r="Q1066" s="222"/>
      <c r="R1066" s="222"/>
      <c r="S1066" s="222"/>
      <c r="T1066" s="222"/>
      <c r="U1066" s="222"/>
      <c r="V1066" s="222"/>
      <c r="W1066" s="222"/>
      <c r="X1066" s="222"/>
      <c r="Y1066" s="222"/>
      <c r="Z1066" s="222"/>
      <c r="AA1066" s="222"/>
      <c r="AB1066" s="222"/>
      <c r="AC1066" s="222"/>
      <c r="AD1066" s="223"/>
      <c r="AE1066" s="224">
        <f>AE1076+AE1085+AE1094+AE1103+AE1112+AE1121</f>
        <v>0</v>
      </c>
      <c r="AF1066" s="225">
        <f t="shared" si="2046"/>
        <v>0</v>
      </c>
      <c r="AG1066" s="226">
        <f>IF(AJ1066=0,0,(AG1076*AJ1076 + AG1085*AJ1085 + AG1094*AJ1094 + AG1103*AJ1103 + AG1112*AJ1112 + AG1121*AJ1121   ) /AJ1066 )</f>
        <v>0</v>
      </c>
      <c r="AH1066" s="210">
        <f>AH1010</f>
        <v>0.02</v>
      </c>
      <c r="AI1066" s="224">
        <f t="shared" ref="AI1066:AK1066" si="2152">AI1076+AI1085+AI1094+AI1103+AI1112+AI1121</f>
        <v>0</v>
      </c>
      <c r="AJ1066" s="224">
        <f t="shared" si="2152"/>
        <v>0</v>
      </c>
      <c r="AK1066" s="227">
        <f t="shared" si="2152"/>
        <v>0</v>
      </c>
      <c r="AL1066" s="212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</row>
    <row r="1067" ht="15.75" hidden="1" customHeight="1">
      <c r="A1067" s="19" t="s">
        <v>1</v>
      </c>
      <c r="B1067" s="20" t="s">
        <v>2</v>
      </c>
      <c r="C1067" s="20" t="s">
        <v>3</v>
      </c>
      <c r="D1067" s="20" t="s">
        <v>4</v>
      </c>
      <c r="E1067" s="20" t="s">
        <v>5</v>
      </c>
      <c r="F1067" s="20" t="s">
        <v>6</v>
      </c>
      <c r="G1067" s="20" t="s">
        <v>7</v>
      </c>
      <c r="H1067" s="20" t="s">
        <v>8</v>
      </c>
      <c r="I1067" s="20" t="s">
        <v>9</v>
      </c>
      <c r="J1067" s="20" t="s">
        <v>10</v>
      </c>
      <c r="K1067" s="20" t="s">
        <v>7</v>
      </c>
      <c r="L1067" s="20" t="s">
        <v>8</v>
      </c>
      <c r="M1067" s="20" t="s">
        <v>9</v>
      </c>
      <c r="N1067" s="20" t="s">
        <v>10</v>
      </c>
      <c r="O1067" s="20" t="s">
        <v>7</v>
      </c>
      <c r="P1067" s="20" t="s">
        <v>8</v>
      </c>
      <c r="Q1067" s="20" t="s">
        <v>9</v>
      </c>
      <c r="R1067" s="20" t="s">
        <v>10</v>
      </c>
      <c r="S1067" s="20" t="s">
        <v>7</v>
      </c>
      <c r="T1067" s="20" t="s">
        <v>8</v>
      </c>
      <c r="U1067" s="20" t="s">
        <v>9</v>
      </c>
      <c r="V1067" s="20" t="s">
        <v>10</v>
      </c>
      <c r="W1067" s="20" t="s">
        <v>7</v>
      </c>
      <c r="X1067" s="20" t="s">
        <v>8</v>
      </c>
      <c r="Y1067" s="20" t="s">
        <v>9</v>
      </c>
      <c r="Z1067" s="20" t="s">
        <v>10</v>
      </c>
      <c r="AA1067" s="20" t="s">
        <v>7</v>
      </c>
      <c r="AB1067" s="20" t="s">
        <v>8</v>
      </c>
      <c r="AC1067" s="20" t="s">
        <v>9</v>
      </c>
      <c r="AD1067" s="21" t="s">
        <v>10</v>
      </c>
      <c r="AE1067" s="20" t="s">
        <v>11</v>
      </c>
      <c r="AF1067" s="20" t="s">
        <v>12</v>
      </c>
      <c r="AG1067" s="20" t="s">
        <v>13</v>
      </c>
      <c r="AH1067" s="213" t="s">
        <v>14</v>
      </c>
      <c r="AI1067" s="23" t="s">
        <v>15</v>
      </c>
      <c r="AJ1067" s="20" t="s">
        <v>16</v>
      </c>
      <c r="AK1067" s="21" t="s">
        <v>17</v>
      </c>
      <c r="AL1067" s="214" t="s">
        <v>18</v>
      </c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</row>
    <row r="1068" ht="15.75" hidden="1" customHeight="1">
      <c r="A1068" s="25">
        <f>A1069</f>
        <v>43913</v>
      </c>
      <c r="B1068" s="26" t="str">
        <f t="shared" ref="B1068:F1068" si="2153">IF(B1012="","",B1012)</f>
        <v>Средняя</v>
      </c>
      <c r="C1068" s="27" t="str">
        <f t="shared" si="2153"/>
        <v>ПР</v>
      </c>
      <c r="D1068" s="28" t="str">
        <f t="shared" si="2153"/>
        <v>Присед</v>
      </c>
      <c r="E1068" s="29">
        <f t="shared" si="2153"/>
        <v>1.2</v>
      </c>
      <c r="F1068" s="30" t="str">
        <f t="shared" si="2153"/>
        <v/>
      </c>
      <c r="G1068" s="31" t="str">
        <f t="shared" ref="G1068:G1075" si="2155">IF(J1068&lt;&gt;0, IFERROR(IF( $F1068=2,  MROUND($AH1068*J1068,1),    IF( OR($F1068="",$F1068=1),   MROUND($AH1068*J1068,2.5),  MROUND($AH1068*J1068, 0.1))), "" ), "")</f>
        <v/>
      </c>
      <c r="H1068" s="32"/>
      <c r="I1068" s="32"/>
      <c r="J1068" s="33"/>
      <c r="K1068" s="31" t="str">
        <f t="shared" ref="K1068:K1075" si="2156">IF(N1068&lt;&gt;0, IFERROR(IF( $F1068=2,  MROUND($AH1068*N1068,1),    IF( OR($F1068="",$F1068=1),   MROUND($AH1068*N1068,2.5),  MROUND($AH1068*N1068, 0.1))), "" ), "")</f>
        <v/>
      </c>
      <c r="L1068" s="32"/>
      <c r="M1068" s="32"/>
      <c r="N1068" s="33"/>
      <c r="O1068" s="31" t="str">
        <f t="shared" ref="O1068:O1075" si="2157">IF(R1068&lt;&gt;0, IFERROR(IF( $F1068=2,  MROUND($AH1068*R1068,1),    IF( OR($F1068="",$F1068=1),   MROUND($AH1068*R1068,2.5),  MROUND($AH1068*R1068, 0.1))), "" ), "")</f>
        <v/>
      </c>
      <c r="P1068" s="32"/>
      <c r="Q1068" s="32"/>
      <c r="R1068" s="33"/>
      <c r="S1068" s="31" t="str">
        <f t="shared" ref="S1068:S1075" si="2158">IF(V1068&lt;&gt;0, IFERROR(IF( $F1068=2,  MROUND($AH1068*V1068,1),    IF( OR($F1068="",$F1068=1),   MROUND($AH1068*V1068,2.5),  MROUND($AH1068*V1068, 0.1))), "" ), "")</f>
        <v/>
      </c>
      <c r="T1068" s="32"/>
      <c r="U1068" s="32"/>
      <c r="V1068" s="33"/>
      <c r="W1068" s="31" t="str">
        <f t="shared" ref="W1068:W1075" si="2159">IF(Z1068&lt;&gt;0, IFERROR(IF( $F1068=2,  MROUND($AH1068*Z1068,1),    IF( OR($F1068="",$F1068=1),   MROUND($AH1068*Z1068,2.5),  MROUND($AH1068*Z1068, 0.1))), "" ), "")</f>
        <v/>
      </c>
      <c r="X1068" s="32"/>
      <c r="Y1068" s="32"/>
      <c r="Z1068" s="33"/>
      <c r="AA1068" s="31" t="str">
        <f t="shared" ref="AA1068:AA1075" si="2160">IF(AD1068&lt;&gt;0, IFERROR(IF( $F1068=2,  MROUND($AH1068*AD1068,1),    IF( OR($F1068="",$F1068=1),   MROUND($AH1068*AD1068,2.5),  MROUND($AH1068*AD1068, 0.1))), "" ), "")</f>
        <v/>
      </c>
      <c r="AB1068" s="32"/>
      <c r="AC1068" s="32"/>
      <c r="AD1068" s="33"/>
      <c r="AE1068" s="35">
        <f t="shared" ref="AE1068:AE1075" si="2161">(IF(ISNUMBER(G1068),G1068,0)*H1068*I1068+IF(ISNUMBER(K1068),K1068,1)*L1068*M1068+IF(ISNUMBER(O1068),O1068,1)*P1068*Q1068+IF(ISNUMBER(S1068),S1068,1)*T1068*U1068+IF(ISNUMBER(W1068),W1068,1)*X1068*Y1068+IF(ISNUMBER(AA1068),AA1068,1)*AB1068*AC1068)*IF(ISNUMBER(F1068),F1068,1)</f>
        <v>0</v>
      </c>
      <c r="AF1068" s="36">
        <f t="shared" ref="AF1068:AF1122" si="2162">IFERROR(AE1068/AJ1068,0)</f>
        <v>0</v>
      </c>
      <c r="AG1068" s="195">
        <f t="shared" ref="AG1068:AG1075" si="2163">IFERROR((AF1068/(AH1068*IF(ISNUMBER(F1068),F1068,1))),0)</f>
        <v>0</v>
      </c>
      <c r="AH1068" s="169">
        <f t="shared" ref="AH1068:AH1075" si="2164">IF(ISNUMBER(AH1012), AH1012+(AH1012*$AH$1066),"")</f>
        <v>196.6695083</v>
      </c>
      <c r="AI1068" s="70">
        <f> ( IF(ISNUMBER(G1068), VLOOKUP(G1068/$AH1068,F!$A1:$B101,2,1)*G1068*$H1068*$I1068,0)+IF(ISNUMBER(K1068), VLOOKUP(K1068/$AH1068,F!$A1:$B101,2,1)*K1068*$L1068*$M1068,0)+IF(ISNUMBER(O1068), VLOOKUP(O1068/$AH1068,F!$A1:$B101,2,1)*O1068*$P1068*$Q1068,0)+IF(ISNUMBER(S1068), VLOOKUP(S1068/$AH1068,F!$A1:$B101,2,1)*S1068*$T1068*$U1068,0)+IF(ISNUMBER(W1068), VLOOKUP(W1068/$AH1068,F!$A1:$B101,2,1)*W1068*$X1068*$Y1068,0)+IF(ISNUMBER(AA1068), VLOOKUP(AA1068/$AH1068,F!$A1:$B101,2,1)*AA1068*$AB1068*$AC1068,0))*IF(ISNUMBER(F1068),F1068,1)*IF(ISNUMBER(E1068),E1068,1)</f>
        <v>0</v>
      </c>
      <c r="AJ1068" s="40">
        <f t="shared" ref="AJ1068:AJ1075" si="2165">H1068*I1068+L1068*M1068+P1068*Q1068+T1068*U1068+X1068*Y1068+AB1068*AC1068</f>
        <v>0</v>
      </c>
      <c r="AK1068" s="41">
        <f t="array" ref="AK1068">IFERROR(I1068*INDEX(F!$P$21:$AB$33, MATCH(G1068/$AH1068, F!$O$21:$O$33,1), MATCH(E1068, F!$P$20:$AB$20,1)), 0 ) +IFERROR( M1068*INDEX(F!$P$21:$AB$33, MATCH(K1068/$AH1068, F!$O$21:$O$33,1), MATCH(E1068, F!$P$20:$AB$20,1)),0) +  IFERROR( Q1068*INDEX(F!$P$21:$AB$33, MATCH(O1068/$AH1068, F!$O$21:$O$33,1), MATCH(E1068, F!$P$20:$AB$20,1)), 0) + IFERROR( U1068*INDEX(F!$P$21:$AB$33, MATCH(S1068/$AH1068, F!$O$21:$O$33,1), MATCH(E1068, F!$P$20:$AB$20,1)),0)  + IFERROR(Y1068*INDEX(F!$P$21:$AB$33, MATCH(W1068/$AH1068, F!$O$21:$O$33,1), MATCH(E1068, F!$P$20:$AB$20,1)),0)  + IFERROR( AC1068*INDEX(F!$P$21:$AB$33, MATCH(AA1068/$AH1068, F!$O$21:$O$33,1), MATCH(E1068, F!$P$20:$AB$20,1)),)</f>
        <v>0</v>
      </c>
      <c r="AL1068" s="42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</row>
    <row r="1069" ht="15.75" hidden="1" customHeight="1">
      <c r="A1069" s="44">
        <f>A1013+A1010</f>
        <v>43913</v>
      </c>
      <c r="B1069" s="45" t="str">
        <f t="shared" ref="B1069:F1069" si="2154">IF(B1013="","",B1013)</f>
        <v>Средняя</v>
      </c>
      <c r="C1069" s="46" t="str">
        <f t="shared" si="2154"/>
        <v>ЖМ</v>
      </c>
      <c r="D1069" s="47" t="str">
        <f t="shared" si="2154"/>
        <v>Жим лежа</v>
      </c>
      <c r="E1069" s="48">
        <f t="shared" si="2154"/>
        <v>1</v>
      </c>
      <c r="F1069" s="49" t="str">
        <f t="shared" si="2154"/>
        <v/>
      </c>
      <c r="G1069" s="50" t="str">
        <f t="shared" si="2155"/>
        <v/>
      </c>
      <c r="H1069" s="51"/>
      <c r="I1069" s="51"/>
      <c r="J1069" s="52"/>
      <c r="K1069" s="50" t="str">
        <f t="shared" si="2156"/>
        <v/>
      </c>
      <c r="L1069" s="51"/>
      <c r="M1069" s="51"/>
      <c r="N1069" s="52"/>
      <c r="O1069" s="50" t="str">
        <f t="shared" si="2157"/>
        <v/>
      </c>
      <c r="P1069" s="51"/>
      <c r="Q1069" s="51"/>
      <c r="R1069" s="52"/>
      <c r="S1069" s="50" t="str">
        <f t="shared" si="2158"/>
        <v/>
      </c>
      <c r="T1069" s="51"/>
      <c r="U1069" s="51"/>
      <c r="V1069" s="52"/>
      <c r="W1069" s="50" t="str">
        <f t="shared" si="2159"/>
        <v/>
      </c>
      <c r="X1069" s="51"/>
      <c r="Y1069" s="51"/>
      <c r="Z1069" s="52"/>
      <c r="AA1069" s="50" t="str">
        <f t="shared" si="2160"/>
        <v/>
      </c>
      <c r="AB1069" s="51"/>
      <c r="AC1069" s="51"/>
      <c r="AD1069" s="52"/>
      <c r="AE1069" s="53">
        <f t="shared" si="2161"/>
        <v>0</v>
      </c>
      <c r="AF1069" s="54">
        <f t="shared" si="2162"/>
        <v>0</v>
      </c>
      <c r="AG1069" s="75">
        <f t="shared" si="2163"/>
        <v>0</v>
      </c>
      <c r="AH1069" s="76">
        <f t="shared" si="2164"/>
        <v>138.3970614</v>
      </c>
      <c r="AI1069" s="77">
        <f> ( IF(ISNUMBER(G1069), VLOOKUP(G1069/$AH1069,F!$A1:$B101,2,1)*G1069*$H1069*$I1069,0)+IF(ISNUMBER(K1069), VLOOKUP(K1069/$AH1069,F!$A1:$B101,2,1)*K1069*$L1069*$M1069,0)+IF(ISNUMBER(O1069), VLOOKUP(O1069/$AH1069,F!$A1:$B101,2,1)*O1069*$P1069*$Q1069,0)+IF(ISNUMBER(S1069), VLOOKUP(S1069/$AH1069,F!$A1:$B101,2,1)*S1069*$T1069*$U1069,0)+IF(ISNUMBER(W1069), VLOOKUP(W1069/$AH1069,F!$A1:$B101,2,1)*W1069*$X1069*$Y1069,0)+IF(ISNUMBER(AA1069), VLOOKUP(AA1069/$AH1069,F!$A1:$B101,2,1)*AA1069*$AB1069*$AC1069,0))*IF(ISNUMBER(F1069),F1069,1)*IF(ISNUMBER(E1069),E1069,1)</f>
        <v>0</v>
      </c>
      <c r="AJ1069" s="57">
        <f t="shared" si="2165"/>
        <v>0</v>
      </c>
      <c r="AK1069" s="58">
        <f t="array" ref="AK1069">IFERROR(I1069*INDEX(F!$P$21:$AB$33, MATCH(G1069/$AH1069, F!$O$21:$O$33,1), MATCH(E1069, F!$P$20:$AB$20,1)), 0 ) +IFERROR( M1069*INDEX(F!$P$21:$AB$33, MATCH(K1069/$AH1069, F!$O$21:$O$33,1), MATCH(E1069, F!$P$20:$AB$20,1)),0) +  IFERROR( Q1069*INDEX(F!$P$21:$AB$33, MATCH(O1069/$AH1069, F!$O$21:$O$33,1), MATCH(E1069, F!$P$20:$AB$20,1)), 0) + IFERROR( U1069*INDEX(F!$P$21:$AB$33, MATCH(S1069/$AH1069, F!$O$21:$O$33,1), MATCH(E1069, F!$P$20:$AB$20,1)),0)  + IFERROR(Y1069*INDEX(F!$P$21:$AB$33, MATCH(W1069/$AH1069, F!$O$21:$O$33,1), MATCH(E1069, F!$P$20:$AB$20,1)),0)  + IFERROR( AC1069*INDEX(F!$P$21:$AB$33, MATCH(AA1069/$AH1069, F!$O$21:$O$33,1), MATCH(E1069, F!$P$20:$AB$20,1)),)</f>
        <v>0</v>
      </c>
      <c r="AL1069" s="59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</row>
    <row r="1070" ht="15.75" hidden="1" customHeight="1">
      <c r="A1070" s="59"/>
      <c r="B1070" s="60" t="str">
        <f t="shared" ref="B1070:F1070" si="2166">IF(B1014="","",B1014)</f>
        <v>Тяжелая</v>
      </c>
      <c r="C1070" s="61" t="str">
        <f t="shared" si="2166"/>
        <v>ПР</v>
      </c>
      <c r="D1070" s="62" t="str">
        <f t="shared" si="2166"/>
        <v>Присед</v>
      </c>
      <c r="E1070" s="48">
        <f t="shared" si="2166"/>
        <v>1.2</v>
      </c>
      <c r="F1070" s="63" t="str">
        <f t="shared" si="2166"/>
        <v/>
      </c>
      <c r="G1070" s="64" t="str">
        <f t="shared" si="2155"/>
        <v/>
      </c>
      <c r="H1070" s="34"/>
      <c r="I1070" s="34"/>
      <c r="J1070" s="65"/>
      <c r="K1070" s="64" t="str">
        <f t="shared" si="2156"/>
        <v/>
      </c>
      <c r="L1070" s="34"/>
      <c r="M1070" s="34"/>
      <c r="N1070" s="65"/>
      <c r="O1070" s="64" t="str">
        <f t="shared" si="2157"/>
        <v/>
      </c>
      <c r="P1070" s="34"/>
      <c r="Q1070" s="34"/>
      <c r="R1070" s="65"/>
      <c r="S1070" s="64" t="str">
        <f t="shared" si="2158"/>
        <v/>
      </c>
      <c r="T1070" s="34"/>
      <c r="U1070" s="34"/>
      <c r="V1070" s="65"/>
      <c r="W1070" s="64" t="str">
        <f t="shared" si="2159"/>
        <v/>
      </c>
      <c r="X1070" s="34"/>
      <c r="Y1070" s="34"/>
      <c r="Z1070" s="65"/>
      <c r="AA1070" s="64" t="str">
        <f t="shared" si="2160"/>
        <v/>
      </c>
      <c r="AB1070" s="34"/>
      <c r="AC1070" s="34"/>
      <c r="AD1070" s="65"/>
      <c r="AE1070" s="66">
        <f t="shared" si="2161"/>
        <v>0</v>
      </c>
      <c r="AF1070" s="67">
        <f t="shared" si="2162"/>
        <v>0</v>
      </c>
      <c r="AG1070" s="68">
        <f t="shared" si="2163"/>
        <v>0</v>
      </c>
      <c r="AH1070" s="76">
        <f t="shared" si="2164"/>
        <v>196.6695083</v>
      </c>
      <c r="AI1070" s="70">
        <f> ( IF(ISNUMBER(G1070), VLOOKUP(G1070/$AH1070,F!$A1:$B101,2,1)*G1070*$H1070*$I1070,0)+IF(ISNUMBER(K1070), VLOOKUP(K1070/$AH1070,F!$A1:$B101,2,1)*K1070*$L1070*$M1070,0)+IF(ISNUMBER(O1070), VLOOKUP(O1070/$AH1070,F!$A1:$B101,2,1)*O1070*$P1070*$Q1070,0)+IF(ISNUMBER(S1070), VLOOKUP(S1070/$AH1070,F!$A1:$B101,2,1)*S1070*$T1070*$U1070,0)+IF(ISNUMBER(W1070), VLOOKUP(W1070/$AH1070,F!$A1:$B101,2,1)*W1070*$X1070*$Y1070,0)+IF(ISNUMBER(AA1070), VLOOKUP(AA1070/$AH1070,F!$A1:$B101,2,1)*AA1070*$AB1070*$AC1070,0))*IF(ISNUMBER(F1070),F1070,1)*IF(ISNUMBER(E1070),E1070,1)</f>
        <v>0</v>
      </c>
      <c r="AJ1070" s="71">
        <f t="shared" si="2165"/>
        <v>0</v>
      </c>
      <c r="AK1070" s="72">
        <f t="array" ref="AK1070">IFERROR(I1070*INDEX(F!$P$21:$AB$33, MATCH(G1070/$AH1070, F!$O$21:$O$33,1), MATCH(E1070, F!$P$20:$AB$20,1)), 0 ) +IFERROR( M1070*INDEX(F!$P$21:$AB$33, MATCH(K1070/$AH1070, F!$O$21:$O$33,1), MATCH(E1070, F!$P$20:$AB$20,1)),0) +  IFERROR( Q1070*INDEX(F!$P$21:$AB$33, MATCH(O1070/$AH1070, F!$O$21:$O$33,1), MATCH(E1070, F!$P$20:$AB$20,1)), 0) + IFERROR( U1070*INDEX(F!$P$21:$AB$33, MATCH(S1070/$AH1070, F!$O$21:$O$33,1), MATCH(E1070, F!$P$20:$AB$20,1)),0)  + IFERROR(Y1070*INDEX(F!$P$21:$AB$33, MATCH(W1070/$AH1070, F!$O$21:$O$33,1), MATCH(E1070, F!$P$20:$AB$20,1)),0)  + IFERROR( AC1070*INDEX(F!$P$21:$AB$33, MATCH(AA1070/$AH1070, F!$O$21:$O$33,1), MATCH(E1070, F!$P$20:$AB$20,1)),)</f>
        <v>0</v>
      </c>
      <c r="AL1070" s="59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</row>
    <row r="1071" ht="15.75" hidden="1" customHeight="1">
      <c r="A1071" s="59"/>
      <c r="B1071" s="215" t="str">
        <f t="shared" ref="B1071:F1071" si="2167">IF(B1015="","",B1015)</f>
        <v>Средняя</v>
      </c>
      <c r="C1071" s="73" t="str">
        <f t="shared" si="2167"/>
        <v>ЖМ</v>
      </c>
      <c r="D1071" s="47" t="str">
        <f t="shared" si="2167"/>
        <v>Жим гантелей</v>
      </c>
      <c r="E1071" s="48">
        <f t="shared" si="2167"/>
        <v>1</v>
      </c>
      <c r="F1071" s="74">
        <f t="shared" si="2167"/>
        <v>2</v>
      </c>
      <c r="G1071" s="50" t="str">
        <f t="shared" si="2155"/>
        <v/>
      </c>
      <c r="H1071" s="51"/>
      <c r="I1071" s="51"/>
      <c r="J1071" s="52"/>
      <c r="K1071" s="50" t="str">
        <f t="shared" si="2156"/>
        <v/>
      </c>
      <c r="L1071" s="51"/>
      <c r="M1071" s="51"/>
      <c r="N1071" s="52"/>
      <c r="O1071" s="50" t="str">
        <f t="shared" si="2157"/>
        <v/>
      </c>
      <c r="P1071" s="51"/>
      <c r="Q1071" s="51"/>
      <c r="R1071" s="52"/>
      <c r="S1071" s="50" t="str">
        <f t="shared" si="2158"/>
        <v/>
      </c>
      <c r="T1071" s="51"/>
      <c r="U1071" s="51"/>
      <c r="V1071" s="52"/>
      <c r="W1071" s="50" t="str">
        <f t="shared" si="2159"/>
        <v/>
      </c>
      <c r="X1071" s="51"/>
      <c r="Y1071" s="51"/>
      <c r="Z1071" s="52"/>
      <c r="AA1071" s="50" t="str">
        <f t="shared" si="2160"/>
        <v/>
      </c>
      <c r="AB1071" s="51"/>
      <c r="AC1071" s="51"/>
      <c r="AD1071" s="52"/>
      <c r="AE1071" s="53">
        <f t="shared" si="2161"/>
        <v>0</v>
      </c>
      <c r="AF1071" s="54">
        <f t="shared" si="2162"/>
        <v>0</v>
      </c>
      <c r="AG1071" s="75">
        <f t="shared" si="2163"/>
        <v>0</v>
      </c>
      <c r="AH1071" s="76">
        <f t="shared" si="2164"/>
        <v>44.28705964</v>
      </c>
      <c r="AI1071" s="77">
        <f> ( IF(ISNUMBER(G1071), VLOOKUP(G1071/$AH1071,F!$A1:$B101,2,1)*G1071*$H1071*$I1071,0)+IF(ISNUMBER(K1071), VLOOKUP(K1071/$AH1071,F!$A1:$B101,2,1)*K1071*$L1071*$M1071,0)+IF(ISNUMBER(O1071), VLOOKUP(O1071/$AH1071,F!$A1:$B101,2,1)*O1071*$P1071*$Q1071,0)+IF(ISNUMBER(S1071), VLOOKUP(S1071/$AH1071,F!$A1:$B101,2,1)*S1071*$T1071*$U1071,0)+IF(ISNUMBER(W1071), VLOOKUP(W1071/$AH1071,F!$A1:$B101,2,1)*W1071*$X1071*$Y1071,0)+IF(ISNUMBER(AA1071), VLOOKUP(AA1071/$AH1071,F!$A1:$B101,2,1)*AA1071*$AB1071*$AC1071,0))*IF(ISNUMBER(F1071),F1071,1)*IF(ISNUMBER(E1071),E1071,1)</f>
        <v>0</v>
      </c>
      <c r="AJ1071" s="57">
        <f t="shared" si="2165"/>
        <v>0</v>
      </c>
      <c r="AK1071" s="58">
        <f t="array" ref="AK1071">IFERROR(I1071*INDEX(F!$P$21:$AB$33, MATCH(G1071/$AH1071, F!$O$21:$O$33,1), MATCH(E1071, F!$P$20:$AB$20,1)), 0 ) +IFERROR( M1071*INDEX(F!$P$21:$AB$33, MATCH(K1071/$AH1071, F!$O$21:$O$33,1), MATCH(E1071, F!$P$20:$AB$20,1)),0) +  IFERROR( Q1071*INDEX(F!$P$21:$AB$33, MATCH(O1071/$AH1071, F!$O$21:$O$33,1), MATCH(E1071, F!$P$20:$AB$20,1)), 0) + IFERROR( U1071*INDEX(F!$P$21:$AB$33, MATCH(S1071/$AH1071, F!$O$21:$O$33,1), MATCH(E1071, F!$P$20:$AB$20,1)),0)  + IFERROR(Y1071*INDEX(F!$P$21:$AB$33, MATCH(W1071/$AH1071, F!$O$21:$O$33,1), MATCH(E1071, F!$P$20:$AB$20,1)),0)  + IFERROR( AC1071*INDEX(F!$P$21:$AB$33, MATCH(AA1071/$AH1071, F!$O$21:$O$33,1), MATCH(E1071, F!$P$20:$AB$20,1)),)</f>
        <v>0</v>
      </c>
      <c r="AL1071" s="59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</row>
    <row r="1072" ht="15.75" hidden="1" customHeight="1">
      <c r="A1072" s="59"/>
      <c r="B1072" s="216" t="str">
        <f t="shared" ref="B1072:F1072" si="2168">IF(B1016="","",B1016)</f>
        <v>Средняя</v>
      </c>
      <c r="C1072" s="78" t="str">
        <f t="shared" si="2168"/>
        <v>ОФП</v>
      </c>
      <c r="D1072" s="62" t="str">
        <f t="shared" si="2168"/>
        <v>Французский жим</v>
      </c>
      <c r="E1072" s="48">
        <f t="shared" si="2168"/>
        <v>0.4</v>
      </c>
      <c r="F1072" s="79" t="str">
        <f t="shared" si="2168"/>
        <v/>
      </c>
      <c r="G1072" s="64" t="str">
        <f t="shared" si="2155"/>
        <v/>
      </c>
      <c r="H1072" s="34"/>
      <c r="I1072" s="34"/>
      <c r="J1072" s="65"/>
      <c r="K1072" s="64" t="str">
        <f t="shared" si="2156"/>
        <v/>
      </c>
      <c r="L1072" s="34"/>
      <c r="M1072" s="34"/>
      <c r="N1072" s="65"/>
      <c r="O1072" s="64" t="str">
        <f t="shared" si="2157"/>
        <v/>
      </c>
      <c r="P1072" s="34"/>
      <c r="Q1072" s="34"/>
      <c r="R1072" s="65"/>
      <c r="S1072" s="64" t="str">
        <f t="shared" si="2158"/>
        <v/>
      </c>
      <c r="T1072" s="34"/>
      <c r="U1072" s="34"/>
      <c r="V1072" s="65"/>
      <c r="W1072" s="64" t="str">
        <f t="shared" si="2159"/>
        <v/>
      </c>
      <c r="X1072" s="34"/>
      <c r="Y1072" s="34"/>
      <c r="Z1072" s="65"/>
      <c r="AA1072" s="64" t="str">
        <f t="shared" si="2160"/>
        <v/>
      </c>
      <c r="AB1072" s="34"/>
      <c r="AC1072" s="34"/>
      <c r="AD1072" s="65"/>
      <c r="AE1072" s="66">
        <f t="shared" si="2161"/>
        <v>0</v>
      </c>
      <c r="AF1072" s="67">
        <f t="shared" si="2162"/>
        <v>0</v>
      </c>
      <c r="AG1072" s="68">
        <f t="shared" si="2163"/>
        <v>0</v>
      </c>
      <c r="AH1072" s="76">
        <f t="shared" si="2164"/>
        <v>63.66264824</v>
      </c>
      <c r="AI1072" s="70">
        <f> ( IF(ISNUMBER(G1072), VLOOKUP(G1072/$AH1072,F!$A1:$B101,2,1)*G1072*$H1072*$I1072,0)+IF(ISNUMBER(K1072), VLOOKUP(K1072/$AH1072,F!$A1:$B101,2,1)*K1072*$L1072*$M1072,0)+IF(ISNUMBER(O1072), VLOOKUP(O1072/$AH1072,F!$A1:$B101,2,1)*O1072*$P1072*$Q1072,0)+IF(ISNUMBER(S1072), VLOOKUP(S1072/$AH1072,F!$A1:$B101,2,1)*S1072*$T1072*$U1072,0)+IF(ISNUMBER(W1072), VLOOKUP(W1072/$AH1072,F!$A1:$B101,2,1)*W1072*$X1072*$Y1072,0)+IF(ISNUMBER(AA1072), VLOOKUP(AA1072/$AH1072,F!$A1:$B101,2,1)*AA1072*$AB1072*$AC1072,0))*IF(ISNUMBER(F1072),F1072,1)*IF(ISNUMBER(E1072),E1072,1)</f>
        <v>0</v>
      </c>
      <c r="AJ1072" s="71">
        <f t="shared" si="2165"/>
        <v>0</v>
      </c>
      <c r="AK1072" s="72">
        <f t="array" ref="AK1072">IFERROR(I1072*INDEX(F!$P$21:$AB$33, MATCH(G1072/$AH1072, F!$O$21:$O$33,1), MATCH(E1072, F!$P$20:$AB$20,1)), 0 ) +IFERROR( M1072*INDEX(F!$P$21:$AB$33, MATCH(K1072/$AH1072, F!$O$21:$O$33,1), MATCH(E1072, F!$P$20:$AB$20,1)),0) +  IFERROR( Q1072*INDEX(F!$P$21:$AB$33, MATCH(O1072/$AH1072, F!$O$21:$O$33,1), MATCH(E1072, F!$P$20:$AB$20,1)), 0) + IFERROR( U1072*INDEX(F!$P$21:$AB$33, MATCH(S1072/$AH1072, F!$O$21:$O$33,1), MATCH(E1072, F!$P$20:$AB$20,1)),0)  + IFERROR(Y1072*INDEX(F!$P$21:$AB$33, MATCH(W1072/$AH1072, F!$O$21:$O$33,1), MATCH(E1072, F!$P$20:$AB$20,1)),0)  + IFERROR( AC1072*INDEX(F!$P$21:$AB$33, MATCH(AA1072/$AH1072, F!$O$21:$O$33,1), MATCH(E1072, F!$P$20:$AB$20,1)),)</f>
        <v>0</v>
      </c>
      <c r="AL1072" s="59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</row>
    <row r="1073" ht="15.75" hidden="1" customHeight="1">
      <c r="A1073" s="59"/>
      <c r="B1073" s="45" t="str">
        <f t="shared" ref="B1073:F1073" si="2169">IF(B1017="","",B1017)</f>
        <v/>
      </c>
      <c r="C1073" s="46" t="str">
        <f t="shared" si="2169"/>
        <v/>
      </c>
      <c r="D1073" s="197" t="str">
        <f t="shared" si="2169"/>
        <v/>
      </c>
      <c r="E1073" s="48" t="str">
        <f t="shared" si="2169"/>
        <v/>
      </c>
      <c r="F1073" s="83" t="str">
        <f t="shared" si="2169"/>
        <v/>
      </c>
      <c r="G1073" s="50" t="str">
        <f t="shared" si="2155"/>
        <v/>
      </c>
      <c r="H1073" s="51"/>
      <c r="I1073" s="51"/>
      <c r="J1073" s="52"/>
      <c r="K1073" s="50" t="str">
        <f t="shared" si="2156"/>
        <v/>
      </c>
      <c r="L1073" s="51"/>
      <c r="M1073" s="51"/>
      <c r="N1073" s="52"/>
      <c r="O1073" s="50" t="str">
        <f t="shared" si="2157"/>
        <v/>
      </c>
      <c r="P1073" s="51"/>
      <c r="Q1073" s="51"/>
      <c r="R1073" s="52"/>
      <c r="S1073" s="50" t="str">
        <f t="shared" si="2158"/>
        <v/>
      </c>
      <c r="T1073" s="51"/>
      <c r="U1073" s="51"/>
      <c r="V1073" s="52"/>
      <c r="W1073" s="50" t="str">
        <f t="shared" si="2159"/>
        <v/>
      </c>
      <c r="X1073" s="51"/>
      <c r="Y1073" s="51"/>
      <c r="Z1073" s="52"/>
      <c r="AA1073" s="50" t="str">
        <f t="shared" si="2160"/>
        <v/>
      </c>
      <c r="AB1073" s="51"/>
      <c r="AC1073" s="51"/>
      <c r="AD1073" s="52"/>
      <c r="AE1073" s="53">
        <f t="shared" si="2161"/>
        <v>0</v>
      </c>
      <c r="AF1073" s="54">
        <f t="shared" si="2162"/>
        <v>0</v>
      </c>
      <c r="AG1073" s="75">
        <f t="shared" si="2163"/>
        <v>0</v>
      </c>
      <c r="AH1073" s="76" t="str">
        <f t="shared" si="2164"/>
        <v/>
      </c>
      <c r="AI1073" s="77">
        <f> ( IF(ISNUMBER(G1073), VLOOKUP(G1073/$AH1073,F!$A1:$B101,2,1)*G1073*$H1073*$I1073,0)+IF(ISNUMBER(K1073), VLOOKUP(K1073/$AH1073,F!$A1:$B101,2,1)*K1073*$L1073*$M1073,0)+IF(ISNUMBER(O1073), VLOOKUP(O1073/$AH1073,F!$A1:$B101,2,1)*O1073*$P1073*$Q1073,0)+IF(ISNUMBER(S1073), VLOOKUP(S1073/$AH1073,F!$A1:$B101,2,1)*S1073*$T1073*$U1073,0)+IF(ISNUMBER(W1073), VLOOKUP(W1073/$AH1073,F!$A1:$B101,2,1)*W1073*$X1073*$Y1073,0)+IF(ISNUMBER(AA1073), VLOOKUP(AA1073/$AH1073,F!$A1:$B101,2,1)*AA1073*$AB1073*$AC1073,0))*IF(ISNUMBER(F1073),F1073,1)*IF(ISNUMBER(E1073),E1073,1)</f>
        <v>0</v>
      </c>
      <c r="AJ1073" s="86">
        <f t="shared" si="2165"/>
        <v>0</v>
      </c>
      <c r="AK1073" s="58">
        <f t="array" ref="AK1073">IFERROR(I1073*INDEX(F!$P$21:$AB$33, MATCH(G1073/$AH1073, F!$O$21:$O$33,1), MATCH(E1073, F!$P$20:$AB$20,1)), 0 ) +IFERROR( M1073*INDEX(F!$P$21:$AB$33, MATCH(K1073/$AH1073, F!$O$21:$O$33,1), MATCH(E1073, F!$P$20:$AB$20,1)),0) +  IFERROR( Q1073*INDEX(F!$P$21:$AB$33, MATCH(O1073/$AH1073, F!$O$21:$O$33,1), MATCH(E1073, F!$P$20:$AB$20,1)), 0) + IFERROR( U1073*INDEX(F!$P$21:$AB$33, MATCH(S1073/$AH1073, F!$O$21:$O$33,1), MATCH(E1073, F!$P$20:$AB$20,1)),0)  + IFERROR(Y1073*INDEX(F!$P$21:$AB$33, MATCH(W1073/$AH1073, F!$O$21:$O$33,1), MATCH(E1073, F!$P$20:$AB$20,1)),0)  + IFERROR( AC1073*INDEX(F!$P$21:$AB$33, MATCH(AA1073/$AH1073, F!$O$21:$O$33,1), MATCH(E1073, F!$P$20:$AB$20,1)),)</f>
        <v>0</v>
      </c>
      <c r="AL1073" s="59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</row>
    <row r="1074" ht="15.0" hidden="1" customHeight="1">
      <c r="A1074" s="59"/>
      <c r="B1074" s="60" t="str">
        <f t="shared" ref="B1074:F1074" si="2170">IF(B1018="","",B1018)</f>
        <v/>
      </c>
      <c r="C1074" s="61" t="str">
        <f t="shared" si="2170"/>
        <v/>
      </c>
      <c r="D1074" s="198" t="str">
        <f t="shared" si="2170"/>
        <v/>
      </c>
      <c r="E1074" s="48" t="str">
        <f t="shared" si="2170"/>
        <v/>
      </c>
      <c r="F1074" s="79" t="str">
        <f t="shared" si="2170"/>
        <v/>
      </c>
      <c r="G1074" s="64" t="str">
        <f t="shared" si="2155"/>
        <v/>
      </c>
      <c r="H1074" s="34"/>
      <c r="I1074" s="34"/>
      <c r="J1074" s="65"/>
      <c r="K1074" s="64" t="str">
        <f t="shared" si="2156"/>
        <v/>
      </c>
      <c r="L1074" s="34"/>
      <c r="M1074" s="34"/>
      <c r="N1074" s="65"/>
      <c r="O1074" s="64" t="str">
        <f t="shared" si="2157"/>
        <v/>
      </c>
      <c r="P1074" s="34"/>
      <c r="Q1074" s="34"/>
      <c r="R1074" s="65"/>
      <c r="S1074" s="64" t="str">
        <f t="shared" si="2158"/>
        <v/>
      </c>
      <c r="T1074" s="34"/>
      <c r="U1074" s="34"/>
      <c r="V1074" s="65"/>
      <c r="W1074" s="64" t="str">
        <f t="shared" si="2159"/>
        <v/>
      </c>
      <c r="X1074" s="34"/>
      <c r="Y1074" s="34"/>
      <c r="Z1074" s="65"/>
      <c r="AA1074" s="64" t="str">
        <f t="shared" si="2160"/>
        <v/>
      </c>
      <c r="AB1074" s="34"/>
      <c r="AC1074" s="34"/>
      <c r="AD1074" s="65"/>
      <c r="AE1074" s="66">
        <f t="shared" si="2161"/>
        <v>0</v>
      </c>
      <c r="AF1074" s="67">
        <f t="shared" si="2162"/>
        <v>0</v>
      </c>
      <c r="AG1074" s="68">
        <f t="shared" si="2163"/>
        <v>0</v>
      </c>
      <c r="AH1074" s="76" t="str">
        <f t="shared" si="2164"/>
        <v/>
      </c>
      <c r="AI1074" s="90">
        <f> ( IF(ISNUMBER(G1074), VLOOKUP(G1074/$AH1074,F!$A1:$B101,2,1)*G1074*$H1074*$I1074,0)+IF(ISNUMBER(K1074), VLOOKUP(K1074/$AH1074,F!$A1:$B101,2,1)*K1074*$L1074*$M1074,0)+IF(ISNUMBER(O1074), VLOOKUP(O1074/$AH1074,F!$A1:$B101,2,1)*O1074*$P1074*$Q1074,0)+IF(ISNUMBER(S1074), VLOOKUP(S1074/$AH1074,F!$A1:$B101,2,1)*S1074*$T1074*$U1074,0)+IF(ISNUMBER(W1074), VLOOKUP(W1074/$AH1074,F!$A1:$B101,2,1)*W1074*$X1074*$Y1074,0)+IF(ISNUMBER(AA1074), VLOOKUP(AA1074/$AH1074,F!$A1:$B101,2,1)*AA1074*$AB1074*$AC1074,0))*IF(ISNUMBER(F1074),F1074,1)*IF(ISNUMBER(E1074),E1074,1)</f>
        <v>0</v>
      </c>
      <c r="AJ1074" s="34">
        <f t="shared" si="2165"/>
        <v>0</v>
      </c>
      <c r="AK1074" s="91">
        <f t="array" ref="AK1074">IFERROR(I1074*INDEX(F!$P$21:$AB$33, MATCH(G1074/$AH1074, F!$O$21:$O$33,1), MATCH(E1074, F!$P$20:$AB$20,1)), 0 ) +IFERROR( M1074*INDEX(F!$P$21:$AB$33, MATCH(K1074/$AH1074, F!$O$21:$O$33,1), MATCH(E1074, F!$P$20:$AB$20,1)),0) +  IFERROR( Q1074*INDEX(F!$P$21:$AB$33, MATCH(O1074/$AH1074, F!$O$21:$O$33,1), MATCH(E1074, F!$P$20:$AB$20,1)), 0) + IFERROR( U1074*INDEX(F!$P$21:$AB$33, MATCH(S1074/$AH1074, F!$O$21:$O$33,1), MATCH(E1074, F!$P$20:$AB$20,1)),0)  + IFERROR(Y1074*INDEX(F!$P$21:$AB$33, MATCH(W1074/$AH1074, F!$O$21:$O$33,1), MATCH(E1074, F!$P$20:$AB$20,1)),0)  + IFERROR( AC1074*INDEX(F!$P$21:$AB$33, MATCH(AA1074/$AH1074, F!$O$21:$O$33,1), MATCH(E1074, F!$P$20:$AB$20,1)),)</f>
        <v>0</v>
      </c>
      <c r="AL1074" s="59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</row>
    <row r="1075" ht="15.0" hidden="1" customHeight="1">
      <c r="A1075" s="59"/>
      <c r="B1075" s="45" t="str">
        <f t="shared" ref="B1075:F1075" si="2171">IF(B1019="","",B1019)</f>
        <v/>
      </c>
      <c r="C1075" s="46" t="str">
        <f t="shared" si="2171"/>
        <v/>
      </c>
      <c r="D1075" s="92" t="str">
        <f t="shared" si="2171"/>
        <v/>
      </c>
      <c r="E1075" s="48" t="str">
        <f t="shared" si="2171"/>
        <v/>
      </c>
      <c r="F1075" s="74" t="str">
        <f t="shared" si="2171"/>
        <v/>
      </c>
      <c r="G1075" s="50" t="str">
        <f t="shared" si="2155"/>
        <v/>
      </c>
      <c r="H1075" s="51"/>
      <c r="I1075" s="51"/>
      <c r="J1075" s="52"/>
      <c r="K1075" s="50" t="str">
        <f t="shared" si="2156"/>
        <v/>
      </c>
      <c r="L1075" s="51"/>
      <c r="M1075" s="51"/>
      <c r="N1075" s="52"/>
      <c r="O1075" s="50" t="str">
        <f t="shared" si="2157"/>
        <v/>
      </c>
      <c r="P1075" s="51"/>
      <c r="Q1075" s="51"/>
      <c r="R1075" s="52"/>
      <c r="S1075" s="50" t="str">
        <f t="shared" si="2158"/>
        <v/>
      </c>
      <c r="T1075" s="51"/>
      <c r="U1075" s="51"/>
      <c r="V1075" s="52"/>
      <c r="W1075" s="50" t="str">
        <f t="shared" si="2159"/>
        <v/>
      </c>
      <c r="X1075" s="51"/>
      <c r="Y1075" s="51"/>
      <c r="Z1075" s="52"/>
      <c r="AA1075" s="50" t="str">
        <f t="shared" si="2160"/>
        <v/>
      </c>
      <c r="AB1075" s="51"/>
      <c r="AC1075" s="51"/>
      <c r="AD1075" s="52"/>
      <c r="AE1075" s="53">
        <f t="shared" si="2161"/>
        <v>0</v>
      </c>
      <c r="AF1075" s="93">
        <f t="shared" si="2162"/>
        <v>0</v>
      </c>
      <c r="AG1075" s="94">
        <f t="shared" si="2163"/>
        <v>0</v>
      </c>
      <c r="AH1075" s="76" t="str">
        <f t="shared" si="2164"/>
        <v/>
      </c>
      <c r="AI1075" s="95">
        <f> ( IF(ISNUMBER(G1075), VLOOKUP(G1075/$AH1075,F!$A1:$B101,2,1)*G1075*$H1075*$I1075,0)+IF(ISNUMBER(K1075), VLOOKUP(K1075/$AH1075,F!$A1:$B101,2,1)*K1075*$L1075*$M1075,0)+IF(ISNUMBER(O1075), VLOOKUP(O1075/$AH1075,F!$A1:$B101,2,1)*O1075*$P1075*$Q1075,0)+IF(ISNUMBER(S1075), VLOOKUP(S1075/$AH1075,F!$A1:$B101,2,1)*S1075*$T1075*$U1075,0)+IF(ISNUMBER(W1075), VLOOKUP(W1075/$AH1075,F!$A1:$B101,2,1)*W1075*$X1075*$Y1075,0)+IF(ISNUMBER(AA1075), VLOOKUP(AA1075/$AH1075,F!$A1:$B101,2,1)*AA1075*$AB1075*$AC1075,0))*IF(ISNUMBER(F1075),F1075,1)*IF(ISNUMBER(E1075),E1075,1)</f>
        <v>0</v>
      </c>
      <c r="AJ1075" s="96">
        <f t="shared" si="2165"/>
        <v>0</v>
      </c>
      <c r="AK1075" s="97">
        <f t="array" ref="AK1075">IFERROR(I1075*INDEX(F!$P$21:$AB$33, MATCH(G1075/$AH1075, F!$O$21:$O$33,1), MATCH(E1075, F!$P$20:$AB$20,1)), 0 ) +IFERROR( M1075*INDEX(F!$P$21:$AB$33, MATCH(K1075/$AH1075, F!$O$21:$O$33,1), MATCH(E1075, F!$P$20:$AB$20,1)),0) +  IFERROR( Q1075*INDEX(F!$P$21:$AB$33, MATCH(O1075/$AH1075, F!$O$21:$O$33,1), MATCH(E1075, F!$P$20:$AB$20,1)), 0) + IFERROR( U1075*INDEX(F!$P$21:$AB$33, MATCH(S1075/$AH1075, F!$O$21:$O$33,1), MATCH(E1075, F!$P$20:$AB$20,1)),0)  + IFERROR(Y1075*INDEX(F!$P$21:$AB$33, MATCH(W1075/$AH1075, F!$O$21:$O$33,1), MATCH(E1075, F!$P$20:$AB$20,1)),0)  + IFERROR( AC1075*INDEX(F!$P$21:$AB$33, MATCH(AA1075/$AH1075, F!$O$21:$O$33,1), MATCH(E1075, F!$P$20:$AB$20,1)),)</f>
        <v>0</v>
      </c>
      <c r="AL1075" s="59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</row>
    <row r="1076" ht="15.75" hidden="1" customHeight="1">
      <c r="A1076" s="98"/>
      <c r="B1076" s="99"/>
      <c r="C1076" s="100"/>
      <c r="D1076" s="101"/>
      <c r="E1076" s="102">
        <f>ROUND(IFERROR(SUMPRODUCT(AJ1068:AJ1075,E1068:E1075)/AJ1076,0),3)</f>
        <v>0</v>
      </c>
      <c r="F1076" s="199"/>
      <c r="G1076" s="104"/>
      <c r="H1076" s="105"/>
      <c r="I1076" s="105"/>
      <c r="J1076" s="106"/>
      <c r="K1076" s="104"/>
      <c r="L1076" s="105"/>
      <c r="M1076" s="105"/>
      <c r="N1076" s="106"/>
      <c r="O1076" s="104"/>
      <c r="P1076" s="105"/>
      <c r="Q1076" s="105"/>
      <c r="R1076" s="106"/>
      <c r="S1076" s="104"/>
      <c r="T1076" s="105"/>
      <c r="U1076" s="105"/>
      <c r="V1076" s="106"/>
      <c r="W1076" s="104"/>
      <c r="X1076" s="105"/>
      <c r="Y1076" s="105"/>
      <c r="Z1076" s="106"/>
      <c r="AA1076" s="104"/>
      <c r="AB1076" s="105"/>
      <c r="AC1076" s="105"/>
      <c r="AD1076" s="106"/>
      <c r="AE1076" s="107">
        <f>SUM(AE1068:AE1075)</f>
        <v>0</v>
      </c>
      <c r="AF1076" s="108">
        <f t="shared" si="2162"/>
        <v>0</v>
      </c>
      <c r="AG1076" s="109">
        <f>IFERROR(  SUMPRODUCT(AG1068:AG1075,AJ1068:AJ1075)/AJ1076,0)</f>
        <v>0</v>
      </c>
      <c r="AH1076" s="157"/>
      <c r="AI1076" s="111">
        <f t="shared" ref="AI1076:AJ1076" si="2172">SUM(AI1068:AI1075)</f>
        <v>0</v>
      </c>
      <c r="AJ1076" s="111">
        <f t="shared" si="2172"/>
        <v>0</v>
      </c>
      <c r="AK1076" s="112">
        <f>IF(SUM(AK1068:AK1075)=0,TIME(,0,),TIME(,SUM(AK1068:AK1075)+F!$V$37,))</f>
        <v>0</v>
      </c>
      <c r="AL1076" s="98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</row>
    <row r="1077" ht="15.75" hidden="1" customHeight="1">
      <c r="A1077" s="113">
        <f>A1078</f>
        <v>43915</v>
      </c>
      <c r="B1077" s="114" t="str">
        <f t="shared" ref="B1077:F1077" si="2173">IF(B1021="","",B1021)</f>
        <v>Тяжелая</v>
      </c>
      <c r="C1077" s="115" t="str">
        <f t="shared" si="2173"/>
        <v>ТГ</v>
      </c>
      <c r="D1077" s="116" t="str">
        <f t="shared" si="2173"/>
        <v>Становая тяга</v>
      </c>
      <c r="E1077" s="29">
        <f t="shared" si="2173"/>
        <v>1.4</v>
      </c>
      <c r="F1077" s="117" t="str">
        <f t="shared" si="2173"/>
        <v/>
      </c>
      <c r="G1077" s="118" t="str">
        <f t="shared" ref="G1077:G1084" si="2175">IF(J1077&lt;&gt;0, IFERROR(IF( $F1077=2,  MROUND($AH1077*J1077,1),    IF( OR($F1077="",$F1077=1),   MROUND($AH1077*J1077,2.5),  MROUND($AH1077*J1077, 0.1))), "" ), "")</f>
        <v/>
      </c>
      <c r="H1077" s="119"/>
      <c r="I1077" s="119"/>
      <c r="J1077" s="120"/>
      <c r="K1077" s="118" t="str">
        <f t="shared" ref="K1077:K1084" si="2176">IF(N1077&lt;&gt;0, IFERROR(IF( $F1077=2,  MROUND($AH1077*N1077,1),    IF( OR($F1077="",$F1077=1),   MROUND($AH1077*N1077,2.5),  MROUND($AH1077*N1077, 0.1))), "" ), "")</f>
        <v/>
      </c>
      <c r="L1077" s="119"/>
      <c r="M1077" s="119"/>
      <c r="N1077" s="120"/>
      <c r="O1077" s="118" t="str">
        <f t="shared" ref="O1077:O1084" si="2177">IF(R1077&lt;&gt;0, IFERROR(IF( $F1077=2,  MROUND($AH1077*R1077,1),    IF( OR($F1077="",$F1077=1),   MROUND($AH1077*R1077,2.5),  MROUND($AH1077*R1077, 0.1))), "" ), "")</f>
        <v/>
      </c>
      <c r="P1077" s="119"/>
      <c r="Q1077" s="119"/>
      <c r="R1077" s="120"/>
      <c r="S1077" s="118" t="str">
        <f t="shared" ref="S1077:S1084" si="2178">IF(V1077&lt;&gt;0, IFERROR(IF( $F1077=2,  MROUND($AH1077*V1077,1),    IF( OR($F1077="",$F1077=1),   MROUND($AH1077*V1077,2.5),  MROUND($AH1077*V1077, 0.1))), "" ), "")</f>
        <v/>
      </c>
      <c r="T1077" s="119"/>
      <c r="U1077" s="119"/>
      <c r="V1077" s="120"/>
      <c r="W1077" s="118" t="str">
        <f t="shared" ref="W1077:W1084" si="2179">IF(Z1077&lt;&gt;0, IFERROR(IF( $F1077=2,  MROUND($AH1077*Z1077,1),    IF( OR($F1077="",$F1077=1),   MROUND($AH1077*Z1077,2.5),  MROUND($AH1077*Z1077, 0.1))), "" ), "")</f>
        <v/>
      </c>
      <c r="X1077" s="119"/>
      <c r="Y1077" s="119"/>
      <c r="Z1077" s="120"/>
      <c r="AA1077" s="118" t="str">
        <f t="shared" ref="AA1077:AA1084" si="2180">IF(AD1077&lt;&gt;0, IFERROR(IF( $F1077=2,  MROUND($AH1077*AD1077,1),    IF( OR($F1077="",$F1077=1),   MROUND($AH1077*AD1077,2.5),  MROUND($AH1077*AD1077, 0.1))), "" ), "")</f>
        <v/>
      </c>
      <c r="AB1077" s="119"/>
      <c r="AC1077" s="119"/>
      <c r="AD1077" s="120"/>
      <c r="AE1077" s="121">
        <f t="shared" ref="AE1077:AE1084" si="2181">(IF(ISNUMBER(G1077),G1077,0)*H1077*I1077+IF(ISNUMBER(K1077),K1077,1)*L1077*M1077+IF(ISNUMBER(O1077),O1077,1)*P1077*Q1077+IF(ISNUMBER(S1077),S1077,1)*T1077*U1077+IF(ISNUMBER(W1077),W1077,1)*X1077*Y1077+IF(ISNUMBER(AA1077),AA1077,1)*AB1077*AC1077)*IF(ISNUMBER(F1077),F1077,1)</f>
        <v>0</v>
      </c>
      <c r="AF1077" s="122">
        <f t="shared" si="2162"/>
        <v>0</v>
      </c>
      <c r="AG1077" s="200">
        <f t="shared" ref="AG1077:AG1084" si="2182">IFERROR((AF1077/(AH1077*IF(ISNUMBER(F1077),F1077,1))),0)</f>
        <v>0</v>
      </c>
      <c r="AH1077" s="169">
        <f t="shared" ref="AH1077:AH1084" si="2183">IF(ISNUMBER(AH1021), AH1021+(AH1021*$AH$1066),"")</f>
        <v>269.5100669</v>
      </c>
      <c r="AI1077" s="122">
        <f> ( IF(ISNUMBER(G1077), VLOOKUP(G1077/$AH1077,F!$A1:$B101,2,1)*G1077*$H1077*$I1077,0)+IF(ISNUMBER(K1077), VLOOKUP(K1077/$AH1077,F!$A1:$B101,2,1)*K1077*$L1077*$M1077,0)+IF(ISNUMBER(O1077), VLOOKUP(O1077/$AH1077,F!$A1:$B101,2,1)*O1077*$P1077*$Q1077,0)+IF(ISNUMBER(S1077), VLOOKUP(S1077/$AH1077,F!$A1:$B101,2,1)*S1077*$T1077*$U1077,0)+IF(ISNUMBER(W1077), VLOOKUP(W1077/$AH1077,F!$A1:$B101,2,1)*W1077*$X1077*$Y1077,0)+IF(ISNUMBER(AA1077), VLOOKUP(AA1077/$AH1077,F!$A1:$B101,2,1)*AA1077*$AB1077*$AC1077,0))*IF(ISNUMBER(F1077),F1077,1)*IF(ISNUMBER(E1077),E1077,1)</f>
        <v>0</v>
      </c>
      <c r="AJ1077" s="119">
        <f t="shared" ref="AJ1077:AJ1084" si="2184">H1077*I1077+L1077*M1077+P1077*Q1077+T1077*U1077+X1077*Y1077+AB1077*AC1077</f>
        <v>0</v>
      </c>
      <c r="AK1077" s="125">
        <f t="array" ref="AK1077">IFERROR(I1077*INDEX(F!$P$21:$AB$33, MATCH(G1077/$AH1077, F!$O$21:$O$33,1), MATCH(E1077, F!$P$20:$AB$20,1)), 0 ) +IFERROR( M1077*INDEX(F!$P$21:$AB$33, MATCH(K1077/$AH1077, F!$O$21:$O$33,1), MATCH(E1077, F!$P$20:$AB$20,1)),0) +  IFERROR( Q1077*INDEX(F!$P$21:$AB$33, MATCH(O1077/$AH1077, F!$O$21:$O$33,1), MATCH(E1077, F!$P$20:$AB$20,1)), 0) + IFERROR( U1077*INDEX(F!$P$21:$AB$33, MATCH(S1077/$AH1077, F!$O$21:$O$33,1), MATCH(E1077, F!$P$20:$AB$20,1)),0)  + IFERROR(Y1077*INDEX(F!$P$21:$AB$33, MATCH(W1077/$AH1077, F!$O$21:$O$33,1), MATCH(E1077, F!$P$20:$AB$20,1)),0)  + IFERROR( AC1077*INDEX(F!$P$21:$AB$33, MATCH(AA1077/$AH1077, F!$O$21:$O$33,1), MATCH(E1077, F!$P$20:$AB$20,1)),)</f>
        <v>0</v>
      </c>
      <c r="AL1077" s="42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</row>
    <row r="1078" ht="15.75" hidden="1" customHeight="1">
      <c r="A1078" s="44">
        <f>A1022+A1010</f>
        <v>43915</v>
      </c>
      <c r="B1078" s="126" t="str">
        <f t="shared" ref="B1078:F1078" si="2174">IF(B1022="","",B1022)</f>
        <v>Средняя</v>
      </c>
      <c r="C1078" s="127" t="str">
        <f t="shared" si="2174"/>
        <v>ЖМ</v>
      </c>
      <c r="D1078" s="128" t="str">
        <f t="shared" si="2174"/>
        <v>Жим лежа</v>
      </c>
      <c r="E1078" s="48">
        <f t="shared" si="2174"/>
        <v>1</v>
      </c>
      <c r="F1078" s="129" t="str">
        <f t="shared" si="2174"/>
        <v/>
      </c>
      <c r="G1078" s="130" t="str">
        <f t="shared" si="2175"/>
        <v/>
      </c>
      <c r="H1078" s="34"/>
      <c r="I1078" s="34"/>
      <c r="J1078" s="65"/>
      <c r="K1078" s="130" t="str">
        <f t="shared" si="2176"/>
        <v/>
      </c>
      <c r="L1078" s="34"/>
      <c r="M1078" s="34"/>
      <c r="N1078" s="65"/>
      <c r="O1078" s="130" t="str">
        <f t="shared" si="2177"/>
        <v/>
      </c>
      <c r="P1078" s="34"/>
      <c r="Q1078" s="34"/>
      <c r="R1078" s="65"/>
      <c r="S1078" s="130" t="str">
        <f t="shared" si="2178"/>
        <v/>
      </c>
      <c r="T1078" s="34"/>
      <c r="U1078" s="34"/>
      <c r="V1078" s="65"/>
      <c r="W1078" s="130" t="str">
        <f t="shared" si="2179"/>
        <v/>
      </c>
      <c r="X1078" s="34"/>
      <c r="Y1078" s="34"/>
      <c r="Z1078" s="65"/>
      <c r="AA1078" s="130" t="str">
        <f t="shared" si="2180"/>
        <v/>
      </c>
      <c r="AB1078" s="34"/>
      <c r="AC1078" s="34"/>
      <c r="AD1078" s="65"/>
      <c r="AE1078" s="131">
        <f t="shared" si="2181"/>
        <v>0</v>
      </c>
      <c r="AF1078" s="132">
        <f t="shared" si="2162"/>
        <v>0</v>
      </c>
      <c r="AG1078" s="133">
        <f t="shared" si="2182"/>
        <v>0</v>
      </c>
      <c r="AH1078" s="76">
        <f t="shared" si="2183"/>
        <v>138.3970614</v>
      </c>
      <c r="AI1078" s="132">
        <f> ( IF(ISNUMBER(G1078), VLOOKUP(G1078/$AH1078,F!$A1:$B101,2,1)*G1078*$H1078*$I1078,0)+IF(ISNUMBER(K1078), VLOOKUP(K1078/$AH1078,F!$A1:$B101,2,1)*K1078*$L1078*$M1078,0)+IF(ISNUMBER(O1078), VLOOKUP(O1078/$AH1078,F!$A1:$B101,2,1)*O1078*$P1078*$Q1078,0)+IF(ISNUMBER(S1078), VLOOKUP(S1078/$AH1078,F!$A1:$B101,2,1)*S1078*$T1078*$U1078,0)+IF(ISNUMBER(W1078), VLOOKUP(W1078/$AH1078,F!$A1:$B101,2,1)*W1078*$X1078*$Y1078,0)+IF(ISNUMBER(AA1078), VLOOKUP(AA1078/$AH1078,F!$A1:$B101,2,1)*AA1078*$AB1078*$AC1078,0))*IF(ISNUMBER(F1078),F1078,1)*IF(ISNUMBER(E1078),E1078,1)</f>
        <v>0</v>
      </c>
      <c r="AJ1078" s="34">
        <f t="shared" si="2184"/>
        <v>0</v>
      </c>
      <c r="AK1078" s="134">
        <f t="array" ref="AK1078">IFERROR(I1078*INDEX(F!$P$21:$AB$33, MATCH(G1078/$AH1078, F!$O$21:$O$33,1), MATCH(E1078, F!$P$20:$AB$20,1)), 0 ) +IFERROR( M1078*INDEX(F!$P$21:$AB$33, MATCH(K1078/$AH1078, F!$O$21:$O$33,1), MATCH(E1078, F!$P$20:$AB$20,1)),0) +  IFERROR( Q1078*INDEX(F!$P$21:$AB$33, MATCH(O1078/$AH1078, F!$O$21:$O$33,1), MATCH(E1078, F!$P$20:$AB$20,1)), 0) + IFERROR( U1078*INDEX(F!$P$21:$AB$33, MATCH(S1078/$AH1078, F!$O$21:$O$33,1), MATCH(E1078, F!$P$20:$AB$20,1)),0)  + IFERROR(Y1078*INDEX(F!$P$21:$AB$33, MATCH(W1078/$AH1078, F!$O$21:$O$33,1), MATCH(E1078, F!$P$20:$AB$20,1)),0)  + IFERROR( AC1078*INDEX(F!$P$21:$AB$33, MATCH(AA1078/$AH1078, F!$O$21:$O$33,1), MATCH(E1078, F!$P$20:$AB$20,1)),)</f>
        <v>0</v>
      </c>
      <c r="AL1078" s="59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</row>
    <row r="1079" ht="15.75" hidden="1" customHeight="1">
      <c r="A1079" s="59"/>
      <c r="B1079" s="135" t="str">
        <f t="shared" ref="B1079:F1079" si="2185">IF(B1023="","",B1023)</f>
        <v>Легкая</v>
      </c>
      <c r="C1079" s="136" t="str">
        <f t="shared" si="2185"/>
        <v>ОФП</v>
      </c>
      <c r="D1079" s="137" t="str">
        <f t="shared" si="2185"/>
        <v>Наклоны со штангой</v>
      </c>
      <c r="E1079" s="48">
        <f t="shared" si="2185"/>
        <v>0.8</v>
      </c>
      <c r="F1079" s="138" t="str">
        <f t="shared" si="2185"/>
        <v/>
      </c>
      <c r="G1079" s="139" t="str">
        <f t="shared" si="2175"/>
        <v/>
      </c>
      <c r="H1079" s="140"/>
      <c r="I1079" s="140"/>
      <c r="J1079" s="141"/>
      <c r="K1079" s="139" t="str">
        <f t="shared" si="2176"/>
        <v/>
      </c>
      <c r="L1079" s="140"/>
      <c r="M1079" s="140"/>
      <c r="N1079" s="141"/>
      <c r="O1079" s="139" t="str">
        <f t="shared" si="2177"/>
        <v/>
      </c>
      <c r="P1079" s="140"/>
      <c r="Q1079" s="140"/>
      <c r="R1079" s="141"/>
      <c r="S1079" s="139" t="str">
        <f t="shared" si="2178"/>
        <v/>
      </c>
      <c r="T1079" s="140"/>
      <c r="U1079" s="140"/>
      <c r="V1079" s="141"/>
      <c r="W1079" s="139" t="str">
        <f t="shared" si="2179"/>
        <v/>
      </c>
      <c r="X1079" s="140"/>
      <c r="Y1079" s="140"/>
      <c r="Z1079" s="141"/>
      <c r="AA1079" s="139" t="str">
        <f t="shared" si="2180"/>
        <v/>
      </c>
      <c r="AB1079" s="140"/>
      <c r="AC1079" s="140"/>
      <c r="AD1079" s="141"/>
      <c r="AE1079" s="142">
        <f t="shared" si="2181"/>
        <v>0</v>
      </c>
      <c r="AF1079" s="143">
        <f t="shared" si="2162"/>
        <v>0</v>
      </c>
      <c r="AG1079" s="144">
        <f t="shared" si="2182"/>
        <v>0</v>
      </c>
      <c r="AH1079" s="76">
        <f t="shared" si="2183"/>
        <v>148.2305368</v>
      </c>
      <c r="AI1079" s="143">
        <f> ( IF(ISNUMBER(G1079), VLOOKUP(G1079/$AH1079,F!$A1:$B101,2,1)*G1079*$H1079*$I1079,0)+IF(ISNUMBER(K1079), VLOOKUP(K1079/$AH1079,F!$A1:$B101,2,1)*K1079*$L1079*$M1079,0)+IF(ISNUMBER(O1079), VLOOKUP(O1079/$AH1079,F!$A1:$B101,2,1)*O1079*$P1079*$Q1079,0)+IF(ISNUMBER(S1079), VLOOKUP(S1079/$AH1079,F!$A1:$B101,2,1)*S1079*$T1079*$U1079,0)+IF(ISNUMBER(W1079), VLOOKUP(W1079/$AH1079,F!$A1:$B101,2,1)*W1079*$X1079*$Y1079,0)+IF(ISNUMBER(AA1079), VLOOKUP(AA1079/$AH1079,F!$A1:$B101,2,1)*AA1079*$AB1079*$AC1079,0))*IF(ISNUMBER(F1079),F1079,1)*IF(ISNUMBER(E1079),E1079,1)</f>
        <v>0</v>
      </c>
      <c r="AJ1079" s="140">
        <f t="shared" si="2184"/>
        <v>0</v>
      </c>
      <c r="AK1079" s="145">
        <f t="array" ref="AK1079">IFERROR(I1079*INDEX(F!$P$21:$AB$33, MATCH(G1079/$AH1079, F!$O$21:$O$33,1), MATCH(E1079, F!$P$20:$AB$20,1)), 0 ) +IFERROR( M1079*INDEX(F!$P$21:$AB$33, MATCH(K1079/$AH1079, F!$O$21:$O$33,1), MATCH(E1079, F!$P$20:$AB$20,1)),0) +  IFERROR( Q1079*INDEX(F!$P$21:$AB$33, MATCH(O1079/$AH1079, F!$O$21:$O$33,1), MATCH(E1079, F!$P$20:$AB$20,1)), 0) + IFERROR( U1079*INDEX(F!$P$21:$AB$33, MATCH(S1079/$AH1079, F!$O$21:$O$33,1), MATCH(E1079, F!$P$20:$AB$20,1)),0)  + IFERROR(Y1079*INDEX(F!$P$21:$AB$33, MATCH(W1079/$AH1079, F!$O$21:$O$33,1), MATCH(E1079, F!$P$20:$AB$20,1)),0)  + IFERROR( AC1079*INDEX(F!$P$21:$AB$33, MATCH(AA1079/$AH1079, F!$O$21:$O$33,1), MATCH(E1079, F!$P$20:$AB$20,1)),)</f>
        <v>0</v>
      </c>
      <c r="AL1079" s="59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</row>
    <row r="1080" ht="15.75" hidden="1" customHeight="1">
      <c r="A1080" s="59"/>
      <c r="B1080" s="126" t="str">
        <f t="shared" ref="B1080:F1080" si="2186">IF(B1024="","",B1024)</f>
        <v>Средняя</v>
      </c>
      <c r="C1080" s="127" t="str">
        <f t="shared" si="2186"/>
        <v>ОФП</v>
      </c>
      <c r="D1080" s="128" t="str">
        <f t="shared" si="2186"/>
        <v>Жим стоя</v>
      </c>
      <c r="E1080" s="48">
        <f t="shared" si="2186"/>
        <v>1</v>
      </c>
      <c r="F1080" s="129" t="str">
        <f t="shared" si="2186"/>
        <v/>
      </c>
      <c r="G1080" s="130" t="str">
        <f t="shared" si="2175"/>
        <v/>
      </c>
      <c r="H1080" s="34"/>
      <c r="I1080" s="34"/>
      <c r="J1080" s="65"/>
      <c r="K1080" s="130" t="str">
        <f t="shared" si="2176"/>
        <v/>
      </c>
      <c r="L1080" s="34"/>
      <c r="M1080" s="34"/>
      <c r="N1080" s="65"/>
      <c r="O1080" s="130" t="str">
        <f t="shared" si="2177"/>
        <v/>
      </c>
      <c r="P1080" s="34"/>
      <c r="Q1080" s="34"/>
      <c r="R1080" s="65"/>
      <c r="S1080" s="130" t="str">
        <f t="shared" si="2178"/>
        <v/>
      </c>
      <c r="T1080" s="34"/>
      <c r="U1080" s="34"/>
      <c r="V1080" s="65"/>
      <c r="W1080" s="130" t="str">
        <f t="shared" si="2179"/>
        <v/>
      </c>
      <c r="X1080" s="34"/>
      <c r="Y1080" s="34"/>
      <c r="Z1080" s="65"/>
      <c r="AA1080" s="130" t="str">
        <f t="shared" si="2180"/>
        <v/>
      </c>
      <c r="AB1080" s="34"/>
      <c r="AC1080" s="34"/>
      <c r="AD1080" s="65"/>
      <c r="AE1080" s="131">
        <f t="shared" si="2181"/>
        <v>0</v>
      </c>
      <c r="AF1080" s="132">
        <f t="shared" si="2162"/>
        <v>0</v>
      </c>
      <c r="AG1080" s="133">
        <f t="shared" si="2182"/>
        <v>0</v>
      </c>
      <c r="AH1080" s="76">
        <f t="shared" si="2183"/>
        <v>83.03823683</v>
      </c>
      <c r="AI1080" s="132">
        <f> ( IF(ISNUMBER(G1080), VLOOKUP(G1080/$AH1080,F!$A1:$B101,2,1)*G1080*$H1080*$I1080,0)+IF(ISNUMBER(K1080), VLOOKUP(K1080/$AH1080,F!$A1:$B101,2,1)*K1080*$L1080*$M1080,0)+IF(ISNUMBER(O1080), VLOOKUP(O1080/$AH1080,F!$A1:$B101,2,1)*O1080*$P1080*$Q1080,0)+IF(ISNUMBER(S1080), VLOOKUP(S1080/$AH1080,F!$A1:$B101,2,1)*S1080*$T1080*$U1080,0)+IF(ISNUMBER(W1080), VLOOKUP(W1080/$AH1080,F!$A1:$B101,2,1)*W1080*$X1080*$Y1080,0)+IF(ISNUMBER(AA1080), VLOOKUP(AA1080/$AH1080,F!$A1:$B101,2,1)*AA1080*$AB1080*$AC1080,0))*IF(ISNUMBER(F1080),F1080,1)*IF(ISNUMBER(E1080),E1080,1)</f>
        <v>0</v>
      </c>
      <c r="AJ1080" s="34">
        <f t="shared" si="2184"/>
        <v>0</v>
      </c>
      <c r="AK1080" s="134">
        <f t="array" ref="AK1080">IFERROR(I1080*INDEX(F!$P$21:$AB$33, MATCH(G1080/$AH1080, F!$O$21:$O$33,1), MATCH(E1080, F!$P$20:$AB$20,1)), 0 ) +IFERROR( M1080*INDEX(F!$P$21:$AB$33, MATCH(K1080/$AH1080, F!$O$21:$O$33,1), MATCH(E1080, F!$P$20:$AB$20,1)),0) +  IFERROR( Q1080*INDEX(F!$P$21:$AB$33, MATCH(O1080/$AH1080, F!$O$21:$O$33,1), MATCH(E1080, F!$P$20:$AB$20,1)), 0) + IFERROR( U1080*INDEX(F!$P$21:$AB$33, MATCH(S1080/$AH1080, F!$O$21:$O$33,1), MATCH(E1080, F!$P$20:$AB$20,1)),0)  + IFERROR(Y1080*INDEX(F!$P$21:$AB$33, MATCH(W1080/$AH1080, F!$O$21:$O$33,1), MATCH(E1080, F!$P$20:$AB$20,1)),0)  + IFERROR( AC1080*INDEX(F!$P$21:$AB$33, MATCH(AA1080/$AH1080, F!$O$21:$O$33,1), MATCH(E1080, F!$P$20:$AB$20,1)),)</f>
        <v>0</v>
      </c>
      <c r="AL1080" s="59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</row>
    <row r="1081" ht="15.75" hidden="1" customHeight="1">
      <c r="A1081" s="59"/>
      <c r="B1081" s="135" t="str">
        <f t="shared" ref="B1081:F1081" si="2187">IF(B1025="","",B1025)</f>
        <v>Средняя</v>
      </c>
      <c r="C1081" s="136" t="str">
        <f t="shared" si="2187"/>
        <v>ЖМ</v>
      </c>
      <c r="D1081" s="137" t="str">
        <f t="shared" si="2187"/>
        <v>Жим средним хватом</v>
      </c>
      <c r="E1081" s="48">
        <f t="shared" si="2187"/>
        <v>1</v>
      </c>
      <c r="F1081" s="138" t="str">
        <f t="shared" si="2187"/>
        <v/>
      </c>
      <c r="G1081" s="139" t="str">
        <f t="shared" si="2175"/>
        <v/>
      </c>
      <c r="H1081" s="140"/>
      <c r="I1081" s="140"/>
      <c r="J1081" s="141"/>
      <c r="K1081" s="139" t="str">
        <f t="shared" si="2176"/>
        <v/>
      </c>
      <c r="L1081" s="140"/>
      <c r="M1081" s="140"/>
      <c r="N1081" s="141"/>
      <c r="O1081" s="139" t="str">
        <f t="shared" si="2177"/>
        <v/>
      </c>
      <c r="P1081" s="140"/>
      <c r="Q1081" s="140"/>
      <c r="R1081" s="141"/>
      <c r="S1081" s="139" t="str">
        <f t="shared" si="2178"/>
        <v/>
      </c>
      <c r="T1081" s="140"/>
      <c r="U1081" s="140"/>
      <c r="V1081" s="141"/>
      <c r="W1081" s="139" t="str">
        <f t="shared" si="2179"/>
        <v/>
      </c>
      <c r="X1081" s="140"/>
      <c r="Y1081" s="140"/>
      <c r="Z1081" s="141"/>
      <c r="AA1081" s="139" t="str">
        <f t="shared" si="2180"/>
        <v/>
      </c>
      <c r="AB1081" s="140"/>
      <c r="AC1081" s="140"/>
      <c r="AD1081" s="141"/>
      <c r="AE1081" s="142">
        <f t="shared" si="2181"/>
        <v>0</v>
      </c>
      <c r="AF1081" s="143">
        <f t="shared" si="2162"/>
        <v>0</v>
      </c>
      <c r="AG1081" s="144">
        <f t="shared" si="2182"/>
        <v>0</v>
      </c>
      <c r="AH1081" s="76">
        <f t="shared" si="2183"/>
        <v>117.6375022</v>
      </c>
      <c r="AI1081" s="143">
        <f> ( IF(ISNUMBER(G1081), VLOOKUP(G1081/$AH1081,F!$A1:$B101,2,1)*G1081*$H1081*$I1081,0)+IF(ISNUMBER(K1081), VLOOKUP(K1081/$AH1081,F!$A1:$B101,2,1)*K1081*$L1081*$M1081,0)+IF(ISNUMBER(O1081), VLOOKUP(O1081/$AH1081,F!$A1:$B101,2,1)*O1081*$P1081*$Q1081,0)+IF(ISNUMBER(S1081), VLOOKUP(S1081/$AH1081,F!$A1:$B101,2,1)*S1081*$T1081*$U1081,0)+IF(ISNUMBER(W1081), VLOOKUP(W1081/$AH1081,F!$A1:$B101,2,1)*W1081*$X1081*$Y1081,0)+IF(ISNUMBER(AA1081), VLOOKUP(AA1081/$AH1081,F!$A1:$B101,2,1)*AA1081*$AB1081*$AC1081,0))*IF(ISNUMBER(F1081),F1081,1)*IF(ISNUMBER(E1081),E1081,1)</f>
        <v>0</v>
      </c>
      <c r="AJ1081" s="140">
        <f t="shared" si="2184"/>
        <v>0</v>
      </c>
      <c r="AK1081" s="145">
        <f t="array" ref="AK1081">IFERROR(I1081*INDEX(F!$P$21:$AB$33, MATCH(G1081/$AH1081, F!$O$21:$O$33,1), MATCH(E1081, F!$P$20:$AB$20,1)), 0 ) +IFERROR( M1081*INDEX(F!$P$21:$AB$33, MATCH(K1081/$AH1081, F!$O$21:$O$33,1), MATCH(E1081, F!$P$20:$AB$20,1)),0) +  IFERROR( Q1081*INDEX(F!$P$21:$AB$33, MATCH(O1081/$AH1081, F!$O$21:$O$33,1), MATCH(E1081, F!$P$20:$AB$20,1)), 0) + IFERROR( U1081*INDEX(F!$P$21:$AB$33, MATCH(S1081/$AH1081, F!$O$21:$O$33,1), MATCH(E1081, F!$P$20:$AB$20,1)),0)  + IFERROR(Y1081*INDEX(F!$P$21:$AB$33, MATCH(W1081/$AH1081, F!$O$21:$O$33,1), MATCH(E1081, F!$P$20:$AB$20,1)),0)  + IFERROR( AC1081*INDEX(F!$P$21:$AB$33, MATCH(AA1081/$AH1081, F!$O$21:$O$33,1), MATCH(E1081, F!$P$20:$AB$20,1)),)</f>
        <v>0</v>
      </c>
      <c r="AL1081" s="59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</row>
    <row r="1082" ht="15.75" hidden="1" customHeight="1">
      <c r="A1082" s="59"/>
      <c r="B1082" s="126" t="str">
        <f t="shared" ref="B1082:F1082" si="2188">IF(B1026="","",B1026)</f>
        <v/>
      </c>
      <c r="C1082" s="127" t="str">
        <f t="shared" si="2188"/>
        <v/>
      </c>
      <c r="D1082" s="128" t="str">
        <f t="shared" si="2188"/>
        <v/>
      </c>
      <c r="E1082" s="48" t="str">
        <f t="shared" si="2188"/>
        <v/>
      </c>
      <c r="F1082" s="129" t="str">
        <f t="shared" si="2188"/>
        <v/>
      </c>
      <c r="G1082" s="130" t="str">
        <f t="shared" si="2175"/>
        <v/>
      </c>
      <c r="H1082" s="34"/>
      <c r="I1082" s="34"/>
      <c r="J1082" s="65"/>
      <c r="K1082" s="130" t="str">
        <f t="shared" si="2176"/>
        <v/>
      </c>
      <c r="L1082" s="34"/>
      <c r="M1082" s="34"/>
      <c r="N1082" s="65"/>
      <c r="O1082" s="130" t="str">
        <f t="shared" si="2177"/>
        <v/>
      </c>
      <c r="P1082" s="34"/>
      <c r="Q1082" s="34"/>
      <c r="R1082" s="65"/>
      <c r="S1082" s="130" t="str">
        <f t="shared" si="2178"/>
        <v/>
      </c>
      <c r="T1082" s="34"/>
      <c r="U1082" s="34"/>
      <c r="V1082" s="65"/>
      <c r="W1082" s="130" t="str">
        <f t="shared" si="2179"/>
        <v/>
      </c>
      <c r="X1082" s="34"/>
      <c r="Y1082" s="34"/>
      <c r="Z1082" s="65"/>
      <c r="AA1082" s="130" t="str">
        <f t="shared" si="2180"/>
        <v/>
      </c>
      <c r="AB1082" s="34"/>
      <c r="AC1082" s="34"/>
      <c r="AD1082" s="65"/>
      <c r="AE1082" s="131">
        <f t="shared" si="2181"/>
        <v>0</v>
      </c>
      <c r="AF1082" s="132">
        <f t="shared" si="2162"/>
        <v>0</v>
      </c>
      <c r="AG1082" s="133">
        <f t="shared" si="2182"/>
        <v>0</v>
      </c>
      <c r="AH1082" s="76" t="str">
        <f t="shared" si="2183"/>
        <v/>
      </c>
      <c r="AI1082" s="132">
        <f> ( IF(ISNUMBER(G1082), VLOOKUP(G1082/$AH1082,F!$A1:$B101,2,1)*G1082*$H1082*$I1082,0)+IF(ISNUMBER(K1082), VLOOKUP(K1082/$AH1082,F!$A1:$B101,2,1)*K1082*$L1082*$M1082,0)+IF(ISNUMBER(O1082), VLOOKUP(O1082/$AH1082,F!$A1:$B101,2,1)*O1082*$P1082*$Q1082,0)+IF(ISNUMBER(S1082), VLOOKUP(S1082/$AH1082,F!$A1:$B101,2,1)*S1082*$T1082*$U1082,0)+IF(ISNUMBER(W1082), VLOOKUP(W1082/$AH1082,F!$A1:$B101,2,1)*W1082*$X1082*$Y1082,0)+IF(ISNUMBER(AA1082), VLOOKUP(AA1082/$AH1082,F!$A1:$B101,2,1)*AA1082*$AB1082*$AC1082,0))*IF(ISNUMBER(F1082),F1082,1)*IF(ISNUMBER(E1082),E1082,1)</f>
        <v>0</v>
      </c>
      <c r="AJ1082" s="34">
        <f t="shared" si="2184"/>
        <v>0</v>
      </c>
      <c r="AK1082" s="134">
        <f t="array" ref="AK1082">IFERROR(I1082*INDEX(F!$P$21:$AB$33, MATCH(G1082/$AH1082, F!$O$21:$O$33,1), MATCH(E1082, F!$P$20:$AB$20,1)), 0 ) +IFERROR( M1082*INDEX(F!$P$21:$AB$33, MATCH(K1082/$AH1082, F!$O$21:$O$33,1), MATCH(E1082, F!$P$20:$AB$20,1)),0) +  IFERROR( Q1082*INDEX(F!$P$21:$AB$33, MATCH(O1082/$AH1082, F!$O$21:$O$33,1), MATCH(E1082, F!$P$20:$AB$20,1)), 0) + IFERROR( U1082*INDEX(F!$P$21:$AB$33, MATCH(S1082/$AH1082, F!$O$21:$O$33,1), MATCH(E1082, F!$P$20:$AB$20,1)),0)  + IFERROR(Y1082*INDEX(F!$P$21:$AB$33, MATCH(W1082/$AH1082, F!$O$21:$O$33,1), MATCH(E1082, F!$P$20:$AB$20,1)),0)  + IFERROR( AC1082*INDEX(F!$P$21:$AB$33, MATCH(AA1082/$AH1082, F!$O$21:$O$33,1), MATCH(E1082, F!$P$20:$AB$20,1)),)</f>
        <v>0</v>
      </c>
      <c r="AL1082" s="59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</row>
    <row r="1083" ht="15.75" hidden="1" customHeight="1">
      <c r="A1083" s="59"/>
      <c r="B1083" s="135" t="str">
        <f t="shared" ref="B1083:F1083" si="2189">IF(B1027="","",B1027)</f>
        <v/>
      </c>
      <c r="C1083" s="136" t="str">
        <f t="shared" si="2189"/>
        <v/>
      </c>
      <c r="D1083" s="137" t="str">
        <f t="shared" si="2189"/>
        <v/>
      </c>
      <c r="E1083" s="48" t="str">
        <f t="shared" si="2189"/>
        <v/>
      </c>
      <c r="F1083" s="138" t="str">
        <f t="shared" si="2189"/>
        <v/>
      </c>
      <c r="G1083" s="139" t="str">
        <f t="shared" si="2175"/>
        <v/>
      </c>
      <c r="H1083" s="140"/>
      <c r="I1083" s="140"/>
      <c r="J1083" s="141"/>
      <c r="K1083" s="139" t="str">
        <f t="shared" si="2176"/>
        <v/>
      </c>
      <c r="L1083" s="140"/>
      <c r="M1083" s="140"/>
      <c r="N1083" s="141"/>
      <c r="O1083" s="139" t="str">
        <f t="shared" si="2177"/>
        <v/>
      </c>
      <c r="P1083" s="140"/>
      <c r="Q1083" s="140"/>
      <c r="R1083" s="141"/>
      <c r="S1083" s="139" t="str">
        <f t="shared" si="2178"/>
        <v/>
      </c>
      <c r="T1083" s="140"/>
      <c r="U1083" s="140"/>
      <c r="V1083" s="141"/>
      <c r="W1083" s="139" t="str">
        <f t="shared" si="2179"/>
        <v/>
      </c>
      <c r="X1083" s="140"/>
      <c r="Y1083" s="140"/>
      <c r="Z1083" s="141"/>
      <c r="AA1083" s="139" t="str">
        <f t="shared" si="2180"/>
        <v/>
      </c>
      <c r="AB1083" s="140"/>
      <c r="AC1083" s="140"/>
      <c r="AD1083" s="141"/>
      <c r="AE1083" s="142">
        <f t="shared" si="2181"/>
        <v>0</v>
      </c>
      <c r="AF1083" s="143">
        <f t="shared" si="2162"/>
        <v>0</v>
      </c>
      <c r="AG1083" s="144">
        <f t="shared" si="2182"/>
        <v>0</v>
      </c>
      <c r="AH1083" s="76" t="str">
        <f t="shared" si="2183"/>
        <v/>
      </c>
      <c r="AI1083" s="143">
        <f> ( IF(ISNUMBER(G1083), VLOOKUP(G1083/$AH1083,F!$A1:$B101,2,1)*G1083*$H1083*$I1083,0)+IF(ISNUMBER(K1083), VLOOKUP(K1083/$AH1083,F!$A1:$B101,2,1)*K1083*$L1083*$M1083,0)+IF(ISNUMBER(O1083), VLOOKUP(O1083/$AH1083,F!$A1:$B101,2,1)*O1083*$P1083*$Q1083,0)+IF(ISNUMBER(S1083), VLOOKUP(S1083/$AH1083,F!$A1:$B101,2,1)*S1083*$T1083*$U1083,0)+IF(ISNUMBER(W1083), VLOOKUP(W1083/$AH1083,F!$A1:$B101,2,1)*W1083*$X1083*$Y1083,0)+IF(ISNUMBER(AA1083), VLOOKUP(AA1083/$AH1083,F!$A1:$B101,2,1)*AA1083*$AB1083*$AC1083,0))*IF(ISNUMBER(F1083),F1083,1)*IF(ISNUMBER(E1083),E1083,1)</f>
        <v>0</v>
      </c>
      <c r="AJ1083" s="140">
        <f t="shared" si="2184"/>
        <v>0</v>
      </c>
      <c r="AK1083" s="145">
        <f t="array" ref="AK1083">IFERROR(I1083*INDEX(F!$P$21:$AB$33, MATCH(G1083/$AH1083, F!$O$21:$O$33,1), MATCH(E1083, F!$P$20:$AB$20,1)), 0 ) +IFERROR( M1083*INDEX(F!$P$21:$AB$33, MATCH(K1083/$AH1083, F!$O$21:$O$33,1), MATCH(E1083, F!$P$20:$AB$20,1)),0) +  IFERROR( Q1083*INDEX(F!$P$21:$AB$33, MATCH(O1083/$AH1083, F!$O$21:$O$33,1), MATCH(E1083, F!$P$20:$AB$20,1)), 0) + IFERROR( U1083*INDEX(F!$P$21:$AB$33, MATCH(S1083/$AH1083, F!$O$21:$O$33,1), MATCH(E1083, F!$P$20:$AB$20,1)),0)  + IFERROR(Y1083*INDEX(F!$P$21:$AB$33, MATCH(W1083/$AH1083, F!$O$21:$O$33,1), MATCH(E1083, F!$P$20:$AB$20,1)),0)  + IFERROR( AC1083*INDEX(F!$P$21:$AB$33, MATCH(AA1083/$AH1083, F!$O$21:$O$33,1), MATCH(E1083, F!$P$20:$AB$20,1)),)</f>
        <v>0</v>
      </c>
      <c r="AL1083" s="59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</row>
    <row r="1084" ht="15.75" hidden="1" customHeight="1">
      <c r="A1084" s="59"/>
      <c r="B1084" s="126" t="str">
        <f t="shared" ref="B1084:F1084" si="2190">IF(B1028="","",B1028)</f>
        <v/>
      </c>
      <c r="C1084" s="127" t="str">
        <f t="shared" si="2190"/>
        <v/>
      </c>
      <c r="D1084" s="128" t="str">
        <f t="shared" si="2190"/>
        <v/>
      </c>
      <c r="E1084" s="48" t="str">
        <f t="shared" si="2190"/>
        <v/>
      </c>
      <c r="F1084" s="129" t="str">
        <f t="shared" si="2190"/>
        <v/>
      </c>
      <c r="G1084" s="130" t="str">
        <f t="shared" si="2175"/>
        <v/>
      </c>
      <c r="H1084" s="34"/>
      <c r="I1084" s="34"/>
      <c r="J1084" s="65"/>
      <c r="K1084" s="130" t="str">
        <f t="shared" si="2176"/>
        <v/>
      </c>
      <c r="L1084" s="34"/>
      <c r="M1084" s="34"/>
      <c r="N1084" s="65"/>
      <c r="O1084" s="130" t="str">
        <f t="shared" si="2177"/>
        <v/>
      </c>
      <c r="P1084" s="34"/>
      <c r="Q1084" s="34"/>
      <c r="R1084" s="65"/>
      <c r="S1084" s="130" t="str">
        <f t="shared" si="2178"/>
        <v/>
      </c>
      <c r="T1084" s="34"/>
      <c r="U1084" s="34"/>
      <c r="V1084" s="65"/>
      <c r="W1084" s="130" t="str">
        <f t="shared" si="2179"/>
        <v/>
      </c>
      <c r="X1084" s="34"/>
      <c r="Y1084" s="34"/>
      <c r="Z1084" s="65"/>
      <c r="AA1084" s="130" t="str">
        <f t="shared" si="2180"/>
        <v/>
      </c>
      <c r="AB1084" s="34"/>
      <c r="AC1084" s="34"/>
      <c r="AD1084" s="65"/>
      <c r="AE1084" s="131">
        <f t="shared" si="2181"/>
        <v>0</v>
      </c>
      <c r="AF1084" s="132">
        <f t="shared" si="2162"/>
        <v>0</v>
      </c>
      <c r="AG1084" s="133">
        <f t="shared" si="2182"/>
        <v>0</v>
      </c>
      <c r="AH1084" s="76" t="str">
        <f t="shared" si="2183"/>
        <v/>
      </c>
      <c r="AI1084" s="132">
        <f> ( IF(ISNUMBER(G1084), VLOOKUP(G1084/$AH1084,F!$A1:$B101,2,1)*G1084*$H1084*$I1084,0)+IF(ISNUMBER(K1084), VLOOKUP(K1084/$AH1084,F!$A1:$B101,2,1)*K1084*$L1084*$M1084,0)+IF(ISNUMBER(O1084), VLOOKUP(O1084/$AH1084,F!$A1:$B101,2,1)*O1084*$P1084*$Q1084,0)+IF(ISNUMBER(S1084), VLOOKUP(S1084/$AH1084,F!$A1:$B101,2,1)*S1084*$T1084*$U1084,0)+IF(ISNUMBER(W1084), VLOOKUP(W1084/$AH1084,F!$A1:$B101,2,1)*W1084*$X1084*$Y1084,0)+IF(ISNUMBER(AA1084), VLOOKUP(AA1084/$AH1084,F!$A1:$B101,2,1)*AA1084*$AB1084*$AC1084,0))*IF(ISNUMBER(F1084),F1084,1)*IF(ISNUMBER(E1084),E1084,1)</f>
        <v>0</v>
      </c>
      <c r="AJ1084" s="34">
        <f t="shared" si="2184"/>
        <v>0</v>
      </c>
      <c r="AK1084" s="134">
        <f t="array" ref="AK1084">IFERROR(I1084*INDEX(F!$P$21:$AB$33, MATCH(G1084/$AH1084, F!$O$21:$O$33,1), MATCH(E1084, F!$P$20:$AB$20,1)), 0 ) +IFERROR( M1084*INDEX(F!$P$21:$AB$33, MATCH(K1084/$AH1084, F!$O$21:$O$33,1), MATCH(E1084, F!$P$20:$AB$20,1)),0) +  IFERROR( Q1084*INDEX(F!$P$21:$AB$33, MATCH(O1084/$AH1084, F!$O$21:$O$33,1), MATCH(E1084, F!$P$20:$AB$20,1)), 0) + IFERROR( U1084*INDEX(F!$P$21:$AB$33, MATCH(S1084/$AH1084, F!$O$21:$O$33,1), MATCH(E1084, F!$P$20:$AB$20,1)),0)  + IFERROR(Y1084*INDEX(F!$P$21:$AB$33, MATCH(W1084/$AH1084, F!$O$21:$O$33,1), MATCH(E1084, F!$P$20:$AB$20,1)),0)  + IFERROR( AC1084*INDEX(F!$P$21:$AB$33, MATCH(AA1084/$AH1084, F!$O$21:$O$33,1), MATCH(E1084, F!$P$20:$AB$20,1)),)</f>
        <v>0</v>
      </c>
      <c r="AL1084" s="59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</row>
    <row r="1085" ht="15.75" hidden="1" customHeight="1">
      <c r="A1085" s="98"/>
      <c r="B1085" s="150"/>
      <c r="C1085" s="151"/>
      <c r="D1085" s="152"/>
      <c r="E1085" s="102">
        <f>ROUND(IFERROR(SUMPRODUCT(AJ1077:AJ1084,E1077:E1084)/AJ1085,0),3)</f>
        <v>0</v>
      </c>
      <c r="F1085" s="153"/>
      <c r="G1085" s="154"/>
      <c r="H1085" s="155"/>
      <c r="I1085" s="155"/>
      <c r="J1085" s="156"/>
      <c r="K1085" s="154"/>
      <c r="L1085" s="155"/>
      <c r="M1085" s="155"/>
      <c r="N1085" s="156"/>
      <c r="O1085" s="154"/>
      <c r="P1085" s="155"/>
      <c r="Q1085" s="155"/>
      <c r="R1085" s="156"/>
      <c r="S1085" s="154"/>
      <c r="T1085" s="155"/>
      <c r="U1085" s="155"/>
      <c r="V1085" s="156"/>
      <c r="W1085" s="154"/>
      <c r="X1085" s="155"/>
      <c r="Y1085" s="155"/>
      <c r="Z1085" s="156"/>
      <c r="AA1085" s="154"/>
      <c r="AB1085" s="155"/>
      <c r="AC1085" s="155"/>
      <c r="AD1085" s="156"/>
      <c r="AE1085" s="107">
        <f>SUM(AE1077:AE1084)</f>
        <v>0</v>
      </c>
      <c r="AF1085" s="108">
        <f t="shared" si="2162"/>
        <v>0</v>
      </c>
      <c r="AG1085" s="109">
        <f>IFERROR(  SUMPRODUCT(AG1077:AG1084,AJ1077:AJ1084)/AJ1085,0)</f>
        <v>0</v>
      </c>
      <c r="AH1085" s="157"/>
      <c r="AI1085" s="111">
        <f t="shared" ref="AI1085:AJ1085" si="2191">SUM(AI1077:AI1084)</f>
        <v>0</v>
      </c>
      <c r="AJ1085" s="111">
        <f t="shared" si="2191"/>
        <v>0</v>
      </c>
      <c r="AK1085" s="112">
        <f>IF(SUM(AK1077:AK1084)=0,TIME(,0,),TIME(,SUM(AK1077:AK1084)+F!$V$37,))</f>
        <v>0</v>
      </c>
      <c r="AL1085" s="98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</row>
    <row r="1086" ht="15.75" hidden="1" customHeight="1">
      <c r="A1086" s="158">
        <f>A1087</f>
        <v>43917</v>
      </c>
      <c r="B1086" s="159" t="str">
        <f t="shared" ref="B1086:F1086" si="2192">IF(B1030="","",B1030)</f>
        <v>Тяжелая</v>
      </c>
      <c r="C1086" s="160" t="str">
        <f t="shared" si="2192"/>
        <v>ПР</v>
      </c>
      <c r="D1086" s="161" t="str">
        <f t="shared" si="2192"/>
        <v>Присед</v>
      </c>
      <c r="E1086" s="29">
        <f t="shared" si="2192"/>
        <v>1.2</v>
      </c>
      <c r="F1086" s="162" t="str">
        <f t="shared" si="2192"/>
        <v/>
      </c>
      <c r="G1086" s="163" t="str">
        <f t="shared" ref="G1086:G1093" si="2194">IF(J1086&lt;&gt;0, IFERROR(IF( $F1086=2,  MROUND($AH1086*J1086,1),    IF( OR($F1086="",$F1086=1),   MROUND($AH1086*J1086,2.5),  MROUND($AH1086*J1086, 0.1))), "" ), "")</f>
        <v/>
      </c>
      <c r="H1086" s="164"/>
      <c r="I1086" s="164"/>
      <c r="J1086" s="165"/>
      <c r="K1086" s="163" t="str">
        <f t="shared" ref="K1086:K1093" si="2195">IF(N1086&lt;&gt;0, IFERROR(IF( $F1086=2,  MROUND($AH1086*N1086,1),    IF( OR($F1086="",$F1086=1),   MROUND($AH1086*N1086,2.5),  MROUND($AH1086*N1086, 0.1))), "" ), "")</f>
        <v/>
      </c>
      <c r="L1086" s="164"/>
      <c r="M1086" s="164"/>
      <c r="N1086" s="165"/>
      <c r="O1086" s="163" t="str">
        <f t="shared" ref="O1086:O1093" si="2196">IF(R1086&lt;&gt;0, IFERROR(IF( $F1086=2,  MROUND($AH1086*R1086,1),    IF( OR($F1086="",$F1086=1),   MROUND($AH1086*R1086,2.5),  MROUND($AH1086*R1086, 0.1))), "" ), "")</f>
        <v/>
      </c>
      <c r="P1086" s="164"/>
      <c r="Q1086" s="164"/>
      <c r="R1086" s="165"/>
      <c r="S1086" s="163" t="str">
        <f t="shared" ref="S1086:S1093" si="2197">IF(V1086&lt;&gt;0, IFERROR(IF( $F1086=2,  MROUND($AH1086*V1086,1),    IF( OR($F1086="",$F1086=1),   MROUND($AH1086*V1086,2.5),  MROUND($AH1086*V1086, 0.1))), "" ), "")</f>
        <v/>
      </c>
      <c r="T1086" s="164"/>
      <c r="U1086" s="164"/>
      <c r="V1086" s="165"/>
      <c r="W1086" s="163" t="str">
        <f t="shared" ref="W1086:W1093" si="2198">IF(Z1086&lt;&gt;0, IFERROR(IF( $F1086=2,  MROUND($AH1086*Z1086,1),    IF( OR($F1086="",$F1086=1),   MROUND($AH1086*Z1086,2.5),  MROUND($AH1086*Z1086, 0.1))), "" ), "")</f>
        <v/>
      </c>
      <c r="X1086" s="164"/>
      <c r="Y1086" s="164"/>
      <c r="Z1086" s="165"/>
      <c r="AA1086" s="163" t="str">
        <f t="shared" ref="AA1086:AA1093" si="2199">IF(AD1086&lt;&gt;0, IFERROR(IF( $F1086=2,  MROUND($AH1086*AD1086,1),    IF( OR($F1086="",$F1086=1),   MROUND($AH1086*AD1086,2.5),  MROUND($AH1086*AD1086, 0.1))), "" ), "")</f>
        <v/>
      </c>
      <c r="AB1086" s="164"/>
      <c r="AC1086" s="164"/>
      <c r="AD1086" s="165"/>
      <c r="AE1086" s="166">
        <f t="shared" ref="AE1086:AE1093" si="2200">(IF(ISNUMBER(G1086),G1086,0)*H1086*I1086+IF(ISNUMBER(K1086),K1086,1)*L1086*M1086+IF(ISNUMBER(O1086),O1086,1)*P1086*Q1086+IF(ISNUMBER(S1086),S1086,1)*T1086*U1086+IF(ISNUMBER(W1086),W1086,1)*X1086*Y1086+IF(ISNUMBER(AA1086),AA1086,1)*AB1086*AC1086)*IF(ISNUMBER(F1086),F1086,1)</f>
        <v>0</v>
      </c>
      <c r="AF1086" s="167">
        <f t="shared" si="2162"/>
        <v>0</v>
      </c>
      <c r="AG1086" s="168">
        <f t="shared" ref="AG1086:AG1093" si="2201">IFERROR((AF1086/(AH1086*IF(ISNUMBER(F1086),F1086,1))),0)</f>
        <v>0</v>
      </c>
      <c r="AH1086" s="169">
        <f t="shared" ref="AH1086:AH1093" si="2202">IF(ISNUMBER(AH1030), AH1030+(AH1030*$AH$1066),"")</f>
        <v>196.6695083</v>
      </c>
      <c r="AI1086" s="167">
        <f> ( IF(ISNUMBER(G1086), VLOOKUP(G1086/$AH1086,F!$A1:$B101,2,1)*G1086*$H1086*$I1086,0)+IF(ISNUMBER(K1086), VLOOKUP(K1086/$AH1086,F!$A1:$B101,2,1)*K1086*$L1086*$M1086,0)+IF(ISNUMBER(O1086), VLOOKUP(O1086/$AH1086,F!$A1:$B101,2,1)*O1086*$P1086*$Q1086,0)+IF(ISNUMBER(S1086), VLOOKUP(S1086/$AH1086,F!$A1:$B101,2,1)*S1086*$T1086*$U1086,0)+IF(ISNUMBER(W1086), VLOOKUP(W1086/$AH1086,F!$A1:$B101,2,1)*W1086*$X1086*$Y1086,0)+IF(ISNUMBER(AA1086), VLOOKUP(AA1086/$AH1086,F!$A1:$B101,2,1)*AA1086*$AB1086*$AC1086,0))*IF(ISNUMBER(F1086),F1086,1)*IF(ISNUMBER(E1086),E1086,1)</f>
        <v>0</v>
      </c>
      <c r="AJ1086" s="164">
        <f t="shared" ref="AJ1086:AJ1093" si="2203">H1086*I1086+L1086*M1086+P1086*Q1086+T1086*U1086+X1086*Y1086+AB1086*AC1086</f>
        <v>0</v>
      </c>
      <c r="AK1086" s="170">
        <f t="array" ref="AK1086">IFERROR(I1086*INDEX(F!$P$21:$AB$33, MATCH(G1086/$AH1086, F!$O$21:$O$33,1), MATCH(E1086, F!$P$20:$AB$20,1)), 0 ) +IFERROR( M1086*INDEX(F!$P$21:$AB$33, MATCH(K1086/$AH1086, F!$O$21:$O$33,1), MATCH(E1086, F!$P$20:$AB$20,1)),0) +  IFERROR( Q1086*INDEX(F!$P$21:$AB$33, MATCH(O1086/$AH1086, F!$O$21:$O$33,1), MATCH(E1086, F!$P$20:$AB$20,1)), 0) + IFERROR( U1086*INDEX(F!$P$21:$AB$33, MATCH(S1086/$AH1086, F!$O$21:$O$33,1), MATCH(E1086, F!$P$20:$AB$20,1)),0)  + IFERROR(Y1086*INDEX(F!$P$21:$AB$33, MATCH(W1086/$AH1086, F!$O$21:$O$33,1), MATCH(E1086, F!$P$20:$AB$20,1)),0)  + IFERROR( AC1086*INDEX(F!$P$21:$AB$33, MATCH(AA1086/$AH1086, F!$O$21:$O$33,1), MATCH(E1086, F!$P$20:$AB$20,1)),)</f>
        <v>0</v>
      </c>
      <c r="AL1086" s="42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</row>
    <row r="1087" ht="15.75" hidden="1" customHeight="1">
      <c r="A1087" s="44">
        <f>A1031+A1010</f>
        <v>43917</v>
      </c>
      <c r="B1087" s="135" t="str">
        <f t="shared" ref="B1087:F1087" si="2193">IF(B1031="","",B1031)</f>
        <v>Тяжелая</v>
      </c>
      <c r="C1087" s="136" t="str">
        <f t="shared" si="2193"/>
        <v>ЖМ</v>
      </c>
      <c r="D1087" s="137" t="str">
        <f t="shared" si="2193"/>
        <v>Жим лежа</v>
      </c>
      <c r="E1087" s="48">
        <f t="shared" si="2193"/>
        <v>1</v>
      </c>
      <c r="F1087" s="138" t="str">
        <f t="shared" si="2193"/>
        <v/>
      </c>
      <c r="G1087" s="139" t="str">
        <f t="shared" si="2194"/>
        <v/>
      </c>
      <c r="H1087" s="140"/>
      <c r="I1087" s="140"/>
      <c r="J1087" s="141"/>
      <c r="K1087" s="139" t="str">
        <f t="shared" si="2195"/>
        <v/>
      </c>
      <c r="L1087" s="140"/>
      <c r="M1087" s="140"/>
      <c r="N1087" s="141"/>
      <c r="O1087" s="139" t="str">
        <f t="shared" si="2196"/>
        <v/>
      </c>
      <c r="P1087" s="140"/>
      <c r="Q1087" s="140"/>
      <c r="R1087" s="141"/>
      <c r="S1087" s="139" t="str">
        <f t="shared" si="2197"/>
        <v/>
      </c>
      <c r="T1087" s="140"/>
      <c r="U1087" s="140"/>
      <c r="V1087" s="141"/>
      <c r="W1087" s="139" t="str">
        <f t="shared" si="2198"/>
        <v/>
      </c>
      <c r="X1087" s="140"/>
      <c r="Y1087" s="140"/>
      <c r="Z1087" s="141"/>
      <c r="AA1087" s="139" t="str">
        <f t="shared" si="2199"/>
        <v/>
      </c>
      <c r="AB1087" s="140"/>
      <c r="AC1087" s="140"/>
      <c r="AD1087" s="141"/>
      <c r="AE1087" s="142">
        <f t="shared" si="2200"/>
        <v>0</v>
      </c>
      <c r="AF1087" s="143">
        <f t="shared" si="2162"/>
        <v>0</v>
      </c>
      <c r="AG1087" s="144">
        <f t="shared" si="2201"/>
        <v>0</v>
      </c>
      <c r="AH1087" s="76">
        <f t="shared" si="2202"/>
        <v>138.3970614</v>
      </c>
      <c r="AI1087" s="143">
        <f> ( IF(ISNUMBER(G1087), VLOOKUP(G1087/$AH1087,F!$A1:$B101,2,1)*G1087*$H1087*$I1087,0)+IF(ISNUMBER(K1087), VLOOKUP(K1087/$AH1087,F!$A1:$B101,2,1)*K1087*$L1087*$M1087,0)+IF(ISNUMBER(O1087), VLOOKUP(O1087/$AH1087,F!$A1:$B101,2,1)*O1087*$P1087*$Q1087,0)+IF(ISNUMBER(S1087), VLOOKUP(S1087/$AH1087,F!$A1:$B101,2,1)*S1087*$T1087*$U1087,0)+IF(ISNUMBER(W1087), VLOOKUP(W1087/$AH1087,F!$A1:$B101,2,1)*W1087*$X1087*$Y1087,0)+IF(ISNUMBER(AA1087), VLOOKUP(AA1087/$AH1087,F!$A1:$B101,2,1)*AA1087*$AB1087*$AC1087,0))*IF(ISNUMBER(F1087),F1087,1)*IF(ISNUMBER(E1087),E1087,1)</f>
        <v>0</v>
      </c>
      <c r="AJ1087" s="140">
        <f t="shared" si="2203"/>
        <v>0</v>
      </c>
      <c r="AK1087" s="145">
        <f t="array" ref="AK1087">IFERROR(I1087*INDEX(F!$P$21:$AB$33, MATCH(G1087/$AH1087, F!$O$21:$O$33,1), MATCH(E1087, F!$P$20:$AB$20,1)), 0 ) +IFERROR( M1087*INDEX(F!$P$21:$AB$33, MATCH(K1087/$AH1087, F!$O$21:$O$33,1), MATCH(E1087, F!$P$20:$AB$20,1)),0) +  IFERROR( Q1087*INDEX(F!$P$21:$AB$33, MATCH(O1087/$AH1087, F!$O$21:$O$33,1), MATCH(E1087, F!$P$20:$AB$20,1)), 0) + IFERROR( U1087*INDEX(F!$P$21:$AB$33, MATCH(S1087/$AH1087, F!$O$21:$O$33,1), MATCH(E1087, F!$P$20:$AB$20,1)),0)  + IFERROR(Y1087*INDEX(F!$P$21:$AB$33, MATCH(W1087/$AH1087, F!$O$21:$O$33,1), MATCH(E1087, F!$P$20:$AB$20,1)),0)  + IFERROR( AC1087*INDEX(F!$P$21:$AB$33, MATCH(AA1087/$AH1087, F!$O$21:$O$33,1), MATCH(E1087, F!$P$20:$AB$20,1)),)</f>
        <v>0</v>
      </c>
      <c r="AL1087" s="59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</row>
    <row r="1088" ht="15.75" hidden="1" customHeight="1">
      <c r="A1088" s="59"/>
      <c r="B1088" s="173" t="str">
        <f t="shared" ref="B1088:F1088" si="2204">IF(B1032="","",B1032)</f>
        <v>Средняя</v>
      </c>
      <c r="C1088" s="174" t="str">
        <f t="shared" si="2204"/>
        <v>ПР</v>
      </c>
      <c r="D1088" s="175" t="str">
        <f t="shared" si="2204"/>
        <v>Присед</v>
      </c>
      <c r="E1088" s="48">
        <f t="shared" si="2204"/>
        <v>1.2</v>
      </c>
      <c r="F1088" s="176" t="str">
        <f t="shared" si="2204"/>
        <v/>
      </c>
      <c r="G1088" s="177" t="str">
        <f t="shared" si="2194"/>
        <v/>
      </c>
      <c r="H1088" s="178"/>
      <c r="I1088" s="178"/>
      <c r="J1088" s="179"/>
      <c r="K1088" s="177" t="str">
        <f t="shared" si="2195"/>
        <v/>
      </c>
      <c r="L1088" s="178"/>
      <c r="M1088" s="178"/>
      <c r="N1088" s="179"/>
      <c r="O1088" s="177" t="str">
        <f t="shared" si="2196"/>
        <v/>
      </c>
      <c r="P1088" s="178"/>
      <c r="Q1088" s="178"/>
      <c r="R1088" s="179"/>
      <c r="S1088" s="177" t="str">
        <f t="shared" si="2197"/>
        <v/>
      </c>
      <c r="T1088" s="178"/>
      <c r="U1088" s="178"/>
      <c r="V1088" s="179"/>
      <c r="W1088" s="177" t="str">
        <f t="shared" si="2198"/>
        <v/>
      </c>
      <c r="X1088" s="178"/>
      <c r="Y1088" s="178"/>
      <c r="Z1088" s="179"/>
      <c r="AA1088" s="177" t="str">
        <f t="shared" si="2199"/>
        <v/>
      </c>
      <c r="AB1088" s="178"/>
      <c r="AC1088" s="178"/>
      <c r="AD1088" s="179"/>
      <c r="AE1088" s="180">
        <f t="shared" si="2200"/>
        <v>0</v>
      </c>
      <c r="AF1088" s="181">
        <f t="shared" si="2162"/>
        <v>0</v>
      </c>
      <c r="AG1088" s="182">
        <f t="shared" si="2201"/>
        <v>0</v>
      </c>
      <c r="AH1088" s="76">
        <f t="shared" si="2202"/>
        <v>196.6695083</v>
      </c>
      <c r="AI1088" s="181">
        <f> ( IF(ISNUMBER(G1088), VLOOKUP(G1088/$AH1088,F!$A1:$B101,2,1)*G1088*$H1088*$I1088,0)+IF(ISNUMBER(K1088), VLOOKUP(K1088/$AH1088,F!$A1:$B101,2,1)*K1088*$L1088*$M1088,0)+IF(ISNUMBER(O1088), VLOOKUP(O1088/$AH1088,F!$A1:$B101,2,1)*O1088*$P1088*$Q1088,0)+IF(ISNUMBER(S1088), VLOOKUP(S1088/$AH1088,F!$A1:$B101,2,1)*S1088*$T1088*$U1088,0)+IF(ISNUMBER(W1088), VLOOKUP(W1088/$AH1088,F!$A1:$B101,2,1)*W1088*$X1088*$Y1088,0)+IF(ISNUMBER(AA1088), VLOOKUP(AA1088/$AH1088,F!$A1:$B101,2,1)*AA1088*$AB1088*$AC1088,0))*IF(ISNUMBER(F1088),F1088,1)*IF(ISNUMBER(E1088),E1088,1)</f>
        <v>0</v>
      </c>
      <c r="AJ1088" s="178">
        <f t="shared" si="2203"/>
        <v>0</v>
      </c>
      <c r="AK1088" s="183">
        <f t="array" ref="AK1088">IFERROR(I1088*INDEX(F!$P$21:$AB$33, MATCH(G1088/$AH1088, F!$O$21:$O$33,1), MATCH(E1088, F!$P$20:$AB$20,1)), 0 ) +IFERROR( M1088*INDEX(F!$P$21:$AB$33, MATCH(K1088/$AH1088, F!$O$21:$O$33,1), MATCH(E1088, F!$P$20:$AB$20,1)),0) +  IFERROR( Q1088*INDEX(F!$P$21:$AB$33, MATCH(O1088/$AH1088, F!$O$21:$O$33,1), MATCH(E1088, F!$P$20:$AB$20,1)), 0) + IFERROR( U1088*INDEX(F!$P$21:$AB$33, MATCH(S1088/$AH1088, F!$O$21:$O$33,1), MATCH(E1088, F!$P$20:$AB$20,1)),0)  + IFERROR(Y1088*INDEX(F!$P$21:$AB$33, MATCH(W1088/$AH1088, F!$O$21:$O$33,1), MATCH(E1088, F!$P$20:$AB$20,1)),0)  + IFERROR( AC1088*INDEX(F!$P$21:$AB$33, MATCH(AA1088/$AH1088, F!$O$21:$O$33,1), MATCH(E1088, F!$P$20:$AB$20,1)),)</f>
        <v>0</v>
      </c>
      <c r="AL1088" s="59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</row>
    <row r="1089" ht="15.75" hidden="1" customHeight="1">
      <c r="A1089" s="59"/>
      <c r="B1089" s="135" t="str">
        <f t="shared" ref="B1089:F1089" si="2205">IF(B1033="","",B1033)</f>
        <v>Средняя</v>
      </c>
      <c r="C1089" s="136" t="str">
        <f t="shared" si="2205"/>
        <v>ЖМ</v>
      </c>
      <c r="D1089" s="137" t="str">
        <f t="shared" si="2205"/>
        <v>Жим на наклонной скамье</v>
      </c>
      <c r="E1089" s="48">
        <f t="shared" si="2205"/>
        <v>1</v>
      </c>
      <c r="F1089" s="138" t="str">
        <f t="shared" si="2205"/>
        <v/>
      </c>
      <c r="G1089" s="139" t="str">
        <f t="shared" si="2194"/>
        <v/>
      </c>
      <c r="H1089" s="140"/>
      <c r="I1089" s="140"/>
      <c r="J1089" s="141"/>
      <c r="K1089" s="139" t="str">
        <f t="shared" si="2195"/>
        <v/>
      </c>
      <c r="L1089" s="140"/>
      <c r="M1089" s="140"/>
      <c r="N1089" s="141"/>
      <c r="O1089" s="139" t="str">
        <f t="shared" si="2196"/>
        <v/>
      </c>
      <c r="P1089" s="140"/>
      <c r="Q1089" s="140"/>
      <c r="R1089" s="141"/>
      <c r="S1089" s="139" t="str">
        <f t="shared" si="2197"/>
        <v/>
      </c>
      <c r="T1089" s="140"/>
      <c r="U1089" s="140"/>
      <c r="V1089" s="141"/>
      <c r="W1089" s="139" t="str">
        <f t="shared" si="2198"/>
        <v/>
      </c>
      <c r="X1089" s="140"/>
      <c r="Y1089" s="140"/>
      <c r="Z1089" s="141"/>
      <c r="AA1089" s="139" t="str">
        <f t="shared" si="2199"/>
        <v/>
      </c>
      <c r="AB1089" s="140"/>
      <c r="AC1089" s="140"/>
      <c r="AD1089" s="141"/>
      <c r="AE1089" s="142">
        <f t="shared" si="2200"/>
        <v>0</v>
      </c>
      <c r="AF1089" s="143">
        <f t="shared" si="2162"/>
        <v>0</v>
      </c>
      <c r="AG1089" s="144">
        <f t="shared" si="2201"/>
        <v>0</v>
      </c>
      <c r="AH1089" s="76">
        <f t="shared" si="2202"/>
        <v>110.7176491</v>
      </c>
      <c r="AI1089" s="143">
        <f> ( IF(ISNUMBER(G1089), VLOOKUP(G1089/$AH1089,F!$A1:$B101,2,1)*G1089*$H1089*$I1089,0)+IF(ISNUMBER(K1089), VLOOKUP(K1089/$AH1089,F!$A1:$B101,2,1)*K1089*$L1089*$M1089,0)+IF(ISNUMBER(O1089), VLOOKUP(O1089/$AH1089,F!$A1:$B101,2,1)*O1089*$P1089*$Q1089,0)+IF(ISNUMBER(S1089), VLOOKUP(S1089/$AH1089,F!$A1:$B101,2,1)*S1089*$T1089*$U1089,0)+IF(ISNUMBER(W1089), VLOOKUP(W1089/$AH1089,F!$A1:$B101,2,1)*W1089*$X1089*$Y1089,0)+IF(ISNUMBER(AA1089), VLOOKUP(AA1089/$AH1089,F!$A1:$B101,2,1)*AA1089*$AB1089*$AC1089,0))*IF(ISNUMBER(F1089),F1089,1)*IF(ISNUMBER(E1089),E1089,1)</f>
        <v>0</v>
      </c>
      <c r="AJ1089" s="140">
        <f t="shared" si="2203"/>
        <v>0</v>
      </c>
      <c r="AK1089" s="145">
        <f t="array" ref="AK1089">IFERROR(I1089*INDEX(F!$P$21:$AB$33, MATCH(G1089/$AH1089, F!$O$21:$O$33,1), MATCH(E1089, F!$P$20:$AB$20,1)), 0 ) +IFERROR( M1089*INDEX(F!$P$21:$AB$33, MATCH(K1089/$AH1089, F!$O$21:$O$33,1), MATCH(E1089, F!$P$20:$AB$20,1)),0) +  IFERROR( Q1089*INDEX(F!$P$21:$AB$33, MATCH(O1089/$AH1089, F!$O$21:$O$33,1), MATCH(E1089, F!$P$20:$AB$20,1)), 0) + IFERROR( U1089*INDEX(F!$P$21:$AB$33, MATCH(S1089/$AH1089, F!$O$21:$O$33,1), MATCH(E1089, F!$P$20:$AB$20,1)),0)  + IFERROR(Y1089*INDEX(F!$P$21:$AB$33, MATCH(W1089/$AH1089, F!$O$21:$O$33,1), MATCH(E1089, F!$P$20:$AB$20,1)),0)  + IFERROR( AC1089*INDEX(F!$P$21:$AB$33, MATCH(AA1089/$AH1089, F!$O$21:$O$33,1), MATCH(E1089, F!$P$20:$AB$20,1)),)</f>
        <v>0</v>
      </c>
      <c r="AL1089" s="59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</row>
    <row r="1090" ht="15.75" hidden="1" customHeight="1">
      <c r="A1090" s="59"/>
      <c r="B1090" s="173" t="str">
        <f t="shared" ref="B1090:F1090" si="2206">IF(B1034="","",B1034)</f>
        <v>Средняя</v>
      </c>
      <c r="C1090" s="174" t="str">
        <f t="shared" si="2206"/>
        <v>ОФП</v>
      </c>
      <c r="D1090" s="175" t="str">
        <f t="shared" si="2206"/>
        <v>Бицепс стоя</v>
      </c>
      <c r="E1090" s="48">
        <f t="shared" si="2206"/>
        <v>0.5</v>
      </c>
      <c r="F1090" s="176" t="str">
        <f t="shared" si="2206"/>
        <v/>
      </c>
      <c r="G1090" s="177" t="str">
        <f t="shared" si="2194"/>
        <v/>
      </c>
      <c r="H1090" s="178"/>
      <c r="I1090" s="178"/>
      <c r="J1090" s="179"/>
      <c r="K1090" s="177" t="str">
        <f t="shared" si="2195"/>
        <v/>
      </c>
      <c r="L1090" s="178"/>
      <c r="M1090" s="178"/>
      <c r="N1090" s="179"/>
      <c r="O1090" s="177" t="str">
        <f t="shared" si="2196"/>
        <v/>
      </c>
      <c r="P1090" s="178"/>
      <c r="Q1090" s="178"/>
      <c r="R1090" s="179"/>
      <c r="S1090" s="177" t="str">
        <f t="shared" si="2197"/>
        <v/>
      </c>
      <c r="T1090" s="178"/>
      <c r="U1090" s="178"/>
      <c r="V1090" s="179"/>
      <c r="W1090" s="177" t="str">
        <f t="shared" si="2198"/>
        <v/>
      </c>
      <c r="X1090" s="178"/>
      <c r="Y1090" s="178"/>
      <c r="Z1090" s="179"/>
      <c r="AA1090" s="177" t="str">
        <f t="shared" si="2199"/>
        <v/>
      </c>
      <c r="AB1090" s="178"/>
      <c r="AC1090" s="178"/>
      <c r="AD1090" s="179"/>
      <c r="AE1090" s="180">
        <f t="shared" si="2200"/>
        <v>0</v>
      </c>
      <c r="AF1090" s="181">
        <f t="shared" si="2162"/>
        <v>0</v>
      </c>
      <c r="AG1090" s="182">
        <f t="shared" si="2201"/>
        <v>0</v>
      </c>
      <c r="AH1090" s="76" t="str">
        <f t="shared" si="2202"/>
        <v/>
      </c>
      <c r="AI1090" s="181">
        <f> ( IF(ISNUMBER(G1090), VLOOKUP(G1090/$AH1090,F!$A1:$B101,2,1)*G1090*$H1090*$I1090,0)+IF(ISNUMBER(K1090), VLOOKUP(K1090/$AH1090,F!$A1:$B101,2,1)*K1090*$L1090*$M1090,0)+IF(ISNUMBER(O1090), VLOOKUP(O1090/$AH1090,F!$A1:$B101,2,1)*O1090*$P1090*$Q1090,0)+IF(ISNUMBER(S1090), VLOOKUP(S1090/$AH1090,F!$A1:$B101,2,1)*S1090*$T1090*$U1090,0)+IF(ISNUMBER(W1090), VLOOKUP(W1090/$AH1090,F!$A1:$B101,2,1)*W1090*$X1090*$Y1090,0)+IF(ISNUMBER(AA1090), VLOOKUP(AA1090/$AH1090,F!$A1:$B101,2,1)*AA1090*$AB1090*$AC1090,0))*IF(ISNUMBER(F1090),F1090,1)*IF(ISNUMBER(E1090),E1090,1)</f>
        <v>0</v>
      </c>
      <c r="AJ1090" s="178">
        <f t="shared" si="2203"/>
        <v>0</v>
      </c>
      <c r="AK1090" s="183">
        <f t="array" ref="AK1090">IFERROR(I1090*INDEX(F!$P$21:$AB$33, MATCH(G1090/$AH1090, F!$O$21:$O$33,1), MATCH(E1090, F!$P$20:$AB$20,1)), 0 ) +IFERROR( M1090*INDEX(F!$P$21:$AB$33, MATCH(K1090/$AH1090, F!$O$21:$O$33,1), MATCH(E1090, F!$P$20:$AB$20,1)),0) +  IFERROR( Q1090*INDEX(F!$P$21:$AB$33, MATCH(O1090/$AH1090, F!$O$21:$O$33,1), MATCH(E1090, F!$P$20:$AB$20,1)), 0) + IFERROR( U1090*INDEX(F!$P$21:$AB$33, MATCH(S1090/$AH1090, F!$O$21:$O$33,1), MATCH(E1090, F!$P$20:$AB$20,1)),0)  + IFERROR(Y1090*INDEX(F!$P$21:$AB$33, MATCH(W1090/$AH1090, F!$O$21:$O$33,1), MATCH(E1090, F!$P$20:$AB$20,1)),0)  + IFERROR( AC1090*INDEX(F!$P$21:$AB$33, MATCH(AA1090/$AH1090, F!$O$21:$O$33,1), MATCH(E1090, F!$P$20:$AB$20,1)),)</f>
        <v>0</v>
      </c>
      <c r="AL1090" s="59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</row>
    <row r="1091" ht="15.75" hidden="1" customHeight="1">
      <c r="A1091" s="59"/>
      <c r="B1091" s="135" t="str">
        <f t="shared" ref="B1091:F1091" si="2207">IF(B1035="","",B1035)</f>
        <v/>
      </c>
      <c r="C1091" s="136" t="str">
        <f t="shared" si="2207"/>
        <v/>
      </c>
      <c r="D1091" s="137" t="str">
        <f t="shared" si="2207"/>
        <v/>
      </c>
      <c r="E1091" s="48" t="str">
        <f t="shared" si="2207"/>
        <v/>
      </c>
      <c r="F1091" s="138" t="str">
        <f t="shared" si="2207"/>
        <v/>
      </c>
      <c r="G1091" s="139" t="str">
        <f t="shared" si="2194"/>
        <v/>
      </c>
      <c r="H1091" s="140"/>
      <c r="I1091" s="140"/>
      <c r="J1091" s="141"/>
      <c r="K1091" s="139" t="str">
        <f t="shared" si="2195"/>
        <v/>
      </c>
      <c r="L1091" s="140"/>
      <c r="M1091" s="140"/>
      <c r="N1091" s="141"/>
      <c r="O1091" s="139" t="str">
        <f t="shared" si="2196"/>
        <v/>
      </c>
      <c r="P1091" s="140"/>
      <c r="Q1091" s="140"/>
      <c r="R1091" s="141"/>
      <c r="S1091" s="139" t="str">
        <f t="shared" si="2197"/>
        <v/>
      </c>
      <c r="T1091" s="140"/>
      <c r="U1091" s="140"/>
      <c r="V1091" s="141"/>
      <c r="W1091" s="139" t="str">
        <f t="shared" si="2198"/>
        <v/>
      </c>
      <c r="X1091" s="140"/>
      <c r="Y1091" s="140"/>
      <c r="Z1091" s="141"/>
      <c r="AA1091" s="139" t="str">
        <f t="shared" si="2199"/>
        <v/>
      </c>
      <c r="AB1091" s="140"/>
      <c r="AC1091" s="140"/>
      <c r="AD1091" s="141"/>
      <c r="AE1091" s="142">
        <f t="shared" si="2200"/>
        <v>0</v>
      </c>
      <c r="AF1091" s="143">
        <f t="shared" si="2162"/>
        <v>0</v>
      </c>
      <c r="AG1091" s="144">
        <f t="shared" si="2201"/>
        <v>0</v>
      </c>
      <c r="AH1091" s="76" t="str">
        <f t="shared" si="2202"/>
        <v/>
      </c>
      <c r="AI1091" s="143">
        <f> ( IF(ISNUMBER(G1091), VLOOKUP(G1091/$AH1091,F!$A1:$B101,2,1)*G1091*$H1091*$I1091,0)+IF(ISNUMBER(K1091), VLOOKUP(K1091/$AH1091,F!$A1:$B101,2,1)*K1091*$L1091*$M1091,0)+IF(ISNUMBER(O1091), VLOOKUP(O1091/$AH1091,F!$A1:$B101,2,1)*O1091*$P1091*$Q1091,0)+IF(ISNUMBER(S1091), VLOOKUP(S1091/$AH1091,F!$A1:$B101,2,1)*S1091*$T1091*$U1091,0)+IF(ISNUMBER(W1091), VLOOKUP(W1091/$AH1091,F!$A1:$B101,2,1)*W1091*$X1091*$Y1091,0)+IF(ISNUMBER(AA1091), VLOOKUP(AA1091/$AH1091,F!$A1:$B101,2,1)*AA1091*$AB1091*$AC1091,0))*IF(ISNUMBER(F1091),F1091,1)*IF(ISNUMBER(E1091),E1091,1)</f>
        <v>0</v>
      </c>
      <c r="AJ1091" s="140">
        <f t="shared" si="2203"/>
        <v>0</v>
      </c>
      <c r="AK1091" s="145">
        <f t="array" ref="AK1091">IFERROR(I1091*INDEX(F!$P$21:$AB$33, MATCH(G1091/$AH1091, F!$O$21:$O$33,1), MATCH(E1091, F!$P$20:$AB$20,1)), 0 ) +IFERROR( M1091*INDEX(F!$P$21:$AB$33, MATCH(K1091/$AH1091, F!$O$21:$O$33,1), MATCH(E1091, F!$P$20:$AB$20,1)),0) +  IFERROR( Q1091*INDEX(F!$P$21:$AB$33, MATCH(O1091/$AH1091, F!$O$21:$O$33,1), MATCH(E1091, F!$P$20:$AB$20,1)), 0) + IFERROR( U1091*INDEX(F!$P$21:$AB$33, MATCH(S1091/$AH1091, F!$O$21:$O$33,1), MATCH(E1091, F!$P$20:$AB$20,1)),0)  + IFERROR(Y1091*INDEX(F!$P$21:$AB$33, MATCH(W1091/$AH1091, F!$O$21:$O$33,1), MATCH(E1091, F!$P$20:$AB$20,1)),0)  + IFERROR( AC1091*INDEX(F!$P$21:$AB$33, MATCH(AA1091/$AH1091, F!$O$21:$O$33,1), MATCH(E1091, F!$P$20:$AB$20,1)),)</f>
        <v>0</v>
      </c>
      <c r="AL1091" s="59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</row>
    <row r="1092" ht="15.75" hidden="1" customHeight="1">
      <c r="A1092" s="59"/>
      <c r="B1092" s="173" t="str">
        <f t="shared" ref="B1092:F1092" si="2208">IF(B1036="","",B1036)</f>
        <v/>
      </c>
      <c r="C1092" s="174" t="str">
        <f t="shared" si="2208"/>
        <v/>
      </c>
      <c r="D1092" s="175" t="str">
        <f t="shared" si="2208"/>
        <v/>
      </c>
      <c r="E1092" s="48" t="str">
        <f t="shared" si="2208"/>
        <v/>
      </c>
      <c r="F1092" s="176" t="str">
        <f t="shared" si="2208"/>
        <v/>
      </c>
      <c r="G1092" s="177" t="str">
        <f t="shared" si="2194"/>
        <v/>
      </c>
      <c r="H1092" s="178"/>
      <c r="I1092" s="178"/>
      <c r="J1092" s="179"/>
      <c r="K1092" s="177" t="str">
        <f t="shared" si="2195"/>
        <v/>
      </c>
      <c r="L1092" s="178"/>
      <c r="M1092" s="178"/>
      <c r="N1092" s="179"/>
      <c r="O1092" s="177" t="str">
        <f t="shared" si="2196"/>
        <v/>
      </c>
      <c r="P1092" s="178"/>
      <c r="Q1092" s="178"/>
      <c r="R1092" s="179"/>
      <c r="S1092" s="177" t="str">
        <f t="shared" si="2197"/>
        <v/>
      </c>
      <c r="T1092" s="178"/>
      <c r="U1092" s="178"/>
      <c r="V1092" s="179"/>
      <c r="W1092" s="177" t="str">
        <f t="shared" si="2198"/>
        <v/>
      </c>
      <c r="X1092" s="178"/>
      <c r="Y1092" s="178"/>
      <c r="Z1092" s="179"/>
      <c r="AA1092" s="177" t="str">
        <f t="shared" si="2199"/>
        <v/>
      </c>
      <c r="AB1092" s="178"/>
      <c r="AC1092" s="178"/>
      <c r="AD1092" s="179"/>
      <c r="AE1092" s="180">
        <f t="shared" si="2200"/>
        <v>0</v>
      </c>
      <c r="AF1092" s="181">
        <f t="shared" si="2162"/>
        <v>0</v>
      </c>
      <c r="AG1092" s="182">
        <f t="shared" si="2201"/>
        <v>0</v>
      </c>
      <c r="AH1092" s="76" t="str">
        <f t="shared" si="2202"/>
        <v/>
      </c>
      <c r="AI1092" s="181">
        <f> ( IF(ISNUMBER(G1092), VLOOKUP(G1092/$AH1092,F!$A1:$B101,2,1)*G1092*$H1092*$I1092,0)+IF(ISNUMBER(K1092), VLOOKUP(K1092/$AH1092,F!$A1:$B101,2,1)*K1092*$L1092*$M1092,0)+IF(ISNUMBER(O1092), VLOOKUP(O1092/$AH1092,F!$A1:$B101,2,1)*O1092*$P1092*$Q1092,0)+IF(ISNUMBER(S1092), VLOOKUP(S1092/$AH1092,F!$A1:$B101,2,1)*S1092*$T1092*$U1092,0)+IF(ISNUMBER(W1092), VLOOKUP(W1092/$AH1092,F!$A1:$B101,2,1)*W1092*$X1092*$Y1092,0)+IF(ISNUMBER(AA1092), VLOOKUP(AA1092/$AH1092,F!$A1:$B101,2,1)*AA1092*$AB1092*$AC1092,0))*IF(ISNUMBER(F1092),F1092,1)*IF(ISNUMBER(E1092),E1092,1)</f>
        <v>0</v>
      </c>
      <c r="AJ1092" s="178">
        <f t="shared" si="2203"/>
        <v>0</v>
      </c>
      <c r="AK1092" s="183">
        <f t="array" ref="AK1092">IFERROR(I1092*INDEX(F!$P$21:$AB$33, MATCH(G1092/$AH1092, F!$O$21:$O$33,1), MATCH(E1092, F!$P$20:$AB$20,1)), 0 ) +IFERROR( M1092*INDEX(F!$P$21:$AB$33, MATCH(K1092/$AH1092, F!$O$21:$O$33,1), MATCH(E1092, F!$P$20:$AB$20,1)),0) +  IFERROR( Q1092*INDEX(F!$P$21:$AB$33, MATCH(O1092/$AH1092, F!$O$21:$O$33,1), MATCH(E1092, F!$P$20:$AB$20,1)), 0) + IFERROR( U1092*INDEX(F!$P$21:$AB$33, MATCH(S1092/$AH1092, F!$O$21:$O$33,1), MATCH(E1092, F!$P$20:$AB$20,1)),0)  + IFERROR(Y1092*INDEX(F!$P$21:$AB$33, MATCH(W1092/$AH1092, F!$O$21:$O$33,1), MATCH(E1092, F!$P$20:$AB$20,1)),0)  + IFERROR( AC1092*INDEX(F!$P$21:$AB$33, MATCH(AA1092/$AH1092, F!$O$21:$O$33,1), MATCH(E1092, F!$P$20:$AB$20,1)),)</f>
        <v>0</v>
      </c>
      <c r="AL1092" s="59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</row>
    <row r="1093" ht="15.75" hidden="1" customHeight="1">
      <c r="A1093" s="59"/>
      <c r="B1093" s="135" t="str">
        <f t="shared" ref="B1093:F1093" si="2209">IF(B1037="","",B1037)</f>
        <v/>
      </c>
      <c r="C1093" s="136" t="str">
        <f t="shared" si="2209"/>
        <v/>
      </c>
      <c r="D1093" s="137" t="str">
        <f t="shared" si="2209"/>
        <v/>
      </c>
      <c r="E1093" s="48" t="str">
        <f t="shared" si="2209"/>
        <v/>
      </c>
      <c r="F1093" s="138" t="str">
        <f t="shared" si="2209"/>
        <v/>
      </c>
      <c r="G1093" s="139" t="str">
        <f t="shared" si="2194"/>
        <v/>
      </c>
      <c r="H1093" s="140"/>
      <c r="I1093" s="140"/>
      <c r="J1093" s="141"/>
      <c r="K1093" s="139" t="str">
        <f t="shared" si="2195"/>
        <v/>
      </c>
      <c r="L1093" s="140"/>
      <c r="M1093" s="140"/>
      <c r="N1093" s="141"/>
      <c r="O1093" s="139" t="str">
        <f t="shared" si="2196"/>
        <v/>
      </c>
      <c r="P1093" s="140"/>
      <c r="Q1093" s="140"/>
      <c r="R1093" s="141"/>
      <c r="S1093" s="139" t="str">
        <f t="shared" si="2197"/>
        <v/>
      </c>
      <c r="T1093" s="140"/>
      <c r="U1093" s="140"/>
      <c r="V1093" s="141"/>
      <c r="W1093" s="139" t="str">
        <f t="shared" si="2198"/>
        <v/>
      </c>
      <c r="X1093" s="140"/>
      <c r="Y1093" s="140"/>
      <c r="Z1093" s="141"/>
      <c r="AA1093" s="139" t="str">
        <f t="shared" si="2199"/>
        <v/>
      </c>
      <c r="AB1093" s="140"/>
      <c r="AC1093" s="140"/>
      <c r="AD1093" s="141"/>
      <c r="AE1093" s="142">
        <f t="shared" si="2200"/>
        <v>0</v>
      </c>
      <c r="AF1093" s="143">
        <f t="shared" si="2162"/>
        <v>0</v>
      </c>
      <c r="AG1093" s="144">
        <f t="shared" si="2201"/>
        <v>0</v>
      </c>
      <c r="AH1093" s="76" t="str">
        <f t="shared" si="2202"/>
        <v/>
      </c>
      <c r="AI1093" s="143">
        <f> ( IF(ISNUMBER(G1093), VLOOKUP(G1093/$AH1093,F!$A1:$B101,2,1)*G1093*$H1093*$I1093,0)+IF(ISNUMBER(K1093), VLOOKUP(K1093/$AH1093,F!$A1:$B101,2,1)*K1093*$L1093*$M1093,0)+IF(ISNUMBER(O1093), VLOOKUP(O1093/$AH1093,F!$A1:$B101,2,1)*O1093*$P1093*$Q1093,0)+IF(ISNUMBER(S1093), VLOOKUP(S1093/$AH1093,F!$A1:$B101,2,1)*S1093*$T1093*$U1093,0)+IF(ISNUMBER(W1093), VLOOKUP(W1093/$AH1093,F!$A1:$B101,2,1)*W1093*$X1093*$Y1093,0)+IF(ISNUMBER(AA1093), VLOOKUP(AA1093/$AH1093,F!$A1:$B101,2,1)*AA1093*$AB1093*$AC1093,0))*IF(ISNUMBER(F1093),F1093,1)*IF(ISNUMBER(E1093),E1093,1)</f>
        <v>0</v>
      </c>
      <c r="AJ1093" s="140">
        <f t="shared" si="2203"/>
        <v>0</v>
      </c>
      <c r="AK1093" s="145">
        <f t="array" ref="AK1093">IFERROR(I1093*INDEX(F!$P$21:$AB$33, MATCH(G1093/$AH1093, F!$O$21:$O$33,1), MATCH(E1093, F!$P$20:$AB$20,1)), 0 ) +IFERROR( M1093*INDEX(F!$P$21:$AB$33, MATCH(K1093/$AH1093, F!$O$21:$O$33,1), MATCH(E1093, F!$P$20:$AB$20,1)),0) +  IFERROR( Q1093*INDEX(F!$P$21:$AB$33, MATCH(O1093/$AH1093, F!$O$21:$O$33,1), MATCH(E1093, F!$P$20:$AB$20,1)), 0) + IFERROR( U1093*INDEX(F!$P$21:$AB$33, MATCH(S1093/$AH1093, F!$O$21:$O$33,1), MATCH(E1093, F!$P$20:$AB$20,1)),0)  + IFERROR(Y1093*INDEX(F!$P$21:$AB$33, MATCH(W1093/$AH1093, F!$O$21:$O$33,1), MATCH(E1093, F!$P$20:$AB$20,1)),0)  + IFERROR( AC1093*INDEX(F!$P$21:$AB$33, MATCH(AA1093/$AH1093, F!$O$21:$O$33,1), MATCH(E1093, F!$P$20:$AB$20,1)),)</f>
        <v>0</v>
      </c>
      <c r="AL1093" s="59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</row>
    <row r="1094" ht="15.75" hidden="1" customHeight="1">
      <c r="A1094" s="98"/>
      <c r="B1094" s="188"/>
      <c r="C1094" s="189"/>
      <c r="D1094" s="190"/>
      <c r="E1094" s="102">
        <f>ROUND(IFERROR(SUMPRODUCT(AJ1086:AJ1093,E1086:E1093)/AJ1094,0),3)</f>
        <v>0</v>
      </c>
      <c r="F1094" s="191"/>
      <c r="G1094" s="192"/>
      <c r="H1094" s="193"/>
      <c r="I1094" s="193"/>
      <c r="J1094" s="194"/>
      <c r="K1094" s="192"/>
      <c r="L1094" s="193"/>
      <c r="M1094" s="193"/>
      <c r="N1094" s="194"/>
      <c r="O1094" s="192"/>
      <c r="P1094" s="193"/>
      <c r="Q1094" s="193"/>
      <c r="R1094" s="194"/>
      <c r="S1094" s="192"/>
      <c r="T1094" s="193"/>
      <c r="U1094" s="193"/>
      <c r="V1094" s="194"/>
      <c r="W1094" s="192"/>
      <c r="X1094" s="193"/>
      <c r="Y1094" s="193"/>
      <c r="Z1094" s="194"/>
      <c r="AA1094" s="192"/>
      <c r="AB1094" s="193"/>
      <c r="AC1094" s="193"/>
      <c r="AD1094" s="194"/>
      <c r="AE1094" s="107">
        <f>SUM(AE1086:AE1093)</f>
        <v>0</v>
      </c>
      <c r="AF1094" s="108">
        <f t="shared" si="2162"/>
        <v>0</v>
      </c>
      <c r="AG1094" s="109">
        <f>IFERROR(  SUMPRODUCT(AG1086:AG1093,AJ1086:AJ1093)/AJ1094,0)</f>
        <v>0</v>
      </c>
      <c r="AH1094" s="157"/>
      <c r="AI1094" s="111">
        <f t="shared" ref="AI1094:AJ1094" si="2210">SUM(AI1086:AI1093)</f>
        <v>0</v>
      </c>
      <c r="AJ1094" s="111">
        <f t="shared" si="2210"/>
        <v>0</v>
      </c>
      <c r="AK1094" s="112">
        <f>IF(SUM(AK1086:AK1093)=0,TIME(,0,),TIME(,SUM(AK1086:AK1093)+F!$V$37,))</f>
        <v>0</v>
      </c>
      <c r="AL1094" s="98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</row>
    <row r="1095" ht="15.75" hidden="1" customHeight="1">
      <c r="A1095" s="25">
        <f>A1096</f>
        <v>43918</v>
      </c>
      <c r="B1095" s="26" t="str">
        <f t="shared" ref="B1095:F1095" si="2211">IF(B1039="","",B1039)</f>
        <v/>
      </c>
      <c r="C1095" s="27" t="str">
        <f t="shared" si="2211"/>
        <v/>
      </c>
      <c r="D1095" s="28" t="str">
        <f t="shared" si="2211"/>
        <v/>
      </c>
      <c r="E1095" s="29" t="str">
        <f t="shared" si="2211"/>
        <v/>
      </c>
      <c r="F1095" s="30" t="str">
        <f t="shared" si="2211"/>
        <v/>
      </c>
      <c r="G1095" s="31" t="str">
        <f t="shared" ref="G1095:G1102" si="2213">IF(J1095&lt;&gt;0, IFERROR(IF( $F1095=2,  MROUND($AH1095*J1095,1),    IF( OR($F1095="",$F1095=1),   MROUND($AH1095*J1095,2.5),  MROUND($AH1095*J1095, 0.1))), "" ), "")</f>
        <v/>
      </c>
      <c r="H1095" s="32"/>
      <c r="I1095" s="32"/>
      <c r="J1095" s="33"/>
      <c r="K1095" s="31" t="str">
        <f t="shared" ref="K1095:K1102" si="2214">IF(N1095&lt;&gt;0, IFERROR(IF( $F1095=2,  MROUND($AH1095*N1095,1),    IF( OR($F1095="",$F1095=1),   MROUND($AH1095*N1095,2.5),  MROUND($AH1095*N1095, 0.1))), "" ), "")</f>
        <v/>
      </c>
      <c r="L1095" s="32"/>
      <c r="M1095" s="32"/>
      <c r="N1095" s="33"/>
      <c r="O1095" s="31" t="str">
        <f t="shared" ref="O1095:O1102" si="2215">IF(R1095&lt;&gt;0, IFERROR(IF( $F1095=2,  MROUND($AH1095*R1095,1),    IF( OR($F1095="",$F1095=1),   MROUND($AH1095*R1095,2.5),  MROUND($AH1095*R1095, 0.1))), "" ), "")</f>
        <v/>
      </c>
      <c r="P1095" s="32"/>
      <c r="Q1095" s="32"/>
      <c r="R1095" s="33"/>
      <c r="S1095" s="31" t="str">
        <f t="shared" ref="S1095:S1102" si="2216">IF(V1095&lt;&gt;0, IFERROR(IF( $F1095=2,  MROUND($AH1095*V1095,1),    IF( OR($F1095="",$F1095=1),   MROUND($AH1095*V1095,2.5),  MROUND($AH1095*V1095, 0.1))), "" ), "")</f>
        <v/>
      </c>
      <c r="T1095" s="32"/>
      <c r="U1095" s="32"/>
      <c r="V1095" s="33"/>
      <c r="W1095" s="31" t="str">
        <f t="shared" ref="W1095:W1102" si="2217">IF(Z1095&lt;&gt;0, IFERROR(IF( $F1095=2,  MROUND($AH1095*Z1095,1),    IF( OR($F1095="",$F1095=1),   MROUND($AH1095*Z1095,2.5),  MROUND($AH1095*Z1095, 0.1))), "" ), "")</f>
        <v/>
      </c>
      <c r="X1095" s="32"/>
      <c r="Y1095" s="32"/>
      <c r="Z1095" s="33"/>
      <c r="AA1095" s="31" t="str">
        <f t="shared" ref="AA1095:AA1102" si="2218">IF(AD1095&lt;&gt;0, IFERROR(IF( $F1095=2,  MROUND($AH1095*AD1095,1),    IF( OR($F1095="",$F1095=1),   MROUND($AH1095*AD1095,2.5),  MROUND($AH1095*AD1095, 0.1))), "" ), "")</f>
        <v/>
      </c>
      <c r="AB1095" s="32"/>
      <c r="AC1095" s="32"/>
      <c r="AD1095" s="33"/>
      <c r="AE1095" s="35">
        <f t="shared" ref="AE1095:AE1102" si="2219">(IF(ISNUMBER(G1095),G1095,0)*H1095*I1095+IF(ISNUMBER(K1095),K1095,1)*L1095*M1095+IF(ISNUMBER(O1095),O1095,1)*P1095*Q1095+IF(ISNUMBER(S1095),S1095,1)*T1095*U1095+IF(ISNUMBER(W1095),W1095,1)*X1095*Y1095+IF(ISNUMBER(AA1095),AA1095,1)*AB1095*AC1095)*IF(ISNUMBER(F1095),F1095,1)</f>
        <v>0</v>
      </c>
      <c r="AF1095" s="36">
        <f t="shared" si="2162"/>
        <v>0</v>
      </c>
      <c r="AG1095" s="195">
        <f t="shared" ref="AG1095:AG1102" si="2220">IFERROR((AF1095/(AH1095*IF(ISNUMBER(F1095),F1095,1))),0)</f>
        <v>0</v>
      </c>
      <c r="AH1095" s="169" t="str">
        <f t="shared" ref="AH1095:AH1102" si="2221">IF(ISNUMBER(AH1039), AH1039+(AH1039*$AH$1066),"")</f>
        <v/>
      </c>
      <c r="AI1095" s="196">
        <f> ( IF(ISNUMBER(G1095), VLOOKUP(G1095/$AH1095,F!$A1:$B101,2,1)*G1095*$H1095*$I1095,0)+IF(ISNUMBER(K1095), VLOOKUP(K1095/$AH1095,F!$A1:$B101,2,1)*K1095*$L1095*$M1095,0)+IF(ISNUMBER(O1095), VLOOKUP(O1095/$AH1095,F!$A1:$B101,2,1)*O1095*$P1095*$Q1095,0)+IF(ISNUMBER(S1095), VLOOKUP(S1095/$AH1095,F!$A1:$B101,2,1)*S1095*$T1095*$U1095,0)+IF(ISNUMBER(W1095), VLOOKUP(W1095/$AH1095,F!$A1:$B101,2,1)*W1095*$X1095*$Y1095,0)+IF(ISNUMBER(AA1095), VLOOKUP(AA1095/$AH1095,F!$A1:$B101,2,1)*AA1095*$AB1095*$AC1095,0))*IF(ISNUMBER(F1095),F1095,1)*IF(ISNUMBER(E1095),E1095,1)</f>
        <v>0</v>
      </c>
      <c r="AJ1095" s="40">
        <f t="shared" ref="AJ1095:AJ1102" si="2222">H1095*I1095+L1095*M1095+P1095*Q1095+T1095*U1095+X1095*Y1095+AB1095*AC1095</f>
        <v>0</v>
      </c>
      <c r="AK1095" s="41">
        <f t="array" ref="AK1095">IFERROR(I1095*INDEX(F!$P$21:$AB$33, MATCH(G1095/$AH1095, F!$O$21:$O$33,1), MATCH(E1095, F!$P$20:$AB$20,1)), 0 ) +IFERROR( M1095*INDEX(F!$P$21:$AB$33, MATCH(K1095/$AH1095, F!$O$21:$O$33,1), MATCH(E1095, F!$P$20:$AB$20,1)),0) +  IFERROR( Q1095*INDEX(F!$P$21:$AB$33, MATCH(O1095/$AH1095, F!$O$21:$O$33,1), MATCH(E1095, F!$P$20:$AB$20,1)), 0) + IFERROR( U1095*INDEX(F!$P$21:$AB$33, MATCH(S1095/$AH1095, F!$O$21:$O$33,1), MATCH(E1095, F!$P$20:$AB$20,1)),0)  + IFERROR(Y1095*INDEX(F!$P$21:$AB$33, MATCH(W1095/$AH1095, F!$O$21:$O$33,1), MATCH(E1095, F!$P$20:$AB$20,1)),0)  + IFERROR( AC1095*INDEX(F!$P$21:$AB$33, MATCH(AA1095/$AH1095, F!$O$21:$O$33,1), MATCH(E1095, F!$P$20:$AB$20,1)),)</f>
        <v>0</v>
      </c>
      <c r="AL1095" s="42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</row>
    <row r="1096" ht="15.75" hidden="1" customHeight="1">
      <c r="A1096" s="44">
        <f>A1040+A1010</f>
        <v>43918</v>
      </c>
      <c r="B1096" s="45" t="str">
        <f t="shared" ref="B1096:F1096" si="2212">IF(B1040="","",B1040)</f>
        <v/>
      </c>
      <c r="C1096" s="46" t="str">
        <f t="shared" si="2212"/>
        <v/>
      </c>
      <c r="D1096" s="47" t="str">
        <f t="shared" si="2212"/>
        <v/>
      </c>
      <c r="E1096" s="48" t="str">
        <f t="shared" si="2212"/>
        <v/>
      </c>
      <c r="F1096" s="49" t="str">
        <f t="shared" si="2212"/>
        <v/>
      </c>
      <c r="G1096" s="50" t="str">
        <f t="shared" si="2213"/>
        <v/>
      </c>
      <c r="H1096" s="51"/>
      <c r="I1096" s="51"/>
      <c r="J1096" s="52"/>
      <c r="K1096" s="50" t="str">
        <f t="shared" si="2214"/>
        <v/>
      </c>
      <c r="L1096" s="51"/>
      <c r="M1096" s="51"/>
      <c r="N1096" s="52"/>
      <c r="O1096" s="50" t="str">
        <f t="shared" si="2215"/>
        <v/>
      </c>
      <c r="P1096" s="51"/>
      <c r="Q1096" s="51"/>
      <c r="R1096" s="52"/>
      <c r="S1096" s="50" t="str">
        <f t="shared" si="2216"/>
        <v/>
      </c>
      <c r="T1096" s="51"/>
      <c r="U1096" s="51"/>
      <c r="V1096" s="52"/>
      <c r="W1096" s="50" t="str">
        <f t="shared" si="2217"/>
        <v/>
      </c>
      <c r="X1096" s="51"/>
      <c r="Y1096" s="51"/>
      <c r="Z1096" s="52"/>
      <c r="AA1096" s="50" t="str">
        <f t="shared" si="2218"/>
        <v/>
      </c>
      <c r="AB1096" s="51"/>
      <c r="AC1096" s="51"/>
      <c r="AD1096" s="52"/>
      <c r="AE1096" s="53">
        <f t="shared" si="2219"/>
        <v>0</v>
      </c>
      <c r="AF1096" s="54">
        <f t="shared" si="2162"/>
        <v>0</v>
      </c>
      <c r="AG1096" s="75">
        <f t="shared" si="2220"/>
        <v>0</v>
      </c>
      <c r="AH1096" s="76" t="str">
        <f t="shared" si="2221"/>
        <v/>
      </c>
      <c r="AI1096" s="77">
        <f> ( IF(ISNUMBER(G1096), VLOOKUP(G1096/$AH1096,F!$A1:$B101,2,1)*G1096*$H1096*$I1096,0)+IF(ISNUMBER(K1096), VLOOKUP(K1096/$AH1096,F!$A1:$B101,2,1)*K1096*$L1096*$M1096,0)+IF(ISNUMBER(O1096), VLOOKUP(O1096/$AH1096,F!$A1:$B101,2,1)*O1096*$P1096*$Q1096,0)+IF(ISNUMBER(S1096), VLOOKUP(S1096/$AH1096,F!$A1:$B101,2,1)*S1096*$T1096*$U1096,0)+IF(ISNUMBER(W1096), VLOOKUP(W1096/$AH1096,F!$A1:$B101,2,1)*W1096*$X1096*$Y1096,0)+IF(ISNUMBER(AA1096), VLOOKUP(AA1096/$AH1096,F!$A1:$B101,2,1)*AA1096*$AB1096*$AC1096,0))*IF(ISNUMBER(F1096),F1096,1)*IF(ISNUMBER(E1096),E1096,1)</f>
        <v>0</v>
      </c>
      <c r="AJ1096" s="57">
        <f t="shared" si="2222"/>
        <v>0</v>
      </c>
      <c r="AK1096" s="58">
        <f t="array" ref="AK1096">IFERROR(I1096*INDEX(F!$P$21:$AB$33, MATCH(G1096/$AH1096, F!$O$21:$O$33,1), MATCH(E1096, F!$P$20:$AB$20,1)), 0 ) +IFERROR( M1096*INDEX(F!$P$21:$AB$33, MATCH(K1096/$AH1096, F!$O$21:$O$33,1), MATCH(E1096, F!$P$20:$AB$20,1)),0) +  IFERROR( Q1096*INDEX(F!$P$21:$AB$33, MATCH(O1096/$AH1096, F!$O$21:$O$33,1), MATCH(E1096, F!$P$20:$AB$20,1)), 0) + IFERROR( U1096*INDEX(F!$P$21:$AB$33, MATCH(S1096/$AH1096, F!$O$21:$O$33,1), MATCH(E1096, F!$P$20:$AB$20,1)),0)  + IFERROR(Y1096*INDEX(F!$P$21:$AB$33, MATCH(W1096/$AH1096, F!$O$21:$O$33,1), MATCH(E1096, F!$P$20:$AB$20,1)),0)  + IFERROR( AC1096*INDEX(F!$P$21:$AB$33, MATCH(AA1096/$AH1096, F!$O$21:$O$33,1), MATCH(E1096, F!$P$20:$AB$20,1)),)</f>
        <v>0</v>
      </c>
      <c r="AL1096" s="59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</row>
    <row r="1097" ht="15.75" hidden="1" customHeight="1">
      <c r="A1097" s="59"/>
      <c r="B1097" s="60" t="str">
        <f t="shared" ref="B1097:F1097" si="2223">IF(B1041="","",B1041)</f>
        <v/>
      </c>
      <c r="C1097" s="61" t="str">
        <f t="shared" si="2223"/>
        <v/>
      </c>
      <c r="D1097" s="62" t="str">
        <f t="shared" si="2223"/>
        <v/>
      </c>
      <c r="E1097" s="48" t="str">
        <f t="shared" si="2223"/>
        <v/>
      </c>
      <c r="F1097" s="63" t="str">
        <f t="shared" si="2223"/>
        <v/>
      </c>
      <c r="G1097" s="64" t="str">
        <f t="shared" si="2213"/>
        <v/>
      </c>
      <c r="H1097" s="34"/>
      <c r="I1097" s="34"/>
      <c r="J1097" s="65"/>
      <c r="K1097" s="64" t="str">
        <f t="shared" si="2214"/>
        <v/>
      </c>
      <c r="L1097" s="34"/>
      <c r="M1097" s="34"/>
      <c r="N1097" s="65"/>
      <c r="O1097" s="64" t="str">
        <f t="shared" si="2215"/>
        <v/>
      </c>
      <c r="P1097" s="34"/>
      <c r="Q1097" s="34"/>
      <c r="R1097" s="65"/>
      <c r="S1097" s="64" t="str">
        <f t="shared" si="2216"/>
        <v/>
      </c>
      <c r="T1097" s="34"/>
      <c r="U1097" s="34"/>
      <c r="V1097" s="65"/>
      <c r="W1097" s="64" t="str">
        <f t="shared" si="2217"/>
        <v/>
      </c>
      <c r="X1097" s="34"/>
      <c r="Y1097" s="34"/>
      <c r="Z1097" s="65"/>
      <c r="AA1097" s="64" t="str">
        <f t="shared" si="2218"/>
        <v/>
      </c>
      <c r="AB1097" s="34"/>
      <c r="AC1097" s="34"/>
      <c r="AD1097" s="65"/>
      <c r="AE1097" s="66">
        <f t="shared" si="2219"/>
        <v>0</v>
      </c>
      <c r="AF1097" s="67">
        <f t="shared" si="2162"/>
        <v>0</v>
      </c>
      <c r="AG1097" s="68">
        <f t="shared" si="2220"/>
        <v>0</v>
      </c>
      <c r="AH1097" s="76" t="str">
        <f t="shared" si="2221"/>
        <v/>
      </c>
      <c r="AI1097" s="70">
        <f> ( IF(ISNUMBER(G1097), VLOOKUP(G1097/$AH1097,F!$A1:$B101,2,1)*G1097*$H1097*$I1097,0)+IF(ISNUMBER(K1097), VLOOKUP(K1097/$AH1097,F!$A1:$B101,2,1)*K1097*$L1097*$M1097,0)+IF(ISNUMBER(O1097), VLOOKUP(O1097/$AH1097,F!$A1:$B101,2,1)*O1097*$P1097*$Q1097,0)+IF(ISNUMBER(S1097), VLOOKUP(S1097/$AH1097,F!$A1:$B101,2,1)*S1097*$T1097*$U1097,0)+IF(ISNUMBER(W1097), VLOOKUP(W1097/$AH1097,F!$A1:$B101,2,1)*W1097*$X1097*$Y1097,0)+IF(ISNUMBER(AA1097), VLOOKUP(AA1097/$AH1097,F!$A1:$B101,2,1)*AA1097*$AB1097*$AC1097,0))*IF(ISNUMBER(F1097),F1097,1)*IF(ISNUMBER(E1097),E1097,1)</f>
        <v>0</v>
      </c>
      <c r="AJ1097" s="71">
        <f t="shared" si="2222"/>
        <v>0</v>
      </c>
      <c r="AK1097" s="72">
        <f t="array" ref="AK1097">IFERROR(I1097*INDEX(F!$P$21:$AB$33, MATCH(G1097/$AH1097, F!$O$21:$O$33,1), MATCH(E1097, F!$P$20:$AB$20,1)), 0 ) +IFERROR( M1097*INDEX(F!$P$21:$AB$33, MATCH(K1097/$AH1097, F!$O$21:$O$33,1), MATCH(E1097, F!$P$20:$AB$20,1)),0) +  IFERROR( Q1097*INDEX(F!$P$21:$AB$33, MATCH(O1097/$AH1097, F!$O$21:$O$33,1), MATCH(E1097, F!$P$20:$AB$20,1)), 0) + IFERROR( U1097*INDEX(F!$P$21:$AB$33, MATCH(S1097/$AH1097, F!$O$21:$O$33,1), MATCH(E1097, F!$P$20:$AB$20,1)),0)  + IFERROR(Y1097*INDEX(F!$P$21:$AB$33, MATCH(W1097/$AH1097, F!$O$21:$O$33,1), MATCH(E1097, F!$P$20:$AB$20,1)),0)  + IFERROR( AC1097*INDEX(F!$P$21:$AB$33, MATCH(AA1097/$AH1097, F!$O$21:$O$33,1), MATCH(E1097, F!$P$20:$AB$20,1)),)</f>
        <v>0</v>
      </c>
      <c r="AL1097" s="59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</row>
    <row r="1098" ht="15.75" hidden="1" customHeight="1">
      <c r="A1098" s="59"/>
      <c r="B1098" s="215" t="str">
        <f t="shared" ref="B1098:F1098" si="2224">IF(B1042="","",B1042)</f>
        <v/>
      </c>
      <c r="C1098" s="73" t="str">
        <f t="shared" si="2224"/>
        <v/>
      </c>
      <c r="D1098" s="47" t="str">
        <f t="shared" si="2224"/>
        <v/>
      </c>
      <c r="E1098" s="48" t="str">
        <f t="shared" si="2224"/>
        <v/>
      </c>
      <c r="F1098" s="74" t="str">
        <f t="shared" si="2224"/>
        <v/>
      </c>
      <c r="G1098" s="50" t="str">
        <f t="shared" si="2213"/>
        <v/>
      </c>
      <c r="H1098" s="51"/>
      <c r="I1098" s="51"/>
      <c r="J1098" s="52"/>
      <c r="K1098" s="50" t="str">
        <f t="shared" si="2214"/>
        <v/>
      </c>
      <c r="L1098" s="51"/>
      <c r="M1098" s="51"/>
      <c r="N1098" s="52"/>
      <c r="O1098" s="50" t="str">
        <f t="shared" si="2215"/>
        <v/>
      </c>
      <c r="P1098" s="51"/>
      <c r="Q1098" s="51"/>
      <c r="R1098" s="52"/>
      <c r="S1098" s="50" t="str">
        <f t="shared" si="2216"/>
        <v/>
      </c>
      <c r="T1098" s="51"/>
      <c r="U1098" s="51"/>
      <c r="V1098" s="52"/>
      <c r="W1098" s="50" t="str">
        <f t="shared" si="2217"/>
        <v/>
      </c>
      <c r="X1098" s="51"/>
      <c r="Y1098" s="51"/>
      <c r="Z1098" s="52"/>
      <c r="AA1098" s="50" t="str">
        <f t="shared" si="2218"/>
        <v/>
      </c>
      <c r="AB1098" s="51"/>
      <c r="AC1098" s="51"/>
      <c r="AD1098" s="52"/>
      <c r="AE1098" s="53">
        <f t="shared" si="2219"/>
        <v>0</v>
      </c>
      <c r="AF1098" s="54">
        <f t="shared" si="2162"/>
        <v>0</v>
      </c>
      <c r="AG1098" s="75">
        <f t="shared" si="2220"/>
        <v>0</v>
      </c>
      <c r="AH1098" s="76" t="str">
        <f t="shared" si="2221"/>
        <v/>
      </c>
      <c r="AI1098" s="77">
        <f> ( IF(ISNUMBER(G1098), VLOOKUP(G1098/$AH1098,F!$A1:$B101,2,1)*G1098*$H1098*$I1098,0)+IF(ISNUMBER(K1098), VLOOKUP(K1098/$AH1098,F!$A1:$B101,2,1)*K1098*$L1098*$M1098,0)+IF(ISNUMBER(O1098), VLOOKUP(O1098/$AH1098,F!$A1:$B101,2,1)*O1098*$P1098*$Q1098,0)+IF(ISNUMBER(S1098), VLOOKUP(S1098/$AH1098,F!$A1:$B101,2,1)*S1098*$T1098*$U1098,0)+IF(ISNUMBER(W1098), VLOOKUP(W1098/$AH1098,F!$A1:$B101,2,1)*W1098*$X1098*$Y1098,0)+IF(ISNUMBER(AA1098), VLOOKUP(AA1098/$AH1098,F!$A1:$B101,2,1)*AA1098*$AB1098*$AC1098,0))*IF(ISNUMBER(F1098),F1098,1)*IF(ISNUMBER(E1098),E1098,1)</f>
        <v>0</v>
      </c>
      <c r="AJ1098" s="57">
        <f t="shared" si="2222"/>
        <v>0</v>
      </c>
      <c r="AK1098" s="58">
        <f t="array" ref="AK1098">IFERROR(I1098*INDEX(F!$P$21:$AB$33, MATCH(G1098/$AH1098, F!$O$21:$O$33,1), MATCH(E1098, F!$P$20:$AB$20,1)), 0 ) +IFERROR( M1098*INDEX(F!$P$21:$AB$33, MATCH(K1098/$AH1098, F!$O$21:$O$33,1), MATCH(E1098, F!$P$20:$AB$20,1)),0) +  IFERROR( Q1098*INDEX(F!$P$21:$AB$33, MATCH(O1098/$AH1098, F!$O$21:$O$33,1), MATCH(E1098, F!$P$20:$AB$20,1)), 0) + IFERROR( U1098*INDEX(F!$P$21:$AB$33, MATCH(S1098/$AH1098, F!$O$21:$O$33,1), MATCH(E1098, F!$P$20:$AB$20,1)),0)  + IFERROR(Y1098*INDEX(F!$P$21:$AB$33, MATCH(W1098/$AH1098, F!$O$21:$O$33,1), MATCH(E1098, F!$P$20:$AB$20,1)),0)  + IFERROR( AC1098*INDEX(F!$P$21:$AB$33, MATCH(AA1098/$AH1098, F!$O$21:$O$33,1), MATCH(E1098, F!$P$20:$AB$20,1)),)</f>
        <v>0</v>
      </c>
      <c r="AL1098" s="59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</row>
    <row r="1099" ht="15.75" hidden="1" customHeight="1">
      <c r="A1099" s="59"/>
      <c r="B1099" s="216" t="str">
        <f t="shared" ref="B1099:F1099" si="2225">IF(B1043="","",B1043)</f>
        <v/>
      </c>
      <c r="C1099" s="78" t="str">
        <f t="shared" si="2225"/>
        <v/>
      </c>
      <c r="D1099" s="62" t="str">
        <f t="shared" si="2225"/>
        <v/>
      </c>
      <c r="E1099" s="48" t="str">
        <f t="shared" si="2225"/>
        <v/>
      </c>
      <c r="F1099" s="79" t="str">
        <f t="shared" si="2225"/>
        <v/>
      </c>
      <c r="G1099" s="64" t="str">
        <f t="shared" si="2213"/>
        <v/>
      </c>
      <c r="H1099" s="34"/>
      <c r="I1099" s="34"/>
      <c r="J1099" s="65"/>
      <c r="K1099" s="64" t="str">
        <f t="shared" si="2214"/>
        <v/>
      </c>
      <c r="L1099" s="34"/>
      <c r="M1099" s="34"/>
      <c r="N1099" s="65"/>
      <c r="O1099" s="64" t="str">
        <f t="shared" si="2215"/>
        <v/>
      </c>
      <c r="P1099" s="34"/>
      <c r="Q1099" s="34"/>
      <c r="R1099" s="65"/>
      <c r="S1099" s="64" t="str">
        <f t="shared" si="2216"/>
        <v/>
      </c>
      <c r="T1099" s="34"/>
      <c r="U1099" s="34"/>
      <c r="V1099" s="65"/>
      <c r="W1099" s="64" t="str">
        <f t="shared" si="2217"/>
        <v/>
      </c>
      <c r="X1099" s="34"/>
      <c r="Y1099" s="34"/>
      <c r="Z1099" s="65"/>
      <c r="AA1099" s="64" t="str">
        <f t="shared" si="2218"/>
        <v/>
      </c>
      <c r="AB1099" s="34"/>
      <c r="AC1099" s="34"/>
      <c r="AD1099" s="65"/>
      <c r="AE1099" s="66">
        <f t="shared" si="2219"/>
        <v>0</v>
      </c>
      <c r="AF1099" s="67">
        <f t="shared" si="2162"/>
        <v>0</v>
      </c>
      <c r="AG1099" s="68">
        <f t="shared" si="2220"/>
        <v>0</v>
      </c>
      <c r="AH1099" s="76" t="str">
        <f t="shared" si="2221"/>
        <v/>
      </c>
      <c r="AI1099" s="70">
        <f> ( IF(ISNUMBER(G1099), VLOOKUP(G1099/$AH1099,F!$A1:$B101,2,1)*G1099*$H1099*$I1099,0)+IF(ISNUMBER(K1099), VLOOKUP(K1099/$AH1099,F!$A1:$B101,2,1)*K1099*$L1099*$M1099,0)+IF(ISNUMBER(O1099), VLOOKUP(O1099/$AH1099,F!$A1:$B101,2,1)*O1099*$P1099*$Q1099,0)+IF(ISNUMBER(S1099), VLOOKUP(S1099/$AH1099,F!$A1:$B101,2,1)*S1099*$T1099*$U1099,0)+IF(ISNUMBER(W1099), VLOOKUP(W1099/$AH1099,F!$A1:$B101,2,1)*W1099*$X1099*$Y1099,0)+IF(ISNUMBER(AA1099), VLOOKUP(AA1099/$AH1099,F!$A1:$B101,2,1)*AA1099*$AB1099*$AC1099,0))*IF(ISNUMBER(F1099),F1099,1)*IF(ISNUMBER(E1099),E1099,1)</f>
        <v>0</v>
      </c>
      <c r="AJ1099" s="71">
        <f t="shared" si="2222"/>
        <v>0</v>
      </c>
      <c r="AK1099" s="72">
        <f t="array" ref="AK1099">IFERROR(I1099*INDEX(F!$P$21:$AB$33, MATCH(G1099/$AH1099, F!$O$21:$O$33,1), MATCH(E1099, F!$P$20:$AB$20,1)), 0 ) +IFERROR( M1099*INDEX(F!$P$21:$AB$33, MATCH(K1099/$AH1099, F!$O$21:$O$33,1), MATCH(E1099, F!$P$20:$AB$20,1)),0) +  IFERROR( Q1099*INDEX(F!$P$21:$AB$33, MATCH(O1099/$AH1099, F!$O$21:$O$33,1), MATCH(E1099, F!$P$20:$AB$20,1)), 0) + IFERROR( U1099*INDEX(F!$P$21:$AB$33, MATCH(S1099/$AH1099, F!$O$21:$O$33,1), MATCH(E1099, F!$P$20:$AB$20,1)),0)  + IFERROR(Y1099*INDEX(F!$P$21:$AB$33, MATCH(W1099/$AH1099, F!$O$21:$O$33,1), MATCH(E1099, F!$P$20:$AB$20,1)),0)  + IFERROR( AC1099*INDEX(F!$P$21:$AB$33, MATCH(AA1099/$AH1099, F!$O$21:$O$33,1), MATCH(E1099, F!$P$20:$AB$20,1)),)</f>
        <v>0</v>
      </c>
      <c r="AL1099" s="59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</row>
    <row r="1100" ht="15.75" hidden="1" customHeight="1">
      <c r="A1100" s="59"/>
      <c r="B1100" s="45" t="str">
        <f t="shared" ref="B1100:F1100" si="2226">IF(B1044="","",B1044)</f>
        <v/>
      </c>
      <c r="C1100" s="46" t="str">
        <f t="shared" si="2226"/>
        <v/>
      </c>
      <c r="D1100" s="197" t="str">
        <f t="shared" si="2226"/>
        <v/>
      </c>
      <c r="E1100" s="48" t="str">
        <f t="shared" si="2226"/>
        <v/>
      </c>
      <c r="F1100" s="83" t="str">
        <f t="shared" si="2226"/>
        <v/>
      </c>
      <c r="G1100" s="50" t="str">
        <f t="shared" si="2213"/>
        <v/>
      </c>
      <c r="H1100" s="51"/>
      <c r="I1100" s="51"/>
      <c r="J1100" s="52"/>
      <c r="K1100" s="50" t="str">
        <f t="shared" si="2214"/>
        <v/>
      </c>
      <c r="L1100" s="51"/>
      <c r="M1100" s="51"/>
      <c r="N1100" s="52"/>
      <c r="O1100" s="50" t="str">
        <f t="shared" si="2215"/>
        <v/>
      </c>
      <c r="P1100" s="51"/>
      <c r="Q1100" s="51"/>
      <c r="R1100" s="52"/>
      <c r="S1100" s="50" t="str">
        <f t="shared" si="2216"/>
        <v/>
      </c>
      <c r="T1100" s="51"/>
      <c r="U1100" s="51"/>
      <c r="V1100" s="52"/>
      <c r="W1100" s="50" t="str">
        <f t="shared" si="2217"/>
        <v/>
      </c>
      <c r="X1100" s="51"/>
      <c r="Y1100" s="51"/>
      <c r="Z1100" s="52"/>
      <c r="AA1100" s="50" t="str">
        <f t="shared" si="2218"/>
        <v/>
      </c>
      <c r="AB1100" s="51"/>
      <c r="AC1100" s="51"/>
      <c r="AD1100" s="52"/>
      <c r="AE1100" s="53">
        <f t="shared" si="2219"/>
        <v>0</v>
      </c>
      <c r="AF1100" s="54">
        <f t="shared" si="2162"/>
        <v>0</v>
      </c>
      <c r="AG1100" s="75">
        <f t="shared" si="2220"/>
        <v>0</v>
      </c>
      <c r="AH1100" s="76" t="str">
        <f t="shared" si="2221"/>
        <v/>
      </c>
      <c r="AI1100" s="77">
        <f> ( IF(ISNUMBER(G1100), VLOOKUP(G1100/$AH1100,F!$A1:$B101,2,1)*G1100*$H1100*$I1100,0)+IF(ISNUMBER(K1100), VLOOKUP(K1100/$AH1100,F!$A1:$B101,2,1)*K1100*$L1100*$M1100,0)+IF(ISNUMBER(O1100), VLOOKUP(O1100/$AH1100,F!$A1:$B101,2,1)*O1100*$P1100*$Q1100,0)+IF(ISNUMBER(S1100), VLOOKUP(S1100/$AH1100,F!$A1:$B101,2,1)*S1100*$T1100*$U1100,0)+IF(ISNUMBER(W1100), VLOOKUP(W1100/$AH1100,F!$A1:$B101,2,1)*W1100*$X1100*$Y1100,0)+IF(ISNUMBER(AA1100), VLOOKUP(AA1100/$AH1100,F!$A1:$B101,2,1)*AA1100*$AB1100*$AC1100,0))*IF(ISNUMBER(F1100),F1100,1)*IF(ISNUMBER(E1100),E1100,1)</f>
        <v>0</v>
      </c>
      <c r="AJ1100" s="86">
        <f t="shared" si="2222"/>
        <v>0</v>
      </c>
      <c r="AK1100" s="58">
        <f t="array" ref="AK1100">IFERROR(I1100*INDEX(F!$P$21:$AB$33, MATCH(G1100/$AH1100, F!$O$21:$O$33,1), MATCH(E1100, F!$P$20:$AB$20,1)), 0 ) +IFERROR( M1100*INDEX(F!$P$21:$AB$33, MATCH(K1100/$AH1100, F!$O$21:$O$33,1), MATCH(E1100, F!$P$20:$AB$20,1)),0) +  IFERROR( Q1100*INDEX(F!$P$21:$AB$33, MATCH(O1100/$AH1100, F!$O$21:$O$33,1), MATCH(E1100, F!$P$20:$AB$20,1)), 0) + IFERROR( U1100*INDEX(F!$P$21:$AB$33, MATCH(S1100/$AH1100, F!$O$21:$O$33,1), MATCH(E1100, F!$P$20:$AB$20,1)),0)  + IFERROR(Y1100*INDEX(F!$P$21:$AB$33, MATCH(W1100/$AH1100, F!$O$21:$O$33,1), MATCH(E1100, F!$P$20:$AB$20,1)),0)  + IFERROR( AC1100*INDEX(F!$P$21:$AB$33, MATCH(AA1100/$AH1100, F!$O$21:$O$33,1), MATCH(E1100, F!$P$20:$AB$20,1)),)</f>
        <v>0</v>
      </c>
      <c r="AL1100" s="59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</row>
    <row r="1101" ht="15.75" hidden="1" customHeight="1">
      <c r="A1101" s="59"/>
      <c r="B1101" s="60" t="str">
        <f t="shared" ref="B1101:F1101" si="2227">IF(B1045="","",B1045)</f>
        <v/>
      </c>
      <c r="C1101" s="61" t="str">
        <f t="shared" si="2227"/>
        <v/>
      </c>
      <c r="D1101" s="198" t="str">
        <f t="shared" si="2227"/>
        <v/>
      </c>
      <c r="E1101" s="48" t="str">
        <f t="shared" si="2227"/>
        <v/>
      </c>
      <c r="F1101" s="79" t="str">
        <f t="shared" si="2227"/>
        <v/>
      </c>
      <c r="G1101" s="64" t="str">
        <f t="shared" si="2213"/>
        <v/>
      </c>
      <c r="H1101" s="34"/>
      <c r="I1101" s="34"/>
      <c r="J1101" s="65"/>
      <c r="K1101" s="64" t="str">
        <f t="shared" si="2214"/>
        <v/>
      </c>
      <c r="L1101" s="34"/>
      <c r="M1101" s="34"/>
      <c r="N1101" s="65"/>
      <c r="O1101" s="64" t="str">
        <f t="shared" si="2215"/>
        <v/>
      </c>
      <c r="P1101" s="34"/>
      <c r="Q1101" s="34"/>
      <c r="R1101" s="65"/>
      <c r="S1101" s="64" t="str">
        <f t="shared" si="2216"/>
        <v/>
      </c>
      <c r="T1101" s="34"/>
      <c r="U1101" s="34"/>
      <c r="V1101" s="65"/>
      <c r="W1101" s="64" t="str">
        <f t="shared" si="2217"/>
        <v/>
      </c>
      <c r="X1101" s="34"/>
      <c r="Y1101" s="34"/>
      <c r="Z1101" s="65"/>
      <c r="AA1101" s="64" t="str">
        <f t="shared" si="2218"/>
        <v/>
      </c>
      <c r="AB1101" s="34"/>
      <c r="AC1101" s="34"/>
      <c r="AD1101" s="65"/>
      <c r="AE1101" s="66">
        <f t="shared" si="2219"/>
        <v>0</v>
      </c>
      <c r="AF1101" s="67">
        <f t="shared" si="2162"/>
        <v>0</v>
      </c>
      <c r="AG1101" s="68">
        <f t="shared" si="2220"/>
        <v>0</v>
      </c>
      <c r="AH1101" s="76" t="str">
        <f t="shared" si="2221"/>
        <v/>
      </c>
      <c r="AI1101" s="90">
        <f> ( IF(ISNUMBER(G1101), VLOOKUP(G1101/$AH1101,F!$A1:$B101,2,1)*G1101*$H1101*$I1101,0)+IF(ISNUMBER(K1101), VLOOKUP(K1101/$AH1101,F!$A1:$B101,2,1)*K1101*$L1101*$M1101,0)+IF(ISNUMBER(O1101), VLOOKUP(O1101/$AH1101,F!$A1:$B101,2,1)*O1101*$P1101*$Q1101,0)+IF(ISNUMBER(S1101), VLOOKUP(S1101/$AH1101,F!$A1:$B101,2,1)*S1101*$T1101*$U1101,0)+IF(ISNUMBER(W1101), VLOOKUP(W1101/$AH1101,F!$A1:$B101,2,1)*W1101*$X1101*$Y1101,0)+IF(ISNUMBER(AA1101), VLOOKUP(AA1101/$AH1101,F!$A1:$B101,2,1)*AA1101*$AB1101*$AC1101,0))*IF(ISNUMBER(F1101),F1101,1)*IF(ISNUMBER(E1101),E1101,1)</f>
        <v>0</v>
      </c>
      <c r="AJ1101" s="34">
        <f t="shared" si="2222"/>
        <v>0</v>
      </c>
      <c r="AK1101" s="91">
        <f t="array" ref="AK1101">IFERROR(I1101*INDEX(F!$P$21:$AB$33, MATCH(G1101/$AH1101, F!$O$21:$O$33,1), MATCH(E1101, F!$P$20:$AB$20,1)), 0 ) +IFERROR( M1101*INDEX(F!$P$21:$AB$33, MATCH(K1101/$AH1101, F!$O$21:$O$33,1), MATCH(E1101, F!$P$20:$AB$20,1)),0) +  IFERROR( Q1101*INDEX(F!$P$21:$AB$33, MATCH(O1101/$AH1101, F!$O$21:$O$33,1), MATCH(E1101, F!$P$20:$AB$20,1)), 0) + IFERROR( U1101*INDEX(F!$P$21:$AB$33, MATCH(S1101/$AH1101, F!$O$21:$O$33,1), MATCH(E1101, F!$P$20:$AB$20,1)),0)  + IFERROR(Y1101*INDEX(F!$P$21:$AB$33, MATCH(W1101/$AH1101, F!$O$21:$O$33,1), MATCH(E1101, F!$P$20:$AB$20,1)),0)  + IFERROR( AC1101*INDEX(F!$P$21:$AB$33, MATCH(AA1101/$AH1101, F!$O$21:$O$33,1), MATCH(E1101, F!$P$20:$AB$20,1)),)</f>
        <v>0</v>
      </c>
      <c r="AL1101" s="59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</row>
    <row r="1102" ht="15.75" hidden="1" customHeight="1">
      <c r="A1102" s="59"/>
      <c r="B1102" s="45" t="str">
        <f t="shared" ref="B1102:F1102" si="2228">IF(B1046="","",B1046)</f>
        <v/>
      </c>
      <c r="C1102" s="46" t="str">
        <f t="shared" si="2228"/>
        <v/>
      </c>
      <c r="D1102" s="92" t="str">
        <f t="shared" si="2228"/>
        <v/>
      </c>
      <c r="E1102" s="48" t="str">
        <f t="shared" si="2228"/>
        <v/>
      </c>
      <c r="F1102" s="74" t="str">
        <f t="shared" si="2228"/>
        <v/>
      </c>
      <c r="G1102" s="50" t="str">
        <f t="shared" si="2213"/>
        <v/>
      </c>
      <c r="H1102" s="51"/>
      <c r="I1102" s="51"/>
      <c r="J1102" s="52"/>
      <c r="K1102" s="50" t="str">
        <f t="shared" si="2214"/>
        <v/>
      </c>
      <c r="L1102" s="51"/>
      <c r="M1102" s="51"/>
      <c r="N1102" s="52"/>
      <c r="O1102" s="50" t="str">
        <f t="shared" si="2215"/>
        <v/>
      </c>
      <c r="P1102" s="51"/>
      <c r="Q1102" s="51"/>
      <c r="R1102" s="52"/>
      <c r="S1102" s="50" t="str">
        <f t="shared" si="2216"/>
        <v/>
      </c>
      <c r="T1102" s="51"/>
      <c r="U1102" s="51"/>
      <c r="V1102" s="52"/>
      <c r="W1102" s="50" t="str">
        <f t="shared" si="2217"/>
        <v/>
      </c>
      <c r="X1102" s="51"/>
      <c r="Y1102" s="51"/>
      <c r="Z1102" s="52"/>
      <c r="AA1102" s="50" t="str">
        <f t="shared" si="2218"/>
        <v/>
      </c>
      <c r="AB1102" s="51"/>
      <c r="AC1102" s="51"/>
      <c r="AD1102" s="52"/>
      <c r="AE1102" s="53">
        <f t="shared" si="2219"/>
        <v>0</v>
      </c>
      <c r="AF1102" s="93">
        <f t="shared" si="2162"/>
        <v>0</v>
      </c>
      <c r="AG1102" s="94">
        <f t="shared" si="2220"/>
        <v>0</v>
      </c>
      <c r="AH1102" s="76" t="str">
        <f t="shared" si="2221"/>
        <v/>
      </c>
      <c r="AI1102" s="95">
        <f> ( IF(ISNUMBER(G1102), VLOOKUP(G1102/$AH1102,F!$A1:$B101,2,1)*G1102*$H1102*$I1102,0)+IF(ISNUMBER(K1102), VLOOKUP(K1102/$AH1102,F!$A1:$B101,2,1)*K1102*$L1102*$M1102,0)+IF(ISNUMBER(O1102), VLOOKUP(O1102/$AH1102,F!$A1:$B101,2,1)*O1102*$P1102*$Q1102,0)+IF(ISNUMBER(S1102), VLOOKUP(S1102/$AH1102,F!$A1:$B101,2,1)*S1102*$T1102*$U1102,0)+IF(ISNUMBER(W1102), VLOOKUP(W1102/$AH1102,F!$A1:$B101,2,1)*W1102*$X1102*$Y1102,0)+IF(ISNUMBER(AA1102), VLOOKUP(AA1102/$AH1102,F!$A1:$B101,2,1)*AA1102*$AB1102*$AC1102,0))*IF(ISNUMBER(F1102),F1102,1)*IF(ISNUMBER(E1102),E1102,1)</f>
        <v>0</v>
      </c>
      <c r="AJ1102" s="96">
        <f t="shared" si="2222"/>
        <v>0</v>
      </c>
      <c r="AK1102" s="97">
        <f t="array" ref="AK1102">IFERROR(I1102*INDEX(F!$P$21:$AB$33, MATCH(G1102/$AH1102, F!$O$21:$O$33,1), MATCH(E1102, F!$P$20:$AB$20,1)), 0 ) +IFERROR( M1102*INDEX(F!$P$21:$AB$33, MATCH(K1102/$AH1102, F!$O$21:$O$33,1), MATCH(E1102, F!$P$20:$AB$20,1)),0) +  IFERROR( Q1102*INDEX(F!$P$21:$AB$33, MATCH(O1102/$AH1102, F!$O$21:$O$33,1), MATCH(E1102, F!$P$20:$AB$20,1)), 0) + IFERROR( U1102*INDEX(F!$P$21:$AB$33, MATCH(S1102/$AH1102, F!$O$21:$O$33,1), MATCH(E1102, F!$P$20:$AB$20,1)),0)  + IFERROR(Y1102*INDEX(F!$P$21:$AB$33, MATCH(W1102/$AH1102, F!$O$21:$O$33,1), MATCH(E1102, F!$P$20:$AB$20,1)),0)  + IFERROR( AC1102*INDEX(F!$P$21:$AB$33, MATCH(AA1102/$AH1102, F!$O$21:$O$33,1), MATCH(E1102, F!$P$20:$AB$20,1)),)</f>
        <v>0</v>
      </c>
      <c r="AL1102" s="59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</row>
    <row r="1103" ht="15.75" hidden="1" customHeight="1">
      <c r="A1103" s="98"/>
      <c r="B1103" s="99"/>
      <c r="C1103" s="100"/>
      <c r="D1103" s="101"/>
      <c r="E1103" s="102">
        <f>ROUND(IFERROR(SUMPRODUCT(AJ1095:AJ1102,E1095:E1102)/AJ1103,0),3)</f>
        <v>0</v>
      </c>
      <c r="F1103" s="199"/>
      <c r="G1103" s="104"/>
      <c r="H1103" s="105"/>
      <c r="I1103" s="105"/>
      <c r="J1103" s="106"/>
      <c r="K1103" s="104"/>
      <c r="L1103" s="105"/>
      <c r="M1103" s="105"/>
      <c r="N1103" s="106"/>
      <c r="O1103" s="104"/>
      <c r="P1103" s="105"/>
      <c r="Q1103" s="105"/>
      <c r="R1103" s="106"/>
      <c r="S1103" s="104"/>
      <c r="T1103" s="105"/>
      <c r="U1103" s="105"/>
      <c r="V1103" s="106"/>
      <c r="W1103" s="104"/>
      <c r="X1103" s="105"/>
      <c r="Y1103" s="105"/>
      <c r="Z1103" s="106"/>
      <c r="AA1103" s="104"/>
      <c r="AB1103" s="105"/>
      <c r="AC1103" s="105"/>
      <c r="AD1103" s="106"/>
      <c r="AE1103" s="107">
        <f>SUM(AE1095:AE1102)</f>
        <v>0</v>
      </c>
      <c r="AF1103" s="108">
        <f t="shared" si="2162"/>
        <v>0</v>
      </c>
      <c r="AG1103" s="109">
        <f>IFERROR(  SUMPRODUCT(AG1095:AG1102,AJ1095:AJ1102)/AJ1103,0)</f>
        <v>0</v>
      </c>
      <c r="AH1103" s="157"/>
      <c r="AI1103" s="111">
        <f t="shared" ref="AI1103:AJ1103" si="2229">SUM(AI1095:AI1102)</f>
        <v>0</v>
      </c>
      <c r="AJ1103" s="111">
        <f t="shared" si="2229"/>
        <v>0</v>
      </c>
      <c r="AK1103" s="112">
        <f>IF(SUM(AK1095:AK1102)=0,TIME(,0,),TIME(,SUM(AK1095:AK1102)+F!$V$37,))</f>
        <v>0</v>
      </c>
      <c r="AL1103" s="98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</row>
    <row r="1104" ht="15.75" hidden="1" customHeight="1">
      <c r="A1104" s="113">
        <f>A1105</f>
        <v>43919</v>
      </c>
      <c r="B1104" s="114" t="str">
        <f t="shared" ref="B1104:F1104" si="2230">IF(B1048="","",B1048)</f>
        <v/>
      </c>
      <c r="C1104" s="115" t="str">
        <f t="shared" si="2230"/>
        <v/>
      </c>
      <c r="D1104" s="116" t="str">
        <f t="shared" si="2230"/>
        <v/>
      </c>
      <c r="E1104" s="29" t="str">
        <f t="shared" si="2230"/>
        <v/>
      </c>
      <c r="F1104" s="117" t="str">
        <f t="shared" si="2230"/>
        <v/>
      </c>
      <c r="G1104" s="118" t="str">
        <f t="shared" ref="G1104:G1111" si="2232">IF(J1104&lt;&gt;0, IFERROR(IF( $F1104=2,  MROUND($AH1104*J1104,1),    IF( OR($F1104="",$F1104=1),   MROUND($AH1104*J1104,2.5),  MROUND($AH1104*J1104, 0.1))), "" ), "")</f>
        <v/>
      </c>
      <c r="H1104" s="119"/>
      <c r="I1104" s="119"/>
      <c r="J1104" s="120"/>
      <c r="K1104" s="118" t="str">
        <f t="shared" ref="K1104:K1111" si="2233">IF(N1104&lt;&gt;0, IFERROR(IF( $F1104=2,  MROUND($AH1104*N1104,1),    IF( OR($F1104="",$F1104=1),   MROUND($AH1104*N1104,2.5),  MROUND($AH1104*N1104, 0.1))), "" ), "")</f>
        <v/>
      </c>
      <c r="L1104" s="119"/>
      <c r="M1104" s="119"/>
      <c r="N1104" s="120"/>
      <c r="O1104" s="118" t="str">
        <f t="shared" ref="O1104:O1111" si="2234">IF(R1104&lt;&gt;0, IFERROR(IF( $F1104=2,  MROUND($AH1104*R1104,1),    IF( OR($F1104="",$F1104=1),   MROUND($AH1104*R1104,2.5),  MROUND($AH1104*R1104, 0.1))), "" ), "")</f>
        <v/>
      </c>
      <c r="P1104" s="119"/>
      <c r="Q1104" s="119"/>
      <c r="R1104" s="120"/>
      <c r="S1104" s="118" t="str">
        <f t="shared" ref="S1104:S1111" si="2235">IF(V1104&lt;&gt;0, IFERROR(IF( $F1104=2,  MROUND($AH1104*V1104,1),    IF( OR($F1104="",$F1104=1),   MROUND($AH1104*V1104,2.5),  MROUND($AH1104*V1104, 0.1))), "" ), "")</f>
        <v/>
      </c>
      <c r="T1104" s="119"/>
      <c r="U1104" s="119"/>
      <c r="V1104" s="120"/>
      <c r="W1104" s="118" t="str">
        <f t="shared" ref="W1104:W1111" si="2236">IF(Z1104&lt;&gt;0, IFERROR(IF( $F1104=2,  MROUND($AH1104*Z1104,1),    IF( OR($F1104="",$F1104=1),   MROUND($AH1104*Z1104,2.5),  MROUND($AH1104*Z1104, 0.1))), "" ), "")</f>
        <v/>
      </c>
      <c r="X1104" s="119"/>
      <c r="Y1104" s="119"/>
      <c r="Z1104" s="120"/>
      <c r="AA1104" s="118" t="str">
        <f t="shared" ref="AA1104:AA1111" si="2237">IF(AD1104&lt;&gt;0, IFERROR(IF( $F1104=2,  MROUND($AH1104*AD1104,1),    IF( OR($F1104="",$F1104=1),   MROUND($AH1104*AD1104,2.5),  MROUND($AH1104*AD1104, 0.1))), "" ), "")</f>
        <v/>
      </c>
      <c r="AB1104" s="119"/>
      <c r="AC1104" s="119"/>
      <c r="AD1104" s="120"/>
      <c r="AE1104" s="121">
        <f t="shared" ref="AE1104:AE1111" si="2238">(IF(ISNUMBER(G1104),G1104,0)*H1104*I1104+IF(ISNUMBER(K1104),K1104,1)*L1104*M1104+IF(ISNUMBER(O1104),O1104,1)*P1104*Q1104+IF(ISNUMBER(S1104),S1104,1)*T1104*U1104+IF(ISNUMBER(W1104),W1104,1)*X1104*Y1104+IF(ISNUMBER(AA1104),AA1104,1)*AB1104*AC1104)*IF(ISNUMBER(F1104),F1104,1)</f>
        <v>0</v>
      </c>
      <c r="AF1104" s="122">
        <f t="shared" si="2162"/>
        <v>0</v>
      </c>
      <c r="AG1104" s="200">
        <f t="shared" ref="AG1104:AG1111" si="2239">IFERROR((AF1104/(AH1104*IF(ISNUMBER(F1104),F1104,1))),0)</f>
        <v>0</v>
      </c>
      <c r="AH1104" s="169" t="str">
        <f t="shared" ref="AH1104:AH1111" si="2240">IF(ISNUMBER(AH1048), AH1048+(AH1048*$AH$1066),"")</f>
        <v/>
      </c>
      <c r="AI1104" s="122">
        <f> ( IF(ISNUMBER(G1104), VLOOKUP(G1104/$AH1104,F!$A1:$B101,2,1)*G1104*$H1104*$I1104,0)+IF(ISNUMBER(K1104), VLOOKUP(K1104/$AH1104,F!$A1:$B101,2,1)*K1104*$L1104*$M1104,0)+IF(ISNUMBER(O1104), VLOOKUP(O1104/$AH1104,F!$A1:$B101,2,1)*O1104*$P1104*$Q1104,0)+IF(ISNUMBER(S1104), VLOOKUP(S1104/$AH1104,F!$A1:$B101,2,1)*S1104*$T1104*$U1104,0)+IF(ISNUMBER(W1104), VLOOKUP(W1104/$AH1104,F!$A1:$B101,2,1)*W1104*$X1104*$Y1104,0)+IF(ISNUMBER(AA1104), VLOOKUP(AA1104/$AH1104,F!$A1:$B101,2,1)*AA1104*$AB1104*$AC1104,0))*IF(ISNUMBER(F1104),F1104,1)*IF(ISNUMBER(E1104),E1104,1)</f>
        <v>0</v>
      </c>
      <c r="AJ1104" s="119">
        <f t="shared" ref="AJ1104:AJ1111" si="2241">H1104*I1104+L1104*M1104+P1104*Q1104+T1104*U1104+X1104*Y1104+AB1104*AC1104</f>
        <v>0</v>
      </c>
      <c r="AK1104" s="125">
        <f t="array" ref="AK1104">IFERROR(I1104*INDEX(F!$P$21:$AB$33, MATCH(G1104/$AH1104, F!$O$21:$O$33,1), MATCH(E1104, F!$P$20:$AB$20,1)), 0 ) +IFERROR( M1104*INDEX(F!$P$21:$AB$33, MATCH(K1104/$AH1104, F!$O$21:$O$33,1), MATCH(E1104, F!$P$20:$AB$20,1)),0) +  IFERROR( Q1104*INDEX(F!$P$21:$AB$33, MATCH(O1104/$AH1104, F!$O$21:$O$33,1), MATCH(E1104, F!$P$20:$AB$20,1)), 0) + IFERROR( U1104*INDEX(F!$P$21:$AB$33, MATCH(S1104/$AH1104, F!$O$21:$O$33,1), MATCH(E1104, F!$P$20:$AB$20,1)),0)  + IFERROR(Y1104*INDEX(F!$P$21:$AB$33, MATCH(W1104/$AH1104, F!$O$21:$O$33,1), MATCH(E1104, F!$P$20:$AB$20,1)),0)  + IFERROR( AC1104*INDEX(F!$P$21:$AB$33, MATCH(AA1104/$AH1104, F!$O$21:$O$33,1), MATCH(E1104, F!$P$20:$AB$20,1)),)</f>
        <v>0</v>
      </c>
      <c r="AL1104" s="42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</row>
    <row r="1105" ht="15.75" hidden="1" customHeight="1">
      <c r="A1105" s="44">
        <f>A1049+A1010</f>
        <v>43919</v>
      </c>
      <c r="B1105" s="126" t="str">
        <f t="shared" ref="B1105:F1105" si="2231">IF(B1049="","",B1049)</f>
        <v/>
      </c>
      <c r="C1105" s="127" t="str">
        <f t="shared" si="2231"/>
        <v/>
      </c>
      <c r="D1105" s="128" t="str">
        <f t="shared" si="2231"/>
        <v/>
      </c>
      <c r="E1105" s="48" t="str">
        <f t="shared" si="2231"/>
        <v/>
      </c>
      <c r="F1105" s="129" t="str">
        <f t="shared" si="2231"/>
        <v/>
      </c>
      <c r="G1105" s="130" t="str">
        <f t="shared" si="2232"/>
        <v/>
      </c>
      <c r="H1105" s="34"/>
      <c r="I1105" s="34"/>
      <c r="J1105" s="65"/>
      <c r="K1105" s="130" t="str">
        <f t="shared" si="2233"/>
        <v/>
      </c>
      <c r="L1105" s="34"/>
      <c r="M1105" s="34"/>
      <c r="N1105" s="65"/>
      <c r="O1105" s="130" t="str">
        <f t="shared" si="2234"/>
        <v/>
      </c>
      <c r="P1105" s="34"/>
      <c r="Q1105" s="34"/>
      <c r="R1105" s="65"/>
      <c r="S1105" s="130" t="str">
        <f t="shared" si="2235"/>
        <v/>
      </c>
      <c r="T1105" s="34"/>
      <c r="U1105" s="34"/>
      <c r="V1105" s="65"/>
      <c r="W1105" s="130" t="str">
        <f t="shared" si="2236"/>
        <v/>
      </c>
      <c r="X1105" s="34"/>
      <c r="Y1105" s="34"/>
      <c r="Z1105" s="65"/>
      <c r="AA1105" s="130" t="str">
        <f t="shared" si="2237"/>
        <v/>
      </c>
      <c r="AB1105" s="34"/>
      <c r="AC1105" s="34"/>
      <c r="AD1105" s="65"/>
      <c r="AE1105" s="131">
        <f t="shared" si="2238"/>
        <v>0</v>
      </c>
      <c r="AF1105" s="132">
        <f t="shared" si="2162"/>
        <v>0</v>
      </c>
      <c r="AG1105" s="133">
        <f t="shared" si="2239"/>
        <v>0</v>
      </c>
      <c r="AH1105" s="76" t="str">
        <f t="shared" si="2240"/>
        <v/>
      </c>
      <c r="AI1105" s="132">
        <f> ( IF(ISNUMBER(G1105), VLOOKUP(G1105/$AH1105,F!$A1:$B101,2,1)*G1105*$H1105*$I1105,0)+IF(ISNUMBER(K1105), VLOOKUP(K1105/$AH1105,F!$A1:$B101,2,1)*K1105*$L1105*$M1105,0)+IF(ISNUMBER(O1105), VLOOKUP(O1105/$AH1105,F!$A1:$B101,2,1)*O1105*$P1105*$Q1105,0)+IF(ISNUMBER(S1105), VLOOKUP(S1105/$AH1105,F!$A1:$B101,2,1)*S1105*$T1105*$U1105,0)+IF(ISNUMBER(W1105), VLOOKUP(W1105/$AH1105,F!$A1:$B101,2,1)*W1105*$X1105*$Y1105,0)+IF(ISNUMBER(AA1105), VLOOKUP(AA1105/$AH1105,F!$A1:$B101,2,1)*AA1105*$AB1105*$AC1105,0))*IF(ISNUMBER(F1105),F1105,1)*IF(ISNUMBER(E1105),E1105,1)</f>
        <v>0</v>
      </c>
      <c r="AJ1105" s="34">
        <f t="shared" si="2241"/>
        <v>0</v>
      </c>
      <c r="AK1105" s="134">
        <f t="array" ref="AK1105">IFERROR(I1105*INDEX(F!$P$21:$AB$33, MATCH(G1105/$AH1105, F!$O$21:$O$33,1), MATCH(E1105, F!$P$20:$AB$20,1)), 0 ) +IFERROR( M1105*INDEX(F!$P$21:$AB$33, MATCH(K1105/$AH1105, F!$O$21:$O$33,1), MATCH(E1105, F!$P$20:$AB$20,1)),0) +  IFERROR( Q1105*INDEX(F!$P$21:$AB$33, MATCH(O1105/$AH1105, F!$O$21:$O$33,1), MATCH(E1105, F!$P$20:$AB$20,1)), 0) + IFERROR( U1105*INDEX(F!$P$21:$AB$33, MATCH(S1105/$AH1105, F!$O$21:$O$33,1), MATCH(E1105, F!$P$20:$AB$20,1)),0)  + IFERROR(Y1105*INDEX(F!$P$21:$AB$33, MATCH(W1105/$AH1105, F!$O$21:$O$33,1), MATCH(E1105, F!$P$20:$AB$20,1)),0)  + IFERROR( AC1105*INDEX(F!$P$21:$AB$33, MATCH(AA1105/$AH1105, F!$O$21:$O$33,1), MATCH(E1105, F!$P$20:$AB$20,1)),)</f>
        <v>0</v>
      </c>
      <c r="AL1105" s="59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</row>
    <row r="1106" ht="15.75" hidden="1" customHeight="1">
      <c r="A1106" s="59"/>
      <c r="B1106" s="135" t="str">
        <f t="shared" ref="B1106:F1106" si="2242">IF(B1050="","",B1050)</f>
        <v/>
      </c>
      <c r="C1106" s="136" t="str">
        <f t="shared" si="2242"/>
        <v/>
      </c>
      <c r="D1106" s="137" t="str">
        <f t="shared" si="2242"/>
        <v/>
      </c>
      <c r="E1106" s="48" t="str">
        <f t="shared" si="2242"/>
        <v/>
      </c>
      <c r="F1106" s="138" t="str">
        <f t="shared" si="2242"/>
        <v/>
      </c>
      <c r="G1106" s="139" t="str">
        <f t="shared" si="2232"/>
        <v/>
      </c>
      <c r="H1106" s="140"/>
      <c r="I1106" s="140"/>
      <c r="J1106" s="141"/>
      <c r="K1106" s="139" t="str">
        <f t="shared" si="2233"/>
        <v/>
      </c>
      <c r="L1106" s="140"/>
      <c r="M1106" s="140"/>
      <c r="N1106" s="141"/>
      <c r="O1106" s="139" t="str">
        <f t="shared" si="2234"/>
        <v/>
      </c>
      <c r="P1106" s="140"/>
      <c r="Q1106" s="140"/>
      <c r="R1106" s="141"/>
      <c r="S1106" s="139" t="str">
        <f t="shared" si="2235"/>
        <v/>
      </c>
      <c r="T1106" s="140"/>
      <c r="U1106" s="140"/>
      <c r="V1106" s="141"/>
      <c r="W1106" s="139" t="str">
        <f t="shared" si="2236"/>
        <v/>
      </c>
      <c r="X1106" s="140"/>
      <c r="Y1106" s="140"/>
      <c r="Z1106" s="141"/>
      <c r="AA1106" s="139" t="str">
        <f t="shared" si="2237"/>
        <v/>
      </c>
      <c r="AB1106" s="140"/>
      <c r="AC1106" s="140"/>
      <c r="AD1106" s="141"/>
      <c r="AE1106" s="142">
        <f t="shared" si="2238"/>
        <v>0</v>
      </c>
      <c r="AF1106" s="143">
        <f t="shared" si="2162"/>
        <v>0</v>
      </c>
      <c r="AG1106" s="144">
        <f t="shared" si="2239"/>
        <v>0</v>
      </c>
      <c r="AH1106" s="76" t="str">
        <f t="shared" si="2240"/>
        <v/>
      </c>
      <c r="AI1106" s="143">
        <f> ( IF(ISNUMBER(G1106), VLOOKUP(G1106/$AH1106,F!$A1:$B101,2,1)*G1106*$H1106*$I1106,0)+IF(ISNUMBER(K1106), VLOOKUP(K1106/$AH1106,F!$A1:$B101,2,1)*K1106*$L1106*$M1106,0)+IF(ISNUMBER(O1106), VLOOKUP(O1106/$AH1106,F!$A1:$B101,2,1)*O1106*$P1106*$Q1106,0)+IF(ISNUMBER(S1106), VLOOKUP(S1106/$AH1106,F!$A1:$B101,2,1)*S1106*$T1106*$U1106,0)+IF(ISNUMBER(W1106), VLOOKUP(W1106/$AH1106,F!$A1:$B101,2,1)*W1106*$X1106*$Y1106,0)+IF(ISNUMBER(AA1106), VLOOKUP(AA1106/$AH1106,F!$A1:$B101,2,1)*AA1106*$AB1106*$AC1106,0))*IF(ISNUMBER(F1106),F1106,1)*IF(ISNUMBER(E1106),E1106,1)</f>
        <v>0</v>
      </c>
      <c r="AJ1106" s="140">
        <f t="shared" si="2241"/>
        <v>0</v>
      </c>
      <c r="AK1106" s="145">
        <f t="array" ref="AK1106">IFERROR(I1106*INDEX(F!$P$21:$AB$33, MATCH(G1106/$AH1106, F!$O$21:$O$33,1), MATCH(E1106, F!$P$20:$AB$20,1)), 0 ) +IFERROR( M1106*INDEX(F!$P$21:$AB$33, MATCH(K1106/$AH1106, F!$O$21:$O$33,1), MATCH(E1106, F!$P$20:$AB$20,1)),0) +  IFERROR( Q1106*INDEX(F!$P$21:$AB$33, MATCH(O1106/$AH1106, F!$O$21:$O$33,1), MATCH(E1106, F!$P$20:$AB$20,1)), 0) + IFERROR( U1106*INDEX(F!$P$21:$AB$33, MATCH(S1106/$AH1106, F!$O$21:$O$33,1), MATCH(E1106, F!$P$20:$AB$20,1)),0)  + IFERROR(Y1106*INDEX(F!$P$21:$AB$33, MATCH(W1106/$AH1106, F!$O$21:$O$33,1), MATCH(E1106, F!$P$20:$AB$20,1)),0)  + IFERROR( AC1106*INDEX(F!$P$21:$AB$33, MATCH(AA1106/$AH1106, F!$O$21:$O$33,1), MATCH(E1106, F!$P$20:$AB$20,1)),)</f>
        <v>0</v>
      </c>
      <c r="AL1106" s="59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</row>
    <row r="1107" ht="15.75" hidden="1" customHeight="1">
      <c r="A1107" s="59"/>
      <c r="B1107" s="126" t="str">
        <f t="shared" ref="B1107:F1107" si="2243">IF(B1051="","",B1051)</f>
        <v/>
      </c>
      <c r="C1107" s="127" t="str">
        <f t="shared" si="2243"/>
        <v/>
      </c>
      <c r="D1107" s="128" t="str">
        <f t="shared" si="2243"/>
        <v/>
      </c>
      <c r="E1107" s="48" t="str">
        <f t="shared" si="2243"/>
        <v/>
      </c>
      <c r="F1107" s="129" t="str">
        <f t="shared" si="2243"/>
        <v/>
      </c>
      <c r="G1107" s="130" t="str">
        <f t="shared" si="2232"/>
        <v/>
      </c>
      <c r="H1107" s="34"/>
      <c r="I1107" s="34"/>
      <c r="J1107" s="65"/>
      <c r="K1107" s="130" t="str">
        <f t="shared" si="2233"/>
        <v/>
      </c>
      <c r="L1107" s="34"/>
      <c r="M1107" s="34"/>
      <c r="N1107" s="65"/>
      <c r="O1107" s="130" t="str">
        <f t="shared" si="2234"/>
        <v/>
      </c>
      <c r="P1107" s="34"/>
      <c r="Q1107" s="34"/>
      <c r="R1107" s="65"/>
      <c r="S1107" s="130" t="str">
        <f t="shared" si="2235"/>
        <v/>
      </c>
      <c r="T1107" s="34"/>
      <c r="U1107" s="34"/>
      <c r="V1107" s="65"/>
      <c r="W1107" s="130" t="str">
        <f t="shared" si="2236"/>
        <v/>
      </c>
      <c r="X1107" s="34"/>
      <c r="Y1107" s="34"/>
      <c r="Z1107" s="65"/>
      <c r="AA1107" s="130" t="str">
        <f t="shared" si="2237"/>
        <v/>
      </c>
      <c r="AB1107" s="34"/>
      <c r="AC1107" s="34"/>
      <c r="AD1107" s="65"/>
      <c r="AE1107" s="131">
        <f t="shared" si="2238"/>
        <v>0</v>
      </c>
      <c r="AF1107" s="132">
        <f t="shared" si="2162"/>
        <v>0</v>
      </c>
      <c r="AG1107" s="133">
        <f t="shared" si="2239"/>
        <v>0</v>
      </c>
      <c r="AH1107" s="76" t="str">
        <f t="shared" si="2240"/>
        <v/>
      </c>
      <c r="AI1107" s="132">
        <f> ( IF(ISNUMBER(G1107), VLOOKUP(G1107/$AH1107,F!$A1:$B101,2,1)*G1107*$H1107*$I1107,0)+IF(ISNUMBER(K1107), VLOOKUP(K1107/$AH1107,F!$A1:$B101,2,1)*K1107*$L1107*$M1107,0)+IF(ISNUMBER(O1107), VLOOKUP(O1107/$AH1107,F!$A1:$B101,2,1)*O1107*$P1107*$Q1107,0)+IF(ISNUMBER(S1107), VLOOKUP(S1107/$AH1107,F!$A1:$B101,2,1)*S1107*$T1107*$U1107,0)+IF(ISNUMBER(W1107), VLOOKUP(W1107/$AH1107,F!$A1:$B101,2,1)*W1107*$X1107*$Y1107,0)+IF(ISNUMBER(AA1107), VLOOKUP(AA1107/$AH1107,F!$A1:$B101,2,1)*AA1107*$AB1107*$AC1107,0))*IF(ISNUMBER(F1107),F1107,1)*IF(ISNUMBER(E1107),E1107,1)</f>
        <v>0</v>
      </c>
      <c r="AJ1107" s="34">
        <f t="shared" si="2241"/>
        <v>0</v>
      </c>
      <c r="AK1107" s="134">
        <f t="array" ref="AK1107">IFERROR(I1107*INDEX(F!$P$21:$AB$33, MATCH(G1107/$AH1107, F!$O$21:$O$33,1), MATCH(E1107, F!$P$20:$AB$20,1)), 0 ) +IFERROR( M1107*INDEX(F!$P$21:$AB$33, MATCH(K1107/$AH1107, F!$O$21:$O$33,1), MATCH(E1107, F!$P$20:$AB$20,1)),0) +  IFERROR( Q1107*INDEX(F!$P$21:$AB$33, MATCH(O1107/$AH1107, F!$O$21:$O$33,1), MATCH(E1107, F!$P$20:$AB$20,1)), 0) + IFERROR( U1107*INDEX(F!$P$21:$AB$33, MATCH(S1107/$AH1107, F!$O$21:$O$33,1), MATCH(E1107, F!$P$20:$AB$20,1)),0)  + IFERROR(Y1107*INDEX(F!$P$21:$AB$33, MATCH(W1107/$AH1107, F!$O$21:$O$33,1), MATCH(E1107, F!$P$20:$AB$20,1)),0)  + IFERROR( AC1107*INDEX(F!$P$21:$AB$33, MATCH(AA1107/$AH1107, F!$O$21:$O$33,1), MATCH(E1107, F!$P$20:$AB$20,1)),)</f>
        <v>0</v>
      </c>
      <c r="AL1107" s="59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</row>
    <row r="1108" ht="15.75" hidden="1" customHeight="1">
      <c r="A1108" s="59"/>
      <c r="B1108" s="135" t="str">
        <f t="shared" ref="B1108:F1108" si="2244">IF(B1052="","",B1052)</f>
        <v/>
      </c>
      <c r="C1108" s="136" t="str">
        <f t="shared" si="2244"/>
        <v/>
      </c>
      <c r="D1108" s="137" t="str">
        <f t="shared" si="2244"/>
        <v/>
      </c>
      <c r="E1108" s="48" t="str">
        <f t="shared" si="2244"/>
        <v/>
      </c>
      <c r="F1108" s="138" t="str">
        <f t="shared" si="2244"/>
        <v/>
      </c>
      <c r="G1108" s="139" t="str">
        <f t="shared" si="2232"/>
        <v/>
      </c>
      <c r="H1108" s="140"/>
      <c r="I1108" s="140"/>
      <c r="J1108" s="141"/>
      <c r="K1108" s="139" t="str">
        <f t="shared" si="2233"/>
        <v/>
      </c>
      <c r="L1108" s="140"/>
      <c r="M1108" s="140"/>
      <c r="N1108" s="141"/>
      <c r="O1108" s="139" t="str">
        <f t="shared" si="2234"/>
        <v/>
      </c>
      <c r="P1108" s="140"/>
      <c r="Q1108" s="140"/>
      <c r="R1108" s="141"/>
      <c r="S1108" s="139" t="str">
        <f t="shared" si="2235"/>
        <v/>
      </c>
      <c r="T1108" s="140"/>
      <c r="U1108" s="140"/>
      <c r="V1108" s="141"/>
      <c r="W1108" s="139" t="str">
        <f t="shared" si="2236"/>
        <v/>
      </c>
      <c r="X1108" s="140"/>
      <c r="Y1108" s="140"/>
      <c r="Z1108" s="141"/>
      <c r="AA1108" s="139" t="str">
        <f t="shared" si="2237"/>
        <v/>
      </c>
      <c r="AB1108" s="140"/>
      <c r="AC1108" s="140"/>
      <c r="AD1108" s="141"/>
      <c r="AE1108" s="142">
        <f t="shared" si="2238"/>
        <v>0</v>
      </c>
      <c r="AF1108" s="143">
        <f t="shared" si="2162"/>
        <v>0</v>
      </c>
      <c r="AG1108" s="144">
        <f t="shared" si="2239"/>
        <v>0</v>
      </c>
      <c r="AH1108" s="76" t="str">
        <f t="shared" si="2240"/>
        <v/>
      </c>
      <c r="AI1108" s="143">
        <f> ( IF(ISNUMBER(G1108), VLOOKUP(G1108/$AH1108,F!$A1:$B101,2,1)*G1108*$H1108*$I1108,0)+IF(ISNUMBER(K1108), VLOOKUP(K1108/$AH1108,F!$A1:$B101,2,1)*K1108*$L1108*$M1108,0)+IF(ISNUMBER(O1108), VLOOKUP(O1108/$AH1108,F!$A1:$B101,2,1)*O1108*$P1108*$Q1108,0)+IF(ISNUMBER(S1108), VLOOKUP(S1108/$AH1108,F!$A1:$B101,2,1)*S1108*$T1108*$U1108,0)+IF(ISNUMBER(W1108), VLOOKUP(W1108/$AH1108,F!$A1:$B101,2,1)*W1108*$X1108*$Y1108,0)+IF(ISNUMBER(AA1108), VLOOKUP(AA1108/$AH1108,F!$A1:$B101,2,1)*AA1108*$AB1108*$AC1108,0))*IF(ISNUMBER(F1108),F1108,1)*IF(ISNUMBER(E1108),E1108,1)</f>
        <v>0</v>
      </c>
      <c r="AJ1108" s="140">
        <f t="shared" si="2241"/>
        <v>0</v>
      </c>
      <c r="AK1108" s="145">
        <f t="array" ref="AK1108">IFERROR(I1108*INDEX(F!$P$21:$AB$33, MATCH(G1108/$AH1108, F!$O$21:$O$33,1), MATCH(E1108, F!$P$20:$AB$20,1)), 0 ) +IFERROR( M1108*INDEX(F!$P$21:$AB$33, MATCH(K1108/$AH1108, F!$O$21:$O$33,1), MATCH(E1108, F!$P$20:$AB$20,1)),0) +  IFERROR( Q1108*INDEX(F!$P$21:$AB$33, MATCH(O1108/$AH1108, F!$O$21:$O$33,1), MATCH(E1108, F!$P$20:$AB$20,1)), 0) + IFERROR( U1108*INDEX(F!$P$21:$AB$33, MATCH(S1108/$AH1108, F!$O$21:$O$33,1), MATCH(E1108, F!$P$20:$AB$20,1)),0)  + IFERROR(Y1108*INDEX(F!$P$21:$AB$33, MATCH(W1108/$AH1108, F!$O$21:$O$33,1), MATCH(E1108, F!$P$20:$AB$20,1)),0)  + IFERROR( AC1108*INDEX(F!$P$21:$AB$33, MATCH(AA1108/$AH1108, F!$O$21:$O$33,1), MATCH(E1108, F!$P$20:$AB$20,1)),)</f>
        <v>0</v>
      </c>
      <c r="AL1108" s="59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</row>
    <row r="1109" ht="15.75" hidden="1" customHeight="1">
      <c r="A1109" s="59"/>
      <c r="B1109" s="126" t="str">
        <f t="shared" ref="B1109:F1109" si="2245">IF(B1053="","",B1053)</f>
        <v/>
      </c>
      <c r="C1109" s="127" t="str">
        <f t="shared" si="2245"/>
        <v/>
      </c>
      <c r="D1109" s="128" t="str">
        <f t="shared" si="2245"/>
        <v/>
      </c>
      <c r="E1109" s="48" t="str">
        <f t="shared" si="2245"/>
        <v/>
      </c>
      <c r="F1109" s="129" t="str">
        <f t="shared" si="2245"/>
        <v/>
      </c>
      <c r="G1109" s="130" t="str">
        <f t="shared" si="2232"/>
        <v/>
      </c>
      <c r="H1109" s="34"/>
      <c r="I1109" s="34"/>
      <c r="J1109" s="65"/>
      <c r="K1109" s="130" t="str">
        <f t="shared" si="2233"/>
        <v/>
      </c>
      <c r="L1109" s="34"/>
      <c r="M1109" s="34"/>
      <c r="N1109" s="65"/>
      <c r="O1109" s="130" t="str">
        <f t="shared" si="2234"/>
        <v/>
      </c>
      <c r="P1109" s="34"/>
      <c r="Q1109" s="34"/>
      <c r="R1109" s="65"/>
      <c r="S1109" s="130" t="str">
        <f t="shared" si="2235"/>
        <v/>
      </c>
      <c r="T1109" s="34"/>
      <c r="U1109" s="34"/>
      <c r="V1109" s="65"/>
      <c r="W1109" s="130" t="str">
        <f t="shared" si="2236"/>
        <v/>
      </c>
      <c r="X1109" s="34"/>
      <c r="Y1109" s="34"/>
      <c r="Z1109" s="65"/>
      <c r="AA1109" s="130" t="str">
        <f t="shared" si="2237"/>
        <v/>
      </c>
      <c r="AB1109" s="34"/>
      <c r="AC1109" s="34"/>
      <c r="AD1109" s="65"/>
      <c r="AE1109" s="131">
        <f t="shared" si="2238"/>
        <v>0</v>
      </c>
      <c r="AF1109" s="132">
        <f t="shared" si="2162"/>
        <v>0</v>
      </c>
      <c r="AG1109" s="133">
        <f t="shared" si="2239"/>
        <v>0</v>
      </c>
      <c r="AH1109" s="76" t="str">
        <f t="shared" si="2240"/>
        <v/>
      </c>
      <c r="AI1109" s="132">
        <f> ( IF(ISNUMBER(G1109), VLOOKUP(G1109/$AH1109,F!$A1:$B101,2,1)*G1109*$H1109*$I1109,0)+IF(ISNUMBER(K1109), VLOOKUP(K1109/$AH1109,F!$A1:$B101,2,1)*K1109*$L1109*$M1109,0)+IF(ISNUMBER(O1109), VLOOKUP(O1109/$AH1109,F!$A1:$B101,2,1)*O1109*$P1109*$Q1109,0)+IF(ISNUMBER(S1109), VLOOKUP(S1109/$AH1109,F!$A1:$B101,2,1)*S1109*$T1109*$U1109,0)+IF(ISNUMBER(W1109), VLOOKUP(W1109/$AH1109,F!$A1:$B101,2,1)*W1109*$X1109*$Y1109,0)+IF(ISNUMBER(AA1109), VLOOKUP(AA1109/$AH1109,F!$A1:$B101,2,1)*AA1109*$AB1109*$AC1109,0))*IF(ISNUMBER(F1109),F1109,1)*IF(ISNUMBER(E1109),E1109,1)</f>
        <v>0</v>
      </c>
      <c r="AJ1109" s="34">
        <f t="shared" si="2241"/>
        <v>0</v>
      </c>
      <c r="AK1109" s="134">
        <f t="array" ref="AK1109">IFERROR(I1109*INDEX(F!$P$21:$AB$33, MATCH(G1109/$AH1109, F!$O$21:$O$33,1), MATCH(E1109, F!$P$20:$AB$20,1)), 0 ) +IFERROR( M1109*INDEX(F!$P$21:$AB$33, MATCH(K1109/$AH1109, F!$O$21:$O$33,1), MATCH(E1109, F!$P$20:$AB$20,1)),0) +  IFERROR( Q1109*INDEX(F!$P$21:$AB$33, MATCH(O1109/$AH1109, F!$O$21:$O$33,1), MATCH(E1109, F!$P$20:$AB$20,1)), 0) + IFERROR( U1109*INDEX(F!$P$21:$AB$33, MATCH(S1109/$AH1109, F!$O$21:$O$33,1), MATCH(E1109, F!$P$20:$AB$20,1)),0)  + IFERROR(Y1109*INDEX(F!$P$21:$AB$33, MATCH(W1109/$AH1109, F!$O$21:$O$33,1), MATCH(E1109, F!$P$20:$AB$20,1)),0)  + IFERROR( AC1109*INDEX(F!$P$21:$AB$33, MATCH(AA1109/$AH1109, F!$O$21:$O$33,1), MATCH(E1109, F!$P$20:$AB$20,1)),)</f>
        <v>0</v>
      </c>
      <c r="AL1109" s="59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</row>
    <row r="1110" ht="15.75" hidden="1" customHeight="1">
      <c r="A1110" s="59"/>
      <c r="B1110" s="135" t="str">
        <f t="shared" ref="B1110:F1110" si="2246">IF(B1054="","",B1054)</f>
        <v/>
      </c>
      <c r="C1110" s="136" t="str">
        <f t="shared" si="2246"/>
        <v/>
      </c>
      <c r="D1110" s="137" t="str">
        <f t="shared" si="2246"/>
        <v/>
      </c>
      <c r="E1110" s="48" t="str">
        <f t="shared" si="2246"/>
        <v/>
      </c>
      <c r="F1110" s="138" t="str">
        <f t="shared" si="2246"/>
        <v/>
      </c>
      <c r="G1110" s="139" t="str">
        <f t="shared" si="2232"/>
        <v/>
      </c>
      <c r="H1110" s="140"/>
      <c r="I1110" s="140"/>
      <c r="J1110" s="141"/>
      <c r="K1110" s="139" t="str">
        <f t="shared" si="2233"/>
        <v/>
      </c>
      <c r="L1110" s="140"/>
      <c r="M1110" s="140"/>
      <c r="N1110" s="141"/>
      <c r="O1110" s="139" t="str">
        <f t="shared" si="2234"/>
        <v/>
      </c>
      <c r="P1110" s="140"/>
      <c r="Q1110" s="140"/>
      <c r="R1110" s="141"/>
      <c r="S1110" s="139" t="str">
        <f t="shared" si="2235"/>
        <v/>
      </c>
      <c r="T1110" s="140"/>
      <c r="U1110" s="140"/>
      <c r="V1110" s="141"/>
      <c r="W1110" s="139" t="str">
        <f t="shared" si="2236"/>
        <v/>
      </c>
      <c r="X1110" s="140"/>
      <c r="Y1110" s="140"/>
      <c r="Z1110" s="141"/>
      <c r="AA1110" s="139" t="str">
        <f t="shared" si="2237"/>
        <v/>
      </c>
      <c r="AB1110" s="140"/>
      <c r="AC1110" s="140"/>
      <c r="AD1110" s="141"/>
      <c r="AE1110" s="142">
        <f t="shared" si="2238"/>
        <v>0</v>
      </c>
      <c r="AF1110" s="143">
        <f t="shared" si="2162"/>
        <v>0</v>
      </c>
      <c r="AG1110" s="144">
        <f t="shared" si="2239"/>
        <v>0</v>
      </c>
      <c r="AH1110" s="76" t="str">
        <f t="shared" si="2240"/>
        <v/>
      </c>
      <c r="AI1110" s="143">
        <f> ( IF(ISNUMBER(G1110), VLOOKUP(G1110/$AH1110,F!$A1:$B101,2,1)*G1110*$H1110*$I1110,0)+IF(ISNUMBER(K1110), VLOOKUP(K1110/$AH1110,F!$A1:$B101,2,1)*K1110*$L1110*$M1110,0)+IF(ISNUMBER(O1110), VLOOKUP(O1110/$AH1110,F!$A1:$B101,2,1)*O1110*$P1110*$Q1110,0)+IF(ISNUMBER(S1110), VLOOKUP(S1110/$AH1110,F!$A1:$B101,2,1)*S1110*$T1110*$U1110,0)+IF(ISNUMBER(W1110), VLOOKUP(W1110/$AH1110,F!$A1:$B101,2,1)*W1110*$X1110*$Y1110,0)+IF(ISNUMBER(AA1110), VLOOKUP(AA1110/$AH1110,F!$A1:$B101,2,1)*AA1110*$AB1110*$AC1110,0))*IF(ISNUMBER(F1110),F1110,1)*IF(ISNUMBER(E1110),E1110,1)</f>
        <v>0</v>
      </c>
      <c r="AJ1110" s="140">
        <f t="shared" si="2241"/>
        <v>0</v>
      </c>
      <c r="AK1110" s="145">
        <f t="array" ref="AK1110">IFERROR(I1110*INDEX(F!$P$21:$AB$33, MATCH(G1110/$AH1110, F!$O$21:$O$33,1), MATCH(E1110, F!$P$20:$AB$20,1)), 0 ) +IFERROR( M1110*INDEX(F!$P$21:$AB$33, MATCH(K1110/$AH1110, F!$O$21:$O$33,1), MATCH(E1110, F!$P$20:$AB$20,1)),0) +  IFERROR( Q1110*INDEX(F!$P$21:$AB$33, MATCH(O1110/$AH1110, F!$O$21:$O$33,1), MATCH(E1110, F!$P$20:$AB$20,1)), 0) + IFERROR( U1110*INDEX(F!$P$21:$AB$33, MATCH(S1110/$AH1110, F!$O$21:$O$33,1), MATCH(E1110, F!$P$20:$AB$20,1)),0)  + IFERROR(Y1110*INDEX(F!$P$21:$AB$33, MATCH(W1110/$AH1110, F!$O$21:$O$33,1), MATCH(E1110, F!$P$20:$AB$20,1)),0)  + IFERROR( AC1110*INDEX(F!$P$21:$AB$33, MATCH(AA1110/$AH1110, F!$O$21:$O$33,1), MATCH(E1110, F!$P$20:$AB$20,1)),)</f>
        <v>0</v>
      </c>
      <c r="AL1110" s="59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</row>
    <row r="1111" ht="15.75" hidden="1" customHeight="1">
      <c r="A1111" s="59"/>
      <c r="B1111" s="126" t="str">
        <f t="shared" ref="B1111:F1111" si="2247">IF(B1055="","",B1055)</f>
        <v/>
      </c>
      <c r="C1111" s="127" t="str">
        <f t="shared" si="2247"/>
        <v/>
      </c>
      <c r="D1111" s="128" t="str">
        <f t="shared" si="2247"/>
        <v/>
      </c>
      <c r="E1111" s="48" t="str">
        <f t="shared" si="2247"/>
        <v/>
      </c>
      <c r="F1111" s="129" t="str">
        <f t="shared" si="2247"/>
        <v/>
      </c>
      <c r="G1111" s="130" t="str">
        <f t="shared" si="2232"/>
        <v/>
      </c>
      <c r="H1111" s="34"/>
      <c r="I1111" s="34"/>
      <c r="J1111" s="65"/>
      <c r="K1111" s="130" t="str">
        <f t="shared" si="2233"/>
        <v/>
      </c>
      <c r="L1111" s="34"/>
      <c r="M1111" s="34"/>
      <c r="N1111" s="65"/>
      <c r="O1111" s="130" t="str">
        <f t="shared" si="2234"/>
        <v/>
      </c>
      <c r="P1111" s="34"/>
      <c r="Q1111" s="34"/>
      <c r="R1111" s="65"/>
      <c r="S1111" s="130" t="str">
        <f t="shared" si="2235"/>
        <v/>
      </c>
      <c r="T1111" s="34"/>
      <c r="U1111" s="34"/>
      <c r="V1111" s="65"/>
      <c r="W1111" s="130" t="str">
        <f t="shared" si="2236"/>
        <v/>
      </c>
      <c r="X1111" s="34"/>
      <c r="Y1111" s="34"/>
      <c r="Z1111" s="65"/>
      <c r="AA1111" s="130" t="str">
        <f t="shared" si="2237"/>
        <v/>
      </c>
      <c r="AB1111" s="34"/>
      <c r="AC1111" s="34"/>
      <c r="AD1111" s="65"/>
      <c r="AE1111" s="131">
        <f t="shared" si="2238"/>
        <v>0</v>
      </c>
      <c r="AF1111" s="132">
        <f t="shared" si="2162"/>
        <v>0</v>
      </c>
      <c r="AG1111" s="133">
        <f t="shared" si="2239"/>
        <v>0</v>
      </c>
      <c r="AH1111" s="76" t="str">
        <f t="shared" si="2240"/>
        <v/>
      </c>
      <c r="AI1111" s="132">
        <f> ( IF(ISNUMBER(G1111), VLOOKUP(G1111/$AH1111,F!$A1:$B101,2,1)*G1111*$H1111*$I1111,0)+IF(ISNUMBER(K1111), VLOOKUP(K1111/$AH1111,F!$A1:$B101,2,1)*K1111*$L1111*$M1111,0)+IF(ISNUMBER(O1111), VLOOKUP(O1111/$AH1111,F!$A1:$B101,2,1)*O1111*$P1111*$Q1111,0)+IF(ISNUMBER(S1111), VLOOKUP(S1111/$AH1111,F!$A1:$B101,2,1)*S1111*$T1111*$U1111,0)+IF(ISNUMBER(W1111), VLOOKUP(W1111/$AH1111,F!$A1:$B101,2,1)*W1111*$X1111*$Y1111,0)+IF(ISNUMBER(AA1111), VLOOKUP(AA1111/$AH1111,F!$A1:$B101,2,1)*AA1111*$AB1111*$AC1111,0))*IF(ISNUMBER(F1111),F1111,1)*IF(ISNUMBER(E1111),E1111,1)</f>
        <v>0</v>
      </c>
      <c r="AJ1111" s="34">
        <f t="shared" si="2241"/>
        <v>0</v>
      </c>
      <c r="AK1111" s="134">
        <f t="array" ref="AK1111">IFERROR(I1111*INDEX(F!$P$21:$AB$33, MATCH(G1111/$AH1111, F!$O$21:$O$33,1), MATCH(E1111, F!$P$20:$AB$20,1)), 0 ) +IFERROR( M1111*INDEX(F!$P$21:$AB$33, MATCH(K1111/$AH1111, F!$O$21:$O$33,1), MATCH(E1111, F!$P$20:$AB$20,1)),0) +  IFERROR( Q1111*INDEX(F!$P$21:$AB$33, MATCH(O1111/$AH1111, F!$O$21:$O$33,1), MATCH(E1111, F!$P$20:$AB$20,1)), 0) + IFERROR( U1111*INDEX(F!$P$21:$AB$33, MATCH(S1111/$AH1111, F!$O$21:$O$33,1), MATCH(E1111, F!$P$20:$AB$20,1)),0)  + IFERROR(Y1111*INDEX(F!$P$21:$AB$33, MATCH(W1111/$AH1111, F!$O$21:$O$33,1), MATCH(E1111, F!$P$20:$AB$20,1)),0)  + IFERROR( AC1111*INDEX(F!$P$21:$AB$33, MATCH(AA1111/$AH1111, F!$O$21:$O$33,1), MATCH(E1111, F!$P$20:$AB$20,1)),)</f>
        <v>0</v>
      </c>
      <c r="AL1111" s="59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</row>
    <row r="1112" ht="15.75" hidden="1" customHeight="1">
      <c r="A1112" s="98"/>
      <c r="B1112" s="150"/>
      <c r="C1112" s="151"/>
      <c r="D1112" s="152"/>
      <c r="E1112" s="102">
        <f>ROUND(IFERROR(SUMPRODUCT(AJ1104:AJ1111,E1104:E1111)/AJ1112,0),3)</f>
        <v>0</v>
      </c>
      <c r="F1112" s="153"/>
      <c r="G1112" s="154"/>
      <c r="H1112" s="155"/>
      <c r="I1112" s="155"/>
      <c r="J1112" s="156"/>
      <c r="K1112" s="154"/>
      <c r="L1112" s="155"/>
      <c r="M1112" s="155"/>
      <c r="N1112" s="156"/>
      <c r="O1112" s="154"/>
      <c r="P1112" s="155"/>
      <c r="Q1112" s="155"/>
      <c r="R1112" s="156"/>
      <c r="S1112" s="154"/>
      <c r="T1112" s="155"/>
      <c r="U1112" s="155"/>
      <c r="V1112" s="156"/>
      <c r="W1112" s="154"/>
      <c r="X1112" s="155"/>
      <c r="Y1112" s="155"/>
      <c r="Z1112" s="156"/>
      <c r="AA1112" s="154"/>
      <c r="AB1112" s="155"/>
      <c r="AC1112" s="155"/>
      <c r="AD1112" s="156"/>
      <c r="AE1112" s="107">
        <f>SUM(AE1104:AE1111)</f>
        <v>0</v>
      </c>
      <c r="AF1112" s="108">
        <f t="shared" si="2162"/>
        <v>0</v>
      </c>
      <c r="AG1112" s="109">
        <f>IFERROR(  SUMPRODUCT(AG1104:AG1111,AJ1104:AJ1111)/AJ1112,0)</f>
        <v>0</v>
      </c>
      <c r="AH1112" s="157"/>
      <c r="AI1112" s="111">
        <f t="shared" ref="AI1112:AJ1112" si="2248">SUM(AI1104:AI1111)</f>
        <v>0</v>
      </c>
      <c r="AJ1112" s="111">
        <f t="shared" si="2248"/>
        <v>0</v>
      </c>
      <c r="AK1112" s="112">
        <f>IF(SUM(AK1104:AK1111)=0,TIME(,0,),TIME(,SUM(AK1104:AK1111)+F!$V$37,))</f>
        <v>0</v>
      </c>
      <c r="AL1112" s="98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</row>
    <row r="1113" ht="15.75" hidden="1" customHeight="1">
      <c r="A1113" s="158">
        <f>A1114</f>
        <v>43920</v>
      </c>
      <c r="B1113" s="159" t="str">
        <f t="shared" ref="B1113:F1113" si="2249">IF(B1057="","",B1057)</f>
        <v/>
      </c>
      <c r="C1113" s="160" t="str">
        <f t="shared" si="2249"/>
        <v/>
      </c>
      <c r="D1113" s="161" t="str">
        <f t="shared" si="2249"/>
        <v/>
      </c>
      <c r="E1113" s="29" t="str">
        <f t="shared" si="2249"/>
        <v/>
      </c>
      <c r="F1113" s="162" t="str">
        <f t="shared" si="2249"/>
        <v/>
      </c>
      <c r="G1113" s="163" t="str">
        <f t="shared" ref="G1113:G1120" si="2251">IF(J1113&lt;&gt;0, IFERROR(IF( $F1113=2,  MROUND($AH1113*J1113,1),    IF( OR($F1113="",$F1113=1),   MROUND($AH1113*J1113,2.5),  MROUND($AH1113*J1113, 0.1))), "" ), "")</f>
        <v/>
      </c>
      <c r="H1113" s="164"/>
      <c r="I1113" s="164"/>
      <c r="J1113" s="165"/>
      <c r="K1113" s="163" t="str">
        <f t="shared" ref="K1113:K1120" si="2252">IF(N1113&lt;&gt;0, IFERROR(IF( $F1113=2,  MROUND($AH1113*N1113,1),    IF( OR($F1113="",$F1113=1),   MROUND($AH1113*N1113,2.5),  MROUND($AH1113*N1113, 0.1))), "" ), "")</f>
        <v/>
      </c>
      <c r="L1113" s="164"/>
      <c r="M1113" s="164"/>
      <c r="N1113" s="165"/>
      <c r="O1113" s="163" t="str">
        <f t="shared" ref="O1113:O1120" si="2253">IF(R1113&lt;&gt;0, IFERROR(IF( $F1113=2,  MROUND($AH1113*R1113,1),    IF( OR($F1113="",$F1113=1),   MROUND($AH1113*R1113,2.5),  MROUND($AH1113*R1113, 0.1))), "" ), "")</f>
        <v/>
      </c>
      <c r="P1113" s="164"/>
      <c r="Q1113" s="164"/>
      <c r="R1113" s="165"/>
      <c r="S1113" s="163" t="str">
        <f t="shared" ref="S1113:S1120" si="2254">IF(V1113&lt;&gt;0, IFERROR(IF( $F1113=2,  MROUND($AH1113*V1113,1),    IF( OR($F1113="",$F1113=1),   MROUND($AH1113*V1113,2.5),  MROUND($AH1113*V1113, 0.1))), "" ), "")</f>
        <v/>
      </c>
      <c r="T1113" s="164"/>
      <c r="U1113" s="164"/>
      <c r="V1113" s="165"/>
      <c r="W1113" s="163" t="str">
        <f t="shared" ref="W1113:W1120" si="2255">IF(Z1113&lt;&gt;0, IFERROR(IF( $F1113=2,  MROUND($AH1113*Z1113,1),    IF( OR($F1113="",$F1113=1),   MROUND($AH1113*Z1113,2.5),  MROUND($AH1113*Z1113, 0.1))), "" ), "")</f>
        <v/>
      </c>
      <c r="X1113" s="164"/>
      <c r="Y1113" s="164"/>
      <c r="Z1113" s="165"/>
      <c r="AA1113" s="163" t="str">
        <f t="shared" ref="AA1113:AA1120" si="2256">IF(AD1113&lt;&gt;0, IFERROR(IF( $F1113=2,  MROUND($AH1113*AD1113,1),    IF( OR($F1113="",$F1113=1),   MROUND($AH1113*AD1113,2.5),  MROUND($AH1113*AD1113, 0.1))), "" ), "")</f>
        <v/>
      </c>
      <c r="AB1113" s="164"/>
      <c r="AC1113" s="164"/>
      <c r="AD1113" s="165"/>
      <c r="AE1113" s="166">
        <f t="shared" ref="AE1113:AE1120" si="2257">(IF(ISNUMBER(G1113),G1113,0)*H1113*I1113+IF(ISNUMBER(K1113),K1113,1)*L1113*M1113+IF(ISNUMBER(O1113),O1113,1)*P1113*Q1113+IF(ISNUMBER(S1113),S1113,1)*T1113*U1113+IF(ISNUMBER(W1113),W1113,1)*X1113*Y1113+IF(ISNUMBER(AA1113),AA1113,1)*AB1113*AC1113)*IF(ISNUMBER(F1113),F1113,1)</f>
        <v>0</v>
      </c>
      <c r="AF1113" s="167">
        <f t="shared" si="2162"/>
        <v>0</v>
      </c>
      <c r="AG1113" s="168">
        <f t="shared" ref="AG1113:AG1120" si="2258">IFERROR((AF1113/(AH1113*IF(ISNUMBER(F1113),F1113,1))),0)</f>
        <v>0</v>
      </c>
      <c r="AH1113" s="169" t="str">
        <f t="shared" ref="AH1113:AH1120" si="2259">IF(ISNUMBER(AH1057), AH1057+(AH1057*$AH$1066),"")</f>
        <v/>
      </c>
      <c r="AI1113" s="167">
        <f> ( IF(ISNUMBER(G1113), VLOOKUP(G1113/$AH1113,F!$A1:$B101,2,1)*G1113*$H1113*$I1113,0)+IF(ISNUMBER(K1113), VLOOKUP(K1113/$AH1113,F!$A1:$B101,2,1)*K1113*$L1113*$M1113,0)+IF(ISNUMBER(O1113), VLOOKUP(O1113/$AH1113,F!$A1:$B101,2,1)*O1113*$P1113*$Q1113,0)+IF(ISNUMBER(S1113), VLOOKUP(S1113/$AH1113,F!$A1:$B101,2,1)*S1113*$T1113*$U1113,0)+IF(ISNUMBER(W1113), VLOOKUP(W1113/$AH1113,F!$A1:$B101,2,1)*W1113*$X1113*$Y1113,0)+IF(ISNUMBER(AA1113), VLOOKUP(AA1113/$AH1113,F!$A1:$B101,2,1)*AA1113*$AB1113*$AC1113,0))*IF(ISNUMBER(F1113),F1113,1)*IF(ISNUMBER(E1113),E1113,1)</f>
        <v>0</v>
      </c>
      <c r="AJ1113" s="164">
        <f t="shared" ref="AJ1113:AJ1120" si="2260">H1113*I1113+L1113*M1113+P1113*Q1113+T1113*U1113+X1113*Y1113+AB1113*AC1113</f>
        <v>0</v>
      </c>
      <c r="AK1113" s="170">
        <f t="array" ref="AK1113">IFERROR(I1113*INDEX(F!$P$21:$AB$33, MATCH(G1113/$AH1113, F!$O$21:$O$33,1), MATCH(E1113, F!$P$20:$AB$20,1)), 0 ) +IFERROR( M1113*INDEX(F!$P$21:$AB$33, MATCH(K1113/$AH1113, F!$O$21:$O$33,1), MATCH(E1113, F!$P$20:$AB$20,1)),0) +  IFERROR( Q1113*INDEX(F!$P$21:$AB$33, MATCH(O1113/$AH1113, F!$O$21:$O$33,1), MATCH(E1113, F!$P$20:$AB$20,1)), 0) + IFERROR( U1113*INDEX(F!$P$21:$AB$33, MATCH(S1113/$AH1113, F!$O$21:$O$33,1), MATCH(E1113, F!$P$20:$AB$20,1)),0)  + IFERROR(Y1113*INDEX(F!$P$21:$AB$33, MATCH(W1113/$AH1113, F!$O$21:$O$33,1), MATCH(E1113, F!$P$20:$AB$20,1)),0)  + IFERROR( AC1113*INDEX(F!$P$21:$AB$33, MATCH(AA1113/$AH1113, F!$O$21:$O$33,1), MATCH(E1113, F!$P$20:$AB$20,1)),)</f>
        <v>0</v>
      </c>
      <c r="AL1113" s="42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</row>
    <row r="1114" ht="15.75" hidden="1" customHeight="1">
      <c r="A1114" s="44">
        <f>A1058+A1010</f>
        <v>43920</v>
      </c>
      <c r="B1114" s="135" t="str">
        <f t="shared" ref="B1114:F1114" si="2250">IF(B1058="","",B1058)</f>
        <v/>
      </c>
      <c r="C1114" s="136" t="str">
        <f t="shared" si="2250"/>
        <v/>
      </c>
      <c r="D1114" s="137" t="str">
        <f t="shared" si="2250"/>
        <v/>
      </c>
      <c r="E1114" s="48" t="str">
        <f t="shared" si="2250"/>
        <v/>
      </c>
      <c r="F1114" s="138" t="str">
        <f t="shared" si="2250"/>
        <v/>
      </c>
      <c r="G1114" s="139" t="str">
        <f t="shared" si="2251"/>
        <v/>
      </c>
      <c r="H1114" s="140"/>
      <c r="I1114" s="140"/>
      <c r="J1114" s="141"/>
      <c r="K1114" s="139" t="str">
        <f t="shared" si="2252"/>
        <v/>
      </c>
      <c r="L1114" s="140"/>
      <c r="M1114" s="140"/>
      <c r="N1114" s="141"/>
      <c r="O1114" s="139" t="str">
        <f t="shared" si="2253"/>
        <v/>
      </c>
      <c r="P1114" s="140"/>
      <c r="Q1114" s="140"/>
      <c r="R1114" s="141"/>
      <c r="S1114" s="139" t="str">
        <f t="shared" si="2254"/>
        <v/>
      </c>
      <c r="T1114" s="140"/>
      <c r="U1114" s="140"/>
      <c r="V1114" s="141"/>
      <c r="W1114" s="139" t="str">
        <f t="shared" si="2255"/>
        <v/>
      </c>
      <c r="X1114" s="140"/>
      <c r="Y1114" s="140"/>
      <c r="Z1114" s="141"/>
      <c r="AA1114" s="139" t="str">
        <f t="shared" si="2256"/>
        <v/>
      </c>
      <c r="AB1114" s="140"/>
      <c r="AC1114" s="140"/>
      <c r="AD1114" s="141"/>
      <c r="AE1114" s="142">
        <f t="shared" si="2257"/>
        <v>0</v>
      </c>
      <c r="AF1114" s="143">
        <f t="shared" si="2162"/>
        <v>0</v>
      </c>
      <c r="AG1114" s="144">
        <f t="shared" si="2258"/>
        <v>0</v>
      </c>
      <c r="AH1114" s="76" t="str">
        <f t="shared" si="2259"/>
        <v/>
      </c>
      <c r="AI1114" s="143">
        <f> ( IF(ISNUMBER(G1114), VLOOKUP(G1114/$AH1114,F!$A1:$B101,2,1)*G1114*$H1114*$I1114,0)+IF(ISNUMBER(K1114), VLOOKUP(K1114/$AH1114,F!$A1:$B101,2,1)*K1114*$L1114*$M1114,0)+IF(ISNUMBER(O1114), VLOOKUP(O1114/$AH1114,F!$A1:$B101,2,1)*O1114*$P1114*$Q1114,0)+IF(ISNUMBER(S1114), VLOOKUP(S1114/$AH1114,F!$A1:$B101,2,1)*S1114*$T1114*$U1114,0)+IF(ISNUMBER(W1114), VLOOKUP(W1114/$AH1114,F!$A1:$B101,2,1)*W1114*$X1114*$Y1114,0)+IF(ISNUMBER(AA1114), VLOOKUP(AA1114/$AH1114,F!$A1:$B101,2,1)*AA1114*$AB1114*$AC1114,0))*IF(ISNUMBER(F1114),F1114,1)*IF(ISNUMBER(E1114),E1114,1)</f>
        <v>0</v>
      </c>
      <c r="AJ1114" s="140">
        <f t="shared" si="2260"/>
        <v>0</v>
      </c>
      <c r="AK1114" s="145">
        <f t="array" ref="AK1114">IFERROR(I1114*INDEX(F!$P$21:$AB$33, MATCH(G1114/$AH1114, F!$O$21:$O$33,1), MATCH(E1114, F!$P$20:$AB$20,1)), 0 ) +IFERROR( M1114*INDEX(F!$P$21:$AB$33, MATCH(K1114/$AH1114, F!$O$21:$O$33,1), MATCH(E1114, F!$P$20:$AB$20,1)),0) +  IFERROR( Q1114*INDEX(F!$P$21:$AB$33, MATCH(O1114/$AH1114, F!$O$21:$O$33,1), MATCH(E1114, F!$P$20:$AB$20,1)), 0) + IFERROR( U1114*INDEX(F!$P$21:$AB$33, MATCH(S1114/$AH1114, F!$O$21:$O$33,1), MATCH(E1114, F!$P$20:$AB$20,1)),0)  + IFERROR(Y1114*INDEX(F!$P$21:$AB$33, MATCH(W1114/$AH1114, F!$O$21:$O$33,1), MATCH(E1114, F!$P$20:$AB$20,1)),0)  + IFERROR( AC1114*INDEX(F!$P$21:$AB$33, MATCH(AA1114/$AH1114, F!$O$21:$O$33,1), MATCH(E1114, F!$P$20:$AB$20,1)),)</f>
        <v>0</v>
      </c>
      <c r="AL1114" s="59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</row>
    <row r="1115" ht="15.75" hidden="1" customHeight="1">
      <c r="A1115" s="59"/>
      <c r="B1115" s="173" t="str">
        <f t="shared" ref="B1115:F1115" si="2261">IF(B1059="","",B1059)</f>
        <v/>
      </c>
      <c r="C1115" s="174" t="str">
        <f t="shared" si="2261"/>
        <v/>
      </c>
      <c r="D1115" s="175" t="str">
        <f t="shared" si="2261"/>
        <v/>
      </c>
      <c r="E1115" s="48" t="str">
        <f t="shared" si="2261"/>
        <v/>
      </c>
      <c r="F1115" s="176" t="str">
        <f t="shared" si="2261"/>
        <v/>
      </c>
      <c r="G1115" s="177" t="str">
        <f t="shared" si="2251"/>
        <v/>
      </c>
      <c r="H1115" s="178"/>
      <c r="I1115" s="178"/>
      <c r="J1115" s="179"/>
      <c r="K1115" s="177" t="str">
        <f t="shared" si="2252"/>
        <v/>
      </c>
      <c r="L1115" s="178"/>
      <c r="M1115" s="178"/>
      <c r="N1115" s="179"/>
      <c r="O1115" s="177" t="str">
        <f t="shared" si="2253"/>
        <v/>
      </c>
      <c r="P1115" s="178"/>
      <c r="Q1115" s="178"/>
      <c r="R1115" s="179"/>
      <c r="S1115" s="177" t="str">
        <f t="shared" si="2254"/>
        <v/>
      </c>
      <c r="T1115" s="178"/>
      <c r="U1115" s="178"/>
      <c r="V1115" s="179"/>
      <c r="W1115" s="177" t="str">
        <f t="shared" si="2255"/>
        <v/>
      </c>
      <c r="X1115" s="178"/>
      <c r="Y1115" s="178"/>
      <c r="Z1115" s="179"/>
      <c r="AA1115" s="177" t="str">
        <f t="shared" si="2256"/>
        <v/>
      </c>
      <c r="AB1115" s="178"/>
      <c r="AC1115" s="178"/>
      <c r="AD1115" s="179"/>
      <c r="AE1115" s="180">
        <f t="shared" si="2257"/>
        <v>0</v>
      </c>
      <c r="AF1115" s="181">
        <f t="shared" si="2162"/>
        <v>0</v>
      </c>
      <c r="AG1115" s="182">
        <f t="shared" si="2258"/>
        <v>0</v>
      </c>
      <c r="AH1115" s="76" t="str">
        <f t="shared" si="2259"/>
        <v/>
      </c>
      <c r="AI1115" s="181">
        <f> ( IF(ISNUMBER(G1115), VLOOKUP(G1115/$AH1115,F!$A1:$B101,2,1)*G1115*$H1115*$I1115,0)+IF(ISNUMBER(K1115), VLOOKUP(K1115/$AH1115,F!$A1:$B101,2,1)*K1115*$L1115*$M1115,0)+IF(ISNUMBER(O1115), VLOOKUP(O1115/$AH1115,F!$A1:$B101,2,1)*O1115*$P1115*$Q1115,0)+IF(ISNUMBER(S1115), VLOOKUP(S1115/$AH1115,F!$A1:$B101,2,1)*S1115*$T1115*$U1115,0)+IF(ISNUMBER(W1115), VLOOKUP(W1115/$AH1115,F!$A1:$B101,2,1)*W1115*$X1115*$Y1115,0)+IF(ISNUMBER(AA1115), VLOOKUP(AA1115/$AH1115,F!$A1:$B101,2,1)*AA1115*$AB1115*$AC1115,0))*IF(ISNUMBER(F1115),F1115,1)*IF(ISNUMBER(E1115),E1115,1)</f>
        <v>0</v>
      </c>
      <c r="AJ1115" s="178">
        <f t="shared" si="2260"/>
        <v>0</v>
      </c>
      <c r="AK1115" s="183">
        <f t="array" ref="AK1115">IFERROR(I1115*INDEX(F!$P$21:$AB$33, MATCH(G1115/$AH1115, F!$O$21:$O$33,1), MATCH(E1115, F!$P$20:$AB$20,1)), 0 ) +IFERROR( M1115*INDEX(F!$P$21:$AB$33, MATCH(K1115/$AH1115, F!$O$21:$O$33,1), MATCH(E1115, F!$P$20:$AB$20,1)),0) +  IFERROR( Q1115*INDEX(F!$P$21:$AB$33, MATCH(O1115/$AH1115, F!$O$21:$O$33,1), MATCH(E1115, F!$P$20:$AB$20,1)), 0) + IFERROR( U1115*INDEX(F!$P$21:$AB$33, MATCH(S1115/$AH1115, F!$O$21:$O$33,1), MATCH(E1115, F!$P$20:$AB$20,1)),0)  + IFERROR(Y1115*INDEX(F!$P$21:$AB$33, MATCH(W1115/$AH1115, F!$O$21:$O$33,1), MATCH(E1115, F!$P$20:$AB$20,1)),0)  + IFERROR( AC1115*INDEX(F!$P$21:$AB$33, MATCH(AA1115/$AH1115, F!$O$21:$O$33,1), MATCH(E1115, F!$P$20:$AB$20,1)),)</f>
        <v>0</v>
      </c>
      <c r="AL1115" s="59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</row>
    <row r="1116" ht="15.75" hidden="1" customHeight="1">
      <c r="A1116" s="59"/>
      <c r="B1116" s="135" t="str">
        <f t="shared" ref="B1116:F1116" si="2262">IF(B1060="","",B1060)</f>
        <v/>
      </c>
      <c r="C1116" s="136" t="str">
        <f t="shared" si="2262"/>
        <v/>
      </c>
      <c r="D1116" s="137" t="str">
        <f t="shared" si="2262"/>
        <v/>
      </c>
      <c r="E1116" s="48" t="str">
        <f t="shared" si="2262"/>
        <v/>
      </c>
      <c r="F1116" s="138" t="str">
        <f t="shared" si="2262"/>
        <v/>
      </c>
      <c r="G1116" s="139" t="str">
        <f t="shared" si="2251"/>
        <v/>
      </c>
      <c r="H1116" s="140"/>
      <c r="I1116" s="140"/>
      <c r="J1116" s="141"/>
      <c r="K1116" s="139" t="str">
        <f t="shared" si="2252"/>
        <v/>
      </c>
      <c r="L1116" s="140"/>
      <c r="M1116" s="140"/>
      <c r="N1116" s="141"/>
      <c r="O1116" s="139" t="str">
        <f t="shared" si="2253"/>
        <v/>
      </c>
      <c r="P1116" s="140"/>
      <c r="Q1116" s="140"/>
      <c r="R1116" s="141"/>
      <c r="S1116" s="139" t="str">
        <f t="shared" si="2254"/>
        <v/>
      </c>
      <c r="T1116" s="140"/>
      <c r="U1116" s="140"/>
      <c r="V1116" s="141"/>
      <c r="W1116" s="139" t="str">
        <f t="shared" si="2255"/>
        <v/>
      </c>
      <c r="X1116" s="140"/>
      <c r="Y1116" s="140"/>
      <c r="Z1116" s="141"/>
      <c r="AA1116" s="139" t="str">
        <f t="shared" si="2256"/>
        <v/>
      </c>
      <c r="AB1116" s="140"/>
      <c r="AC1116" s="140"/>
      <c r="AD1116" s="141"/>
      <c r="AE1116" s="142">
        <f t="shared" si="2257"/>
        <v>0</v>
      </c>
      <c r="AF1116" s="143">
        <f t="shared" si="2162"/>
        <v>0</v>
      </c>
      <c r="AG1116" s="144">
        <f t="shared" si="2258"/>
        <v>0</v>
      </c>
      <c r="AH1116" s="76" t="str">
        <f t="shared" si="2259"/>
        <v/>
      </c>
      <c r="AI1116" s="143">
        <f> ( IF(ISNUMBER(G1116), VLOOKUP(G1116/$AH1116,F!$A1:$B101,2,1)*G1116*$H1116*$I1116,0)+IF(ISNUMBER(K1116), VLOOKUP(K1116/$AH1116,F!$A1:$B101,2,1)*K1116*$L1116*$M1116,0)+IF(ISNUMBER(O1116), VLOOKUP(O1116/$AH1116,F!$A1:$B101,2,1)*O1116*$P1116*$Q1116,0)+IF(ISNUMBER(S1116), VLOOKUP(S1116/$AH1116,F!$A1:$B101,2,1)*S1116*$T1116*$U1116,0)+IF(ISNUMBER(W1116), VLOOKUP(W1116/$AH1116,F!$A1:$B101,2,1)*W1116*$X1116*$Y1116,0)+IF(ISNUMBER(AA1116), VLOOKUP(AA1116/$AH1116,F!$A1:$B101,2,1)*AA1116*$AB1116*$AC1116,0))*IF(ISNUMBER(F1116),F1116,1)*IF(ISNUMBER(E1116),E1116,1)</f>
        <v>0</v>
      </c>
      <c r="AJ1116" s="140">
        <f t="shared" si="2260"/>
        <v>0</v>
      </c>
      <c r="AK1116" s="145">
        <f t="array" ref="AK1116">IFERROR(I1116*INDEX(F!$P$21:$AB$33, MATCH(G1116/$AH1116, F!$O$21:$O$33,1), MATCH(E1116, F!$P$20:$AB$20,1)), 0 ) +IFERROR( M1116*INDEX(F!$P$21:$AB$33, MATCH(K1116/$AH1116, F!$O$21:$O$33,1), MATCH(E1116, F!$P$20:$AB$20,1)),0) +  IFERROR( Q1116*INDEX(F!$P$21:$AB$33, MATCH(O1116/$AH1116, F!$O$21:$O$33,1), MATCH(E1116, F!$P$20:$AB$20,1)), 0) + IFERROR( U1116*INDEX(F!$P$21:$AB$33, MATCH(S1116/$AH1116, F!$O$21:$O$33,1), MATCH(E1116, F!$P$20:$AB$20,1)),0)  + IFERROR(Y1116*INDEX(F!$P$21:$AB$33, MATCH(W1116/$AH1116, F!$O$21:$O$33,1), MATCH(E1116, F!$P$20:$AB$20,1)),0)  + IFERROR( AC1116*INDEX(F!$P$21:$AB$33, MATCH(AA1116/$AH1116, F!$O$21:$O$33,1), MATCH(E1116, F!$P$20:$AB$20,1)),)</f>
        <v>0</v>
      </c>
      <c r="AL1116" s="59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</row>
    <row r="1117" ht="15.75" hidden="1" customHeight="1">
      <c r="A1117" s="59"/>
      <c r="B1117" s="173" t="str">
        <f t="shared" ref="B1117:F1117" si="2263">IF(B1061="","",B1061)</f>
        <v/>
      </c>
      <c r="C1117" s="174" t="str">
        <f t="shared" si="2263"/>
        <v/>
      </c>
      <c r="D1117" s="175" t="str">
        <f t="shared" si="2263"/>
        <v/>
      </c>
      <c r="E1117" s="48" t="str">
        <f t="shared" si="2263"/>
        <v/>
      </c>
      <c r="F1117" s="176" t="str">
        <f t="shared" si="2263"/>
        <v/>
      </c>
      <c r="G1117" s="177" t="str">
        <f t="shared" si="2251"/>
        <v/>
      </c>
      <c r="H1117" s="178"/>
      <c r="I1117" s="178"/>
      <c r="J1117" s="179"/>
      <c r="K1117" s="177" t="str">
        <f t="shared" si="2252"/>
        <v/>
      </c>
      <c r="L1117" s="178"/>
      <c r="M1117" s="178"/>
      <c r="N1117" s="179"/>
      <c r="O1117" s="177" t="str">
        <f t="shared" si="2253"/>
        <v/>
      </c>
      <c r="P1117" s="178"/>
      <c r="Q1117" s="178"/>
      <c r="R1117" s="179"/>
      <c r="S1117" s="177" t="str">
        <f t="shared" si="2254"/>
        <v/>
      </c>
      <c r="T1117" s="178"/>
      <c r="U1117" s="178"/>
      <c r="V1117" s="179"/>
      <c r="W1117" s="177" t="str">
        <f t="shared" si="2255"/>
        <v/>
      </c>
      <c r="X1117" s="178"/>
      <c r="Y1117" s="178"/>
      <c r="Z1117" s="179"/>
      <c r="AA1117" s="177" t="str">
        <f t="shared" si="2256"/>
        <v/>
      </c>
      <c r="AB1117" s="178"/>
      <c r="AC1117" s="178"/>
      <c r="AD1117" s="179"/>
      <c r="AE1117" s="180">
        <f t="shared" si="2257"/>
        <v>0</v>
      </c>
      <c r="AF1117" s="181">
        <f t="shared" si="2162"/>
        <v>0</v>
      </c>
      <c r="AG1117" s="182">
        <f t="shared" si="2258"/>
        <v>0</v>
      </c>
      <c r="AH1117" s="76" t="str">
        <f t="shared" si="2259"/>
        <v/>
      </c>
      <c r="AI1117" s="181">
        <f> ( IF(ISNUMBER(G1117), VLOOKUP(G1117/$AH1117,F!$A1:$B101,2,1)*G1117*$H1117*$I1117,0)+IF(ISNUMBER(K1117), VLOOKUP(K1117/$AH1117,F!$A1:$B101,2,1)*K1117*$L1117*$M1117,0)+IF(ISNUMBER(O1117), VLOOKUP(O1117/$AH1117,F!$A1:$B101,2,1)*O1117*$P1117*$Q1117,0)+IF(ISNUMBER(S1117), VLOOKUP(S1117/$AH1117,F!$A1:$B101,2,1)*S1117*$T1117*$U1117,0)+IF(ISNUMBER(W1117), VLOOKUP(W1117/$AH1117,F!$A1:$B101,2,1)*W1117*$X1117*$Y1117,0)+IF(ISNUMBER(AA1117), VLOOKUP(AA1117/$AH1117,F!$A1:$B101,2,1)*AA1117*$AB1117*$AC1117,0))*IF(ISNUMBER(F1117),F1117,1)*IF(ISNUMBER(E1117),E1117,1)</f>
        <v>0</v>
      </c>
      <c r="AJ1117" s="178">
        <f t="shared" si="2260"/>
        <v>0</v>
      </c>
      <c r="AK1117" s="183">
        <f t="array" ref="AK1117">IFERROR(I1117*INDEX(F!$P$21:$AB$33, MATCH(G1117/$AH1117, F!$O$21:$O$33,1), MATCH(E1117, F!$P$20:$AB$20,1)), 0 ) +IFERROR( M1117*INDEX(F!$P$21:$AB$33, MATCH(K1117/$AH1117, F!$O$21:$O$33,1), MATCH(E1117, F!$P$20:$AB$20,1)),0) +  IFERROR( Q1117*INDEX(F!$P$21:$AB$33, MATCH(O1117/$AH1117, F!$O$21:$O$33,1), MATCH(E1117, F!$P$20:$AB$20,1)), 0) + IFERROR( U1117*INDEX(F!$P$21:$AB$33, MATCH(S1117/$AH1117, F!$O$21:$O$33,1), MATCH(E1117, F!$P$20:$AB$20,1)),0)  + IFERROR(Y1117*INDEX(F!$P$21:$AB$33, MATCH(W1117/$AH1117, F!$O$21:$O$33,1), MATCH(E1117, F!$P$20:$AB$20,1)),0)  + IFERROR( AC1117*INDEX(F!$P$21:$AB$33, MATCH(AA1117/$AH1117, F!$O$21:$O$33,1), MATCH(E1117, F!$P$20:$AB$20,1)),)</f>
        <v>0</v>
      </c>
      <c r="AL1117" s="59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</row>
    <row r="1118" ht="15.75" hidden="1" customHeight="1">
      <c r="A1118" s="59"/>
      <c r="B1118" s="135" t="str">
        <f t="shared" ref="B1118:F1118" si="2264">IF(B1062="","",B1062)</f>
        <v/>
      </c>
      <c r="C1118" s="136" t="str">
        <f t="shared" si="2264"/>
        <v/>
      </c>
      <c r="D1118" s="137" t="str">
        <f t="shared" si="2264"/>
        <v/>
      </c>
      <c r="E1118" s="48" t="str">
        <f t="shared" si="2264"/>
        <v/>
      </c>
      <c r="F1118" s="138" t="str">
        <f t="shared" si="2264"/>
        <v/>
      </c>
      <c r="G1118" s="139" t="str">
        <f t="shared" si="2251"/>
        <v/>
      </c>
      <c r="H1118" s="140"/>
      <c r="I1118" s="140"/>
      <c r="J1118" s="141"/>
      <c r="K1118" s="139" t="str">
        <f t="shared" si="2252"/>
        <v/>
      </c>
      <c r="L1118" s="140"/>
      <c r="M1118" s="140"/>
      <c r="N1118" s="141"/>
      <c r="O1118" s="139" t="str">
        <f t="shared" si="2253"/>
        <v/>
      </c>
      <c r="P1118" s="140"/>
      <c r="Q1118" s="140"/>
      <c r="R1118" s="141"/>
      <c r="S1118" s="139" t="str">
        <f t="shared" si="2254"/>
        <v/>
      </c>
      <c r="T1118" s="140"/>
      <c r="U1118" s="140"/>
      <c r="V1118" s="141"/>
      <c r="W1118" s="139" t="str">
        <f t="shared" si="2255"/>
        <v/>
      </c>
      <c r="X1118" s="140"/>
      <c r="Y1118" s="140"/>
      <c r="Z1118" s="141"/>
      <c r="AA1118" s="139" t="str">
        <f t="shared" si="2256"/>
        <v/>
      </c>
      <c r="AB1118" s="140"/>
      <c r="AC1118" s="140"/>
      <c r="AD1118" s="141"/>
      <c r="AE1118" s="142">
        <f t="shared" si="2257"/>
        <v>0</v>
      </c>
      <c r="AF1118" s="143">
        <f t="shared" si="2162"/>
        <v>0</v>
      </c>
      <c r="AG1118" s="144">
        <f t="shared" si="2258"/>
        <v>0</v>
      </c>
      <c r="AH1118" s="76" t="str">
        <f t="shared" si="2259"/>
        <v/>
      </c>
      <c r="AI1118" s="143">
        <f> ( IF(ISNUMBER(G1118), VLOOKUP(G1118/$AH1118,F!$A1:$B101,2,1)*G1118*$H1118*$I1118,0)+IF(ISNUMBER(K1118), VLOOKUP(K1118/$AH1118,F!$A1:$B101,2,1)*K1118*$L1118*$M1118,0)+IF(ISNUMBER(O1118), VLOOKUP(O1118/$AH1118,F!$A1:$B101,2,1)*O1118*$P1118*$Q1118,0)+IF(ISNUMBER(S1118), VLOOKUP(S1118/$AH1118,F!$A1:$B101,2,1)*S1118*$T1118*$U1118,0)+IF(ISNUMBER(W1118), VLOOKUP(W1118/$AH1118,F!$A1:$B101,2,1)*W1118*$X1118*$Y1118,0)+IF(ISNUMBER(AA1118), VLOOKUP(AA1118/$AH1118,F!$A1:$B101,2,1)*AA1118*$AB1118*$AC1118,0))*IF(ISNUMBER(F1118),F1118,1)*IF(ISNUMBER(E1118),E1118,1)</f>
        <v>0</v>
      </c>
      <c r="AJ1118" s="140">
        <f t="shared" si="2260"/>
        <v>0</v>
      </c>
      <c r="AK1118" s="145">
        <f t="array" ref="AK1118">IFERROR(I1118*INDEX(F!$P$21:$AB$33, MATCH(G1118/$AH1118, F!$O$21:$O$33,1), MATCH(E1118, F!$P$20:$AB$20,1)), 0 ) +IFERROR( M1118*INDEX(F!$P$21:$AB$33, MATCH(K1118/$AH1118, F!$O$21:$O$33,1), MATCH(E1118, F!$P$20:$AB$20,1)),0) +  IFERROR( Q1118*INDEX(F!$P$21:$AB$33, MATCH(O1118/$AH1118, F!$O$21:$O$33,1), MATCH(E1118, F!$P$20:$AB$20,1)), 0) + IFERROR( U1118*INDEX(F!$P$21:$AB$33, MATCH(S1118/$AH1118, F!$O$21:$O$33,1), MATCH(E1118, F!$P$20:$AB$20,1)),0)  + IFERROR(Y1118*INDEX(F!$P$21:$AB$33, MATCH(W1118/$AH1118, F!$O$21:$O$33,1), MATCH(E1118, F!$P$20:$AB$20,1)),0)  + IFERROR( AC1118*INDEX(F!$P$21:$AB$33, MATCH(AA1118/$AH1118, F!$O$21:$O$33,1), MATCH(E1118, F!$P$20:$AB$20,1)),)</f>
        <v>0</v>
      </c>
      <c r="AL1118" s="59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</row>
    <row r="1119" ht="15.75" hidden="1" customHeight="1">
      <c r="A1119" s="59"/>
      <c r="B1119" s="173" t="str">
        <f t="shared" ref="B1119:F1119" si="2265">IF(B1063="","",B1063)</f>
        <v/>
      </c>
      <c r="C1119" s="174" t="str">
        <f t="shared" si="2265"/>
        <v/>
      </c>
      <c r="D1119" s="175" t="str">
        <f t="shared" si="2265"/>
        <v/>
      </c>
      <c r="E1119" s="48" t="str">
        <f t="shared" si="2265"/>
        <v/>
      </c>
      <c r="F1119" s="176" t="str">
        <f t="shared" si="2265"/>
        <v/>
      </c>
      <c r="G1119" s="177" t="str">
        <f t="shared" si="2251"/>
        <v/>
      </c>
      <c r="H1119" s="178"/>
      <c r="I1119" s="178"/>
      <c r="J1119" s="179"/>
      <c r="K1119" s="177" t="str">
        <f t="shared" si="2252"/>
        <v/>
      </c>
      <c r="L1119" s="178"/>
      <c r="M1119" s="178"/>
      <c r="N1119" s="179"/>
      <c r="O1119" s="177" t="str">
        <f t="shared" si="2253"/>
        <v/>
      </c>
      <c r="P1119" s="178"/>
      <c r="Q1119" s="178"/>
      <c r="R1119" s="179"/>
      <c r="S1119" s="177" t="str">
        <f t="shared" si="2254"/>
        <v/>
      </c>
      <c r="T1119" s="178"/>
      <c r="U1119" s="178"/>
      <c r="V1119" s="179"/>
      <c r="W1119" s="177" t="str">
        <f t="shared" si="2255"/>
        <v/>
      </c>
      <c r="X1119" s="178"/>
      <c r="Y1119" s="178"/>
      <c r="Z1119" s="179"/>
      <c r="AA1119" s="177" t="str">
        <f t="shared" si="2256"/>
        <v/>
      </c>
      <c r="AB1119" s="178"/>
      <c r="AC1119" s="178"/>
      <c r="AD1119" s="179"/>
      <c r="AE1119" s="180">
        <f t="shared" si="2257"/>
        <v>0</v>
      </c>
      <c r="AF1119" s="181">
        <f t="shared" si="2162"/>
        <v>0</v>
      </c>
      <c r="AG1119" s="182">
        <f t="shared" si="2258"/>
        <v>0</v>
      </c>
      <c r="AH1119" s="76" t="str">
        <f t="shared" si="2259"/>
        <v/>
      </c>
      <c r="AI1119" s="181">
        <f> ( IF(ISNUMBER(G1119), VLOOKUP(G1119/$AH1119,F!$A1:$B101,2,1)*G1119*$H1119*$I1119,0)+IF(ISNUMBER(K1119), VLOOKUP(K1119/$AH1119,F!$A1:$B101,2,1)*K1119*$L1119*$M1119,0)+IF(ISNUMBER(O1119), VLOOKUP(O1119/$AH1119,F!$A1:$B101,2,1)*O1119*$P1119*$Q1119,0)+IF(ISNUMBER(S1119), VLOOKUP(S1119/$AH1119,F!$A1:$B101,2,1)*S1119*$T1119*$U1119,0)+IF(ISNUMBER(W1119), VLOOKUP(W1119/$AH1119,F!$A1:$B101,2,1)*W1119*$X1119*$Y1119,0)+IF(ISNUMBER(AA1119), VLOOKUP(AA1119/$AH1119,F!$A1:$B101,2,1)*AA1119*$AB1119*$AC1119,0))*IF(ISNUMBER(F1119),F1119,1)*IF(ISNUMBER(E1119),E1119,1)</f>
        <v>0</v>
      </c>
      <c r="AJ1119" s="178">
        <f t="shared" si="2260"/>
        <v>0</v>
      </c>
      <c r="AK1119" s="183">
        <f t="array" ref="AK1119">IFERROR(I1119*INDEX(F!$P$21:$AB$33, MATCH(G1119/$AH1119, F!$O$21:$O$33,1), MATCH(E1119, F!$P$20:$AB$20,1)), 0 ) +IFERROR( M1119*INDEX(F!$P$21:$AB$33, MATCH(K1119/$AH1119, F!$O$21:$O$33,1), MATCH(E1119, F!$P$20:$AB$20,1)),0) +  IFERROR( Q1119*INDEX(F!$P$21:$AB$33, MATCH(O1119/$AH1119, F!$O$21:$O$33,1), MATCH(E1119, F!$P$20:$AB$20,1)), 0) + IFERROR( U1119*INDEX(F!$P$21:$AB$33, MATCH(S1119/$AH1119, F!$O$21:$O$33,1), MATCH(E1119, F!$P$20:$AB$20,1)),0)  + IFERROR(Y1119*INDEX(F!$P$21:$AB$33, MATCH(W1119/$AH1119, F!$O$21:$O$33,1), MATCH(E1119, F!$P$20:$AB$20,1)),0)  + IFERROR( AC1119*INDEX(F!$P$21:$AB$33, MATCH(AA1119/$AH1119, F!$O$21:$O$33,1), MATCH(E1119, F!$P$20:$AB$20,1)),)</f>
        <v>0</v>
      </c>
      <c r="AL1119" s="59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</row>
    <row r="1120" ht="15.75" hidden="1" customHeight="1">
      <c r="A1120" s="59"/>
      <c r="B1120" s="135" t="str">
        <f t="shared" ref="B1120:F1120" si="2266">IF(B1064="","",B1064)</f>
        <v/>
      </c>
      <c r="C1120" s="136" t="str">
        <f t="shared" si="2266"/>
        <v/>
      </c>
      <c r="D1120" s="137" t="str">
        <f t="shared" si="2266"/>
        <v/>
      </c>
      <c r="E1120" s="48" t="str">
        <f t="shared" si="2266"/>
        <v/>
      </c>
      <c r="F1120" s="138" t="str">
        <f t="shared" si="2266"/>
        <v/>
      </c>
      <c r="G1120" s="139" t="str">
        <f t="shared" si="2251"/>
        <v/>
      </c>
      <c r="H1120" s="140"/>
      <c r="I1120" s="140"/>
      <c r="J1120" s="141"/>
      <c r="K1120" s="139" t="str">
        <f t="shared" si="2252"/>
        <v/>
      </c>
      <c r="L1120" s="140"/>
      <c r="M1120" s="140"/>
      <c r="N1120" s="141"/>
      <c r="O1120" s="139" t="str">
        <f t="shared" si="2253"/>
        <v/>
      </c>
      <c r="P1120" s="140"/>
      <c r="Q1120" s="140"/>
      <c r="R1120" s="141"/>
      <c r="S1120" s="139" t="str">
        <f t="shared" si="2254"/>
        <v/>
      </c>
      <c r="T1120" s="140"/>
      <c r="U1120" s="140"/>
      <c r="V1120" s="141"/>
      <c r="W1120" s="139" t="str">
        <f t="shared" si="2255"/>
        <v/>
      </c>
      <c r="X1120" s="140"/>
      <c r="Y1120" s="140"/>
      <c r="Z1120" s="141"/>
      <c r="AA1120" s="139" t="str">
        <f t="shared" si="2256"/>
        <v/>
      </c>
      <c r="AB1120" s="140"/>
      <c r="AC1120" s="140"/>
      <c r="AD1120" s="141"/>
      <c r="AE1120" s="142">
        <f t="shared" si="2257"/>
        <v>0</v>
      </c>
      <c r="AF1120" s="143">
        <f t="shared" si="2162"/>
        <v>0</v>
      </c>
      <c r="AG1120" s="144">
        <f t="shared" si="2258"/>
        <v>0</v>
      </c>
      <c r="AH1120" s="76" t="str">
        <f t="shared" si="2259"/>
        <v/>
      </c>
      <c r="AI1120" s="143">
        <f> ( IF(ISNUMBER(G1120), VLOOKUP(G1120/$AH1120,F!$A1:$B101,2,1)*G1120*$H1120*$I1120,0)+IF(ISNUMBER(K1120), VLOOKUP(K1120/$AH1120,F!$A1:$B101,2,1)*K1120*$L1120*$M1120,0)+IF(ISNUMBER(O1120), VLOOKUP(O1120/$AH1120,F!$A1:$B101,2,1)*O1120*$P1120*$Q1120,0)+IF(ISNUMBER(S1120), VLOOKUP(S1120/$AH1120,F!$A1:$B101,2,1)*S1120*$T1120*$U1120,0)+IF(ISNUMBER(W1120), VLOOKUP(W1120/$AH1120,F!$A1:$B101,2,1)*W1120*$X1120*$Y1120,0)+IF(ISNUMBER(AA1120), VLOOKUP(AA1120/$AH1120,F!$A1:$B101,2,1)*AA1120*$AB1120*$AC1120,0))*IF(ISNUMBER(F1120),F1120,1)*IF(ISNUMBER(E1120),E1120,1)</f>
        <v>0</v>
      </c>
      <c r="AJ1120" s="140">
        <f t="shared" si="2260"/>
        <v>0</v>
      </c>
      <c r="AK1120" s="145">
        <f t="array" ref="AK1120">IFERROR(I1120*INDEX(F!$P$21:$AB$33, MATCH(G1120/$AH1120, F!$O$21:$O$33,1), MATCH(E1120, F!$P$20:$AB$20,1)), 0 ) +IFERROR( M1120*INDEX(F!$P$21:$AB$33, MATCH(K1120/$AH1120, F!$O$21:$O$33,1), MATCH(E1120, F!$P$20:$AB$20,1)),0) +  IFERROR( Q1120*INDEX(F!$P$21:$AB$33, MATCH(O1120/$AH1120, F!$O$21:$O$33,1), MATCH(E1120, F!$P$20:$AB$20,1)), 0) + IFERROR( U1120*INDEX(F!$P$21:$AB$33, MATCH(S1120/$AH1120, F!$O$21:$O$33,1), MATCH(E1120, F!$P$20:$AB$20,1)),0)  + IFERROR(Y1120*INDEX(F!$P$21:$AB$33, MATCH(W1120/$AH1120, F!$O$21:$O$33,1), MATCH(E1120, F!$P$20:$AB$20,1)),0)  + IFERROR( AC1120*INDEX(F!$P$21:$AB$33, MATCH(AA1120/$AH1120, F!$O$21:$O$33,1), MATCH(E1120, F!$P$20:$AB$20,1)),)</f>
        <v>0</v>
      </c>
      <c r="AL1120" s="59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</row>
    <row r="1121" ht="15.75" hidden="1" customHeight="1">
      <c r="A1121" s="98"/>
      <c r="B1121" s="188"/>
      <c r="C1121" s="189"/>
      <c r="D1121" s="190"/>
      <c r="E1121" s="102">
        <f>ROUND(IFERROR(SUMPRODUCT(AJ1113:AJ1120,E1113:E1120)/AJ1121,0),3)</f>
        <v>0</v>
      </c>
      <c r="F1121" s="191"/>
      <c r="G1121" s="201"/>
      <c r="H1121" s="193"/>
      <c r="I1121" s="193"/>
      <c r="J1121" s="194"/>
      <c r="K1121" s="201"/>
      <c r="L1121" s="193"/>
      <c r="M1121" s="193"/>
      <c r="N1121" s="194"/>
      <c r="O1121" s="201"/>
      <c r="P1121" s="193"/>
      <c r="Q1121" s="193"/>
      <c r="R1121" s="194"/>
      <c r="S1121" s="201"/>
      <c r="T1121" s="193"/>
      <c r="U1121" s="193"/>
      <c r="V1121" s="194"/>
      <c r="W1121" s="201"/>
      <c r="X1121" s="193"/>
      <c r="Y1121" s="193"/>
      <c r="Z1121" s="194"/>
      <c r="AA1121" s="201"/>
      <c r="AB1121" s="193"/>
      <c r="AC1121" s="193"/>
      <c r="AD1121" s="194"/>
      <c r="AE1121" s="107">
        <f>SUM(AE1113:AE1120)</f>
        <v>0</v>
      </c>
      <c r="AF1121" s="108">
        <f t="shared" si="2162"/>
        <v>0</v>
      </c>
      <c r="AG1121" s="109">
        <f>IFERROR(  SUMPRODUCT(AG1113:AG1120,AJ1113:AJ1120)/AJ1121,0)</f>
        <v>0</v>
      </c>
      <c r="AH1121" s="157"/>
      <c r="AI1121" s="111">
        <f t="shared" ref="AI1121:AJ1121" si="2267">SUM(AI1113:AI1120)</f>
        <v>0</v>
      </c>
      <c r="AJ1121" s="111">
        <f t="shared" si="2267"/>
        <v>0</v>
      </c>
      <c r="AK1121" s="112">
        <f>IF(SUM(AK1113:AK1120)=0,TIME(,0,),TIME(,SUM(AK1113:AK1120)+F!$V$37,))</f>
        <v>0</v>
      </c>
      <c r="AL1121" s="98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</row>
    <row r="1122" ht="15.75" hidden="1" customHeight="1">
      <c r="A1122" s="5">
        <f>A1066</f>
        <v>7</v>
      </c>
      <c r="B1122" s="6"/>
      <c r="C1122" s="6"/>
      <c r="D1122" s="6"/>
      <c r="E1122" s="7">
        <f>IF(AJ1122=0,0,(E1132*AJ1132 + E1141*AJ1141 + E1150*AJ1150 + E1159*AJ1159 + E1168*AJ1168 + E1177*AJ1177   ) /AJ1122 )</f>
        <v>0</v>
      </c>
      <c r="F1122" s="8" t="s">
        <v>0</v>
      </c>
      <c r="G1122" s="9"/>
      <c r="H1122" s="9"/>
      <c r="I1122" s="9"/>
      <c r="J1122" s="9"/>
      <c r="K1122" s="9"/>
      <c r="L1122" s="9"/>
      <c r="M1122" s="10"/>
      <c r="N1122" s="228">
        <f>N1066+1</f>
        <v>21</v>
      </c>
      <c r="O1122" s="222"/>
      <c r="P1122" s="222"/>
      <c r="Q1122" s="222"/>
      <c r="R1122" s="222"/>
      <c r="S1122" s="222"/>
      <c r="T1122" s="222"/>
      <c r="U1122" s="222"/>
      <c r="V1122" s="222"/>
      <c r="W1122" s="222"/>
      <c r="X1122" s="222"/>
      <c r="Y1122" s="222"/>
      <c r="Z1122" s="222"/>
      <c r="AA1122" s="222"/>
      <c r="AB1122" s="222"/>
      <c r="AC1122" s="222"/>
      <c r="AD1122" s="223"/>
      <c r="AE1122" s="5">
        <f>AE1132+AE1141+AE1150+AE1159+AE1168+AE1177</f>
        <v>0</v>
      </c>
      <c r="AF1122" s="229">
        <f t="shared" si="2162"/>
        <v>0</v>
      </c>
      <c r="AG1122" s="230">
        <f>IF(AJ1122=0,0,(AG1132*AJ1132 + AG1141*AJ1141 + AG1150*AJ1150 + AG1159*AJ1159 + AG1168*AJ1168 + AG1177*AJ1177   ) /AJ1122 )</f>
        <v>0</v>
      </c>
      <c r="AH1122" s="210">
        <f>AH1066</f>
        <v>0.02</v>
      </c>
      <c r="AI1122" s="5">
        <f t="shared" ref="AI1122:AK1122" si="2268">AI1132+AI1141+AI1150+AI1159+AI1168+AI1177</f>
        <v>0</v>
      </c>
      <c r="AJ1122" s="5">
        <f t="shared" si="2268"/>
        <v>0</v>
      </c>
      <c r="AK1122" s="231">
        <f t="shared" si="2268"/>
        <v>0</v>
      </c>
      <c r="AL1122" s="218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</row>
    <row r="1123" ht="15.75" hidden="1" customHeight="1">
      <c r="A1123" s="19" t="s">
        <v>1</v>
      </c>
      <c r="B1123" s="20" t="s">
        <v>2</v>
      </c>
      <c r="C1123" s="20" t="s">
        <v>3</v>
      </c>
      <c r="D1123" s="20" t="s">
        <v>4</v>
      </c>
      <c r="E1123" s="20" t="s">
        <v>5</v>
      </c>
      <c r="F1123" s="20" t="s">
        <v>6</v>
      </c>
      <c r="G1123" s="20" t="s">
        <v>7</v>
      </c>
      <c r="H1123" s="20" t="s">
        <v>8</v>
      </c>
      <c r="I1123" s="20" t="s">
        <v>9</v>
      </c>
      <c r="J1123" s="20" t="s">
        <v>10</v>
      </c>
      <c r="K1123" s="20" t="s">
        <v>7</v>
      </c>
      <c r="L1123" s="20" t="s">
        <v>8</v>
      </c>
      <c r="M1123" s="20" t="s">
        <v>9</v>
      </c>
      <c r="N1123" s="20" t="s">
        <v>10</v>
      </c>
      <c r="O1123" s="20" t="s">
        <v>7</v>
      </c>
      <c r="P1123" s="20" t="s">
        <v>8</v>
      </c>
      <c r="Q1123" s="20" t="s">
        <v>9</v>
      </c>
      <c r="R1123" s="20" t="s">
        <v>10</v>
      </c>
      <c r="S1123" s="20" t="s">
        <v>7</v>
      </c>
      <c r="T1123" s="20" t="s">
        <v>8</v>
      </c>
      <c r="U1123" s="20" t="s">
        <v>9</v>
      </c>
      <c r="V1123" s="20" t="s">
        <v>10</v>
      </c>
      <c r="W1123" s="20" t="s">
        <v>7</v>
      </c>
      <c r="X1123" s="20" t="s">
        <v>8</v>
      </c>
      <c r="Y1123" s="20" t="s">
        <v>9</v>
      </c>
      <c r="Z1123" s="20" t="s">
        <v>10</v>
      </c>
      <c r="AA1123" s="20" t="s">
        <v>7</v>
      </c>
      <c r="AB1123" s="20" t="s">
        <v>8</v>
      </c>
      <c r="AC1123" s="20" t="s">
        <v>9</v>
      </c>
      <c r="AD1123" s="21" t="s">
        <v>10</v>
      </c>
      <c r="AE1123" s="20" t="s">
        <v>11</v>
      </c>
      <c r="AF1123" s="20" t="s">
        <v>12</v>
      </c>
      <c r="AG1123" s="20" t="s">
        <v>13</v>
      </c>
      <c r="AH1123" s="213" t="s">
        <v>14</v>
      </c>
      <c r="AI1123" s="23" t="s">
        <v>15</v>
      </c>
      <c r="AJ1123" s="20" t="s">
        <v>16</v>
      </c>
      <c r="AK1123" s="21" t="s">
        <v>17</v>
      </c>
      <c r="AL1123" s="214" t="s">
        <v>18</v>
      </c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</row>
    <row r="1124" ht="15.75" hidden="1" customHeight="1">
      <c r="A1124" s="25">
        <f>A1125</f>
        <v>43920</v>
      </c>
      <c r="B1124" s="26" t="str">
        <f t="shared" ref="B1124:F1124" si="2269">IF(B1068="","",B1068)</f>
        <v>Средняя</v>
      </c>
      <c r="C1124" s="27" t="str">
        <f t="shared" si="2269"/>
        <v>ПР</v>
      </c>
      <c r="D1124" s="28" t="str">
        <f t="shared" si="2269"/>
        <v>Присед</v>
      </c>
      <c r="E1124" s="29">
        <f t="shared" si="2269"/>
        <v>1.2</v>
      </c>
      <c r="F1124" s="30" t="str">
        <f t="shared" si="2269"/>
        <v/>
      </c>
      <c r="G1124" s="31" t="str">
        <f t="shared" ref="G1124:G1131" si="2271">IF(J1124&lt;&gt;0, IFERROR(IF( $F1124=2,  MROUND($AH1124*J1124,1),    IF( OR($F1124="",$F1124=1),   MROUND($AH1124*J1124,2.5),  MROUND($AH1124*J1124, 0.1))), "" ), "")</f>
        <v/>
      </c>
      <c r="H1124" s="32"/>
      <c r="I1124" s="32"/>
      <c r="J1124" s="33"/>
      <c r="K1124" s="31" t="str">
        <f t="shared" ref="K1124:K1131" si="2272">IF(N1124&lt;&gt;0, IFERROR(IF( $F1124=2,  MROUND($AH1124*N1124,1),    IF( OR($F1124="",$F1124=1),   MROUND($AH1124*N1124,2.5),  MROUND($AH1124*N1124, 0.1))), "" ), "")</f>
        <v/>
      </c>
      <c r="L1124" s="32"/>
      <c r="M1124" s="32"/>
      <c r="N1124" s="33"/>
      <c r="O1124" s="31" t="str">
        <f t="shared" ref="O1124:O1131" si="2273">IF(R1124&lt;&gt;0, IFERROR(IF( $F1124=2,  MROUND($AH1124*R1124,1),    IF( OR($F1124="",$F1124=1),   MROUND($AH1124*R1124,2.5),  MROUND($AH1124*R1124, 0.1))), "" ), "")</f>
        <v/>
      </c>
      <c r="P1124" s="32"/>
      <c r="Q1124" s="32"/>
      <c r="R1124" s="33"/>
      <c r="S1124" s="31" t="str">
        <f t="shared" ref="S1124:S1131" si="2274">IF(V1124&lt;&gt;0, IFERROR(IF( $F1124=2,  MROUND($AH1124*V1124,1),    IF( OR($F1124="",$F1124=1),   MROUND($AH1124*V1124,2.5),  MROUND($AH1124*V1124, 0.1))), "" ), "")</f>
        <v/>
      </c>
      <c r="T1124" s="32"/>
      <c r="U1124" s="32"/>
      <c r="V1124" s="33"/>
      <c r="W1124" s="31" t="str">
        <f t="shared" ref="W1124:W1131" si="2275">IF(Z1124&lt;&gt;0, IFERROR(IF( $F1124=2,  MROUND($AH1124*Z1124,1),    IF( OR($F1124="",$F1124=1),   MROUND($AH1124*Z1124,2.5),  MROUND($AH1124*Z1124, 0.1))), "" ), "")</f>
        <v/>
      </c>
      <c r="X1124" s="32"/>
      <c r="Y1124" s="32"/>
      <c r="Z1124" s="33"/>
      <c r="AA1124" s="31" t="str">
        <f t="shared" ref="AA1124:AA1131" si="2276">IF(AD1124&lt;&gt;0, IFERROR(IF( $F1124=2,  MROUND($AH1124*AD1124,1),    IF( OR($F1124="",$F1124=1),   MROUND($AH1124*AD1124,2.5),  MROUND($AH1124*AD1124, 0.1))), "" ), "")</f>
        <v/>
      </c>
      <c r="AB1124" s="32"/>
      <c r="AC1124" s="32"/>
      <c r="AD1124" s="33"/>
      <c r="AE1124" s="35">
        <f t="shared" ref="AE1124:AE1131" si="2277">(IF(ISNUMBER(G1124),G1124,0)*H1124*I1124+IF(ISNUMBER(K1124),K1124,1)*L1124*M1124+IF(ISNUMBER(O1124),O1124,1)*P1124*Q1124+IF(ISNUMBER(S1124),S1124,1)*T1124*U1124+IF(ISNUMBER(W1124),W1124,1)*X1124*Y1124+IF(ISNUMBER(AA1124),AA1124,1)*AB1124*AC1124)*IF(ISNUMBER(F1124),F1124,1)</f>
        <v>0</v>
      </c>
      <c r="AF1124" s="36">
        <f t="shared" ref="AF1124:AF1178" si="2278">IFERROR(AE1124/AJ1124,0)</f>
        <v>0</v>
      </c>
      <c r="AG1124" s="195">
        <f t="shared" ref="AG1124:AG1131" si="2279">IFERROR((AF1124/(AH1124*IF(ISNUMBER(F1124),F1124,1))),0)</f>
        <v>0</v>
      </c>
      <c r="AH1124" s="169">
        <f t="shared" ref="AH1124:AH1131" si="2280">IF(ISNUMBER(AH1068), AH1068+(AH1068*$AH$1122),"")</f>
        <v>200.6028985</v>
      </c>
      <c r="AI1124" s="70">
        <f> ( IF(ISNUMBER(G1124), VLOOKUP(G1124/$AH1124,F!$A1:$B101,2,1)*G1124*$H1124*$I1124,0)+IF(ISNUMBER(K1124), VLOOKUP(K1124/$AH1124,F!$A1:$B101,2,1)*K1124*$L1124*$M1124,0)+IF(ISNUMBER(O1124), VLOOKUP(O1124/$AH1124,F!$A1:$B101,2,1)*O1124*$P1124*$Q1124,0)+IF(ISNUMBER(S1124), VLOOKUP(S1124/$AH1124,F!$A1:$B101,2,1)*S1124*$T1124*$U1124,0)+IF(ISNUMBER(W1124), VLOOKUP(W1124/$AH1124,F!$A1:$B101,2,1)*W1124*$X1124*$Y1124,0)+IF(ISNUMBER(AA1124), VLOOKUP(AA1124/$AH1124,F!$A1:$B101,2,1)*AA1124*$AB1124*$AC1124,0))*IF(ISNUMBER(F1124),F1124,1)*IF(ISNUMBER(E1124),E1124,1)</f>
        <v>0</v>
      </c>
      <c r="AJ1124" s="40">
        <f t="shared" ref="AJ1124:AJ1131" si="2281">H1124*I1124+L1124*M1124+P1124*Q1124+T1124*U1124+X1124*Y1124+AB1124*AC1124</f>
        <v>0</v>
      </c>
      <c r="AK1124" s="41">
        <f t="array" ref="AK1124">IFERROR(I1124*INDEX(F!$P$21:$AB$33, MATCH(G1124/$AH1124, F!$O$21:$O$33,1), MATCH(E1124, F!$P$20:$AB$20,1)), 0 ) +IFERROR( M1124*INDEX(F!$P$21:$AB$33, MATCH(K1124/$AH1124, F!$O$21:$O$33,1), MATCH(E1124, F!$P$20:$AB$20,1)),0) +  IFERROR( Q1124*INDEX(F!$P$21:$AB$33, MATCH(O1124/$AH1124, F!$O$21:$O$33,1), MATCH(E1124, F!$P$20:$AB$20,1)), 0) + IFERROR( U1124*INDEX(F!$P$21:$AB$33, MATCH(S1124/$AH1124, F!$O$21:$O$33,1), MATCH(E1124, F!$P$20:$AB$20,1)),0)  + IFERROR(Y1124*INDEX(F!$P$21:$AB$33, MATCH(W1124/$AH1124, F!$O$21:$O$33,1), MATCH(E1124, F!$P$20:$AB$20,1)),0)  + IFERROR( AC1124*INDEX(F!$P$21:$AB$33, MATCH(AA1124/$AH1124, F!$O$21:$O$33,1), MATCH(E1124, F!$P$20:$AB$20,1)),)</f>
        <v>0</v>
      </c>
      <c r="AL1124" s="42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</row>
    <row r="1125" ht="15.75" hidden="1" customHeight="1">
      <c r="A1125" s="44">
        <f>A1069+A1066</f>
        <v>43920</v>
      </c>
      <c r="B1125" s="45" t="str">
        <f t="shared" ref="B1125:F1125" si="2270">IF(B1069="","",B1069)</f>
        <v>Средняя</v>
      </c>
      <c r="C1125" s="46" t="str">
        <f t="shared" si="2270"/>
        <v>ЖМ</v>
      </c>
      <c r="D1125" s="47" t="str">
        <f t="shared" si="2270"/>
        <v>Жим лежа</v>
      </c>
      <c r="E1125" s="48">
        <f t="shared" si="2270"/>
        <v>1</v>
      </c>
      <c r="F1125" s="49" t="str">
        <f t="shared" si="2270"/>
        <v/>
      </c>
      <c r="G1125" s="50" t="str">
        <f t="shared" si="2271"/>
        <v/>
      </c>
      <c r="H1125" s="51"/>
      <c r="I1125" s="51"/>
      <c r="J1125" s="52"/>
      <c r="K1125" s="50" t="str">
        <f t="shared" si="2272"/>
        <v/>
      </c>
      <c r="L1125" s="51"/>
      <c r="M1125" s="51"/>
      <c r="N1125" s="52"/>
      <c r="O1125" s="50" t="str">
        <f t="shared" si="2273"/>
        <v/>
      </c>
      <c r="P1125" s="51"/>
      <c r="Q1125" s="51"/>
      <c r="R1125" s="52"/>
      <c r="S1125" s="50" t="str">
        <f t="shared" si="2274"/>
        <v/>
      </c>
      <c r="T1125" s="51"/>
      <c r="U1125" s="51"/>
      <c r="V1125" s="52"/>
      <c r="W1125" s="50" t="str">
        <f t="shared" si="2275"/>
        <v/>
      </c>
      <c r="X1125" s="51"/>
      <c r="Y1125" s="51"/>
      <c r="Z1125" s="52"/>
      <c r="AA1125" s="50" t="str">
        <f t="shared" si="2276"/>
        <v/>
      </c>
      <c r="AB1125" s="51"/>
      <c r="AC1125" s="51"/>
      <c r="AD1125" s="52"/>
      <c r="AE1125" s="53">
        <f t="shared" si="2277"/>
        <v>0</v>
      </c>
      <c r="AF1125" s="54">
        <f t="shared" si="2278"/>
        <v>0</v>
      </c>
      <c r="AG1125" s="75">
        <f t="shared" si="2279"/>
        <v>0</v>
      </c>
      <c r="AH1125" s="76">
        <f t="shared" si="2280"/>
        <v>141.1650026</v>
      </c>
      <c r="AI1125" s="77">
        <f> ( IF(ISNUMBER(G1125), VLOOKUP(G1125/$AH1125,F!$A1:$B101,2,1)*G1125*$H1125*$I1125,0)+IF(ISNUMBER(K1125), VLOOKUP(K1125/$AH1125,F!$A1:$B101,2,1)*K1125*$L1125*$M1125,0)+IF(ISNUMBER(O1125), VLOOKUP(O1125/$AH1125,F!$A1:$B101,2,1)*O1125*$P1125*$Q1125,0)+IF(ISNUMBER(S1125), VLOOKUP(S1125/$AH1125,F!$A1:$B101,2,1)*S1125*$T1125*$U1125,0)+IF(ISNUMBER(W1125), VLOOKUP(W1125/$AH1125,F!$A1:$B101,2,1)*W1125*$X1125*$Y1125,0)+IF(ISNUMBER(AA1125), VLOOKUP(AA1125/$AH1125,F!$A1:$B101,2,1)*AA1125*$AB1125*$AC1125,0))*IF(ISNUMBER(F1125),F1125,1)*IF(ISNUMBER(E1125),E1125,1)</f>
        <v>0</v>
      </c>
      <c r="AJ1125" s="57">
        <f t="shared" si="2281"/>
        <v>0</v>
      </c>
      <c r="AK1125" s="58">
        <f t="array" ref="AK1125">IFERROR(I1125*INDEX(F!$P$21:$AB$33, MATCH(G1125/$AH1125, F!$O$21:$O$33,1), MATCH(E1125, F!$P$20:$AB$20,1)), 0 ) +IFERROR( M1125*INDEX(F!$P$21:$AB$33, MATCH(K1125/$AH1125, F!$O$21:$O$33,1), MATCH(E1125, F!$P$20:$AB$20,1)),0) +  IFERROR( Q1125*INDEX(F!$P$21:$AB$33, MATCH(O1125/$AH1125, F!$O$21:$O$33,1), MATCH(E1125, F!$P$20:$AB$20,1)), 0) + IFERROR( U1125*INDEX(F!$P$21:$AB$33, MATCH(S1125/$AH1125, F!$O$21:$O$33,1), MATCH(E1125, F!$P$20:$AB$20,1)),0)  + IFERROR(Y1125*INDEX(F!$P$21:$AB$33, MATCH(W1125/$AH1125, F!$O$21:$O$33,1), MATCH(E1125, F!$P$20:$AB$20,1)),0)  + IFERROR( AC1125*INDEX(F!$P$21:$AB$33, MATCH(AA1125/$AH1125, F!$O$21:$O$33,1), MATCH(E1125, F!$P$20:$AB$20,1)),)</f>
        <v>0</v>
      </c>
      <c r="AL1125" s="59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</row>
    <row r="1126" ht="15.75" hidden="1" customHeight="1">
      <c r="A1126" s="59"/>
      <c r="B1126" s="60" t="str">
        <f t="shared" ref="B1126:F1126" si="2282">IF(B1070="","",B1070)</f>
        <v>Тяжелая</v>
      </c>
      <c r="C1126" s="61" t="str">
        <f t="shared" si="2282"/>
        <v>ПР</v>
      </c>
      <c r="D1126" s="62" t="str">
        <f t="shared" si="2282"/>
        <v>Присед</v>
      </c>
      <c r="E1126" s="48">
        <f t="shared" si="2282"/>
        <v>1.2</v>
      </c>
      <c r="F1126" s="63" t="str">
        <f t="shared" si="2282"/>
        <v/>
      </c>
      <c r="G1126" s="64" t="str">
        <f t="shared" si="2271"/>
        <v/>
      </c>
      <c r="H1126" s="34"/>
      <c r="I1126" s="34"/>
      <c r="J1126" s="65"/>
      <c r="K1126" s="64" t="str">
        <f t="shared" si="2272"/>
        <v/>
      </c>
      <c r="L1126" s="34"/>
      <c r="M1126" s="34"/>
      <c r="N1126" s="65"/>
      <c r="O1126" s="64" t="str">
        <f t="shared" si="2273"/>
        <v/>
      </c>
      <c r="P1126" s="34"/>
      <c r="Q1126" s="34"/>
      <c r="R1126" s="65"/>
      <c r="S1126" s="64" t="str">
        <f t="shared" si="2274"/>
        <v/>
      </c>
      <c r="T1126" s="34"/>
      <c r="U1126" s="34"/>
      <c r="V1126" s="65"/>
      <c r="W1126" s="64" t="str">
        <f t="shared" si="2275"/>
        <v/>
      </c>
      <c r="X1126" s="34"/>
      <c r="Y1126" s="34"/>
      <c r="Z1126" s="65"/>
      <c r="AA1126" s="64" t="str">
        <f t="shared" si="2276"/>
        <v/>
      </c>
      <c r="AB1126" s="34"/>
      <c r="AC1126" s="34"/>
      <c r="AD1126" s="65"/>
      <c r="AE1126" s="66">
        <f t="shared" si="2277"/>
        <v>0</v>
      </c>
      <c r="AF1126" s="67">
        <f t="shared" si="2278"/>
        <v>0</v>
      </c>
      <c r="AG1126" s="68">
        <f t="shared" si="2279"/>
        <v>0</v>
      </c>
      <c r="AH1126" s="76">
        <f t="shared" si="2280"/>
        <v>200.6028985</v>
      </c>
      <c r="AI1126" s="70">
        <f> ( IF(ISNUMBER(G1126), VLOOKUP(G1126/$AH1126,F!$A1:$B101,2,1)*G1126*$H1126*$I1126,0)+IF(ISNUMBER(K1126), VLOOKUP(K1126/$AH1126,F!$A1:$B101,2,1)*K1126*$L1126*$M1126,0)+IF(ISNUMBER(O1126), VLOOKUP(O1126/$AH1126,F!$A1:$B101,2,1)*O1126*$P1126*$Q1126,0)+IF(ISNUMBER(S1126), VLOOKUP(S1126/$AH1126,F!$A1:$B101,2,1)*S1126*$T1126*$U1126,0)+IF(ISNUMBER(W1126), VLOOKUP(W1126/$AH1126,F!$A1:$B101,2,1)*W1126*$X1126*$Y1126,0)+IF(ISNUMBER(AA1126), VLOOKUP(AA1126/$AH1126,F!$A1:$B101,2,1)*AA1126*$AB1126*$AC1126,0))*IF(ISNUMBER(F1126),F1126,1)*IF(ISNUMBER(E1126),E1126,1)</f>
        <v>0</v>
      </c>
      <c r="AJ1126" s="71">
        <f t="shared" si="2281"/>
        <v>0</v>
      </c>
      <c r="AK1126" s="72">
        <f t="array" ref="AK1126">IFERROR(I1126*INDEX(F!$P$21:$AB$33, MATCH(G1126/$AH1126, F!$O$21:$O$33,1), MATCH(E1126, F!$P$20:$AB$20,1)), 0 ) +IFERROR( M1126*INDEX(F!$P$21:$AB$33, MATCH(K1126/$AH1126, F!$O$21:$O$33,1), MATCH(E1126, F!$P$20:$AB$20,1)),0) +  IFERROR( Q1126*INDEX(F!$P$21:$AB$33, MATCH(O1126/$AH1126, F!$O$21:$O$33,1), MATCH(E1126, F!$P$20:$AB$20,1)), 0) + IFERROR( U1126*INDEX(F!$P$21:$AB$33, MATCH(S1126/$AH1126, F!$O$21:$O$33,1), MATCH(E1126, F!$P$20:$AB$20,1)),0)  + IFERROR(Y1126*INDEX(F!$P$21:$AB$33, MATCH(W1126/$AH1126, F!$O$21:$O$33,1), MATCH(E1126, F!$P$20:$AB$20,1)),0)  + IFERROR( AC1126*INDEX(F!$P$21:$AB$33, MATCH(AA1126/$AH1126, F!$O$21:$O$33,1), MATCH(E1126, F!$P$20:$AB$20,1)),)</f>
        <v>0</v>
      </c>
      <c r="AL1126" s="59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</row>
    <row r="1127" ht="15.75" hidden="1" customHeight="1">
      <c r="A1127" s="59"/>
      <c r="B1127" s="215" t="str">
        <f t="shared" ref="B1127:F1127" si="2283">IF(B1071="","",B1071)</f>
        <v>Средняя</v>
      </c>
      <c r="C1127" s="73" t="str">
        <f t="shared" si="2283"/>
        <v>ЖМ</v>
      </c>
      <c r="D1127" s="47" t="str">
        <f t="shared" si="2283"/>
        <v>Жим гантелей</v>
      </c>
      <c r="E1127" s="48">
        <f t="shared" si="2283"/>
        <v>1</v>
      </c>
      <c r="F1127" s="74">
        <f t="shared" si="2283"/>
        <v>2</v>
      </c>
      <c r="G1127" s="50" t="str">
        <f t="shared" si="2271"/>
        <v/>
      </c>
      <c r="H1127" s="51"/>
      <c r="I1127" s="51"/>
      <c r="J1127" s="52"/>
      <c r="K1127" s="50" t="str">
        <f t="shared" si="2272"/>
        <v/>
      </c>
      <c r="L1127" s="51"/>
      <c r="M1127" s="51"/>
      <c r="N1127" s="52"/>
      <c r="O1127" s="50" t="str">
        <f t="shared" si="2273"/>
        <v/>
      </c>
      <c r="P1127" s="51"/>
      <c r="Q1127" s="51"/>
      <c r="R1127" s="52"/>
      <c r="S1127" s="50" t="str">
        <f t="shared" si="2274"/>
        <v/>
      </c>
      <c r="T1127" s="51"/>
      <c r="U1127" s="51"/>
      <c r="V1127" s="52"/>
      <c r="W1127" s="50" t="str">
        <f t="shared" si="2275"/>
        <v/>
      </c>
      <c r="X1127" s="51"/>
      <c r="Y1127" s="51"/>
      <c r="Z1127" s="52"/>
      <c r="AA1127" s="50" t="str">
        <f t="shared" si="2276"/>
        <v/>
      </c>
      <c r="AB1127" s="51"/>
      <c r="AC1127" s="51"/>
      <c r="AD1127" s="52"/>
      <c r="AE1127" s="53">
        <f t="shared" si="2277"/>
        <v>0</v>
      </c>
      <c r="AF1127" s="54">
        <f t="shared" si="2278"/>
        <v>0</v>
      </c>
      <c r="AG1127" s="75">
        <f t="shared" si="2279"/>
        <v>0</v>
      </c>
      <c r="AH1127" s="76">
        <f t="shared" si="2280"/>
        <v>45.17280084</v>
      </c>
      <c r="AI1127" s="77">
        <f> ( IF(ISNUMBER(G1127), VLOOKUP(G1127/$AH1127,F!$A1:$B101,2,1)*G1127*$H1127*$I1127,0)+IF(ISNUMBER(K1127), VLOOKUP(K1127/$AH1127,F!$A1:$B101,2,1)*K1127*$L1127*$M1127,0)+IF(ISNUMBER(O1127), VLOOKUP(O1127/$AH1127,F!$A1:$B101,2,1)*O1127*$P1127*$Q1127,0)+IF(ISNUMBER(S1127), VLOOKUP(S1127/$AH1127,F!$A1:$B101,2,1)*S1127*$T1127*$U1127,0)+IF(ISNUMBER(W1127), VLOOKUP(W1127/$AH1127,F!$A1:$B101,2,1)*W1127*$X1127*$Y1127,0)+IF(ISNUMBER(AA1127), VLOOKUP(AA1127/$AH1127,F!$A1:$B101,2,1)*AA1127*$AB1127*$AC1127,0))*IF(ISNUMBER(F1127),F1127,1)*IF(ISNUMBER(E1127),E1127,1)</f>
        <v>0</v>
      </c>
      <c r="AJ1127" s="57">
        <f t="shared" si="2281"/>
        <v>0</v>
      </c>
      <c r="AK1127" s="58">
        <f t="array" ref="AK1127">IFERROR(I1127*INDEX(F!$P$21:$AB$33, MATCH(G1127/$AH1127, F!$O$21:$O$33,1), MATCH(E1127, F!$P$20:$AB$20,1)), 0 ) +IFERROR( M1127*INDEX(F!$P$21:$AB$33, MATCH(K1127/$AH1127, F!$O$21:$O$33,1), MATCH(E1127, F!$P$20:$AB$20,1)),0) +  IFERROR( Q1127*INDEX(F!$P$21:$AB$33, MATCH(O1127/$AH1127, F!$O$21:$O$33,1), MATCH(E1127, F!$P$20:$AB$20,1)), 0) + IFERROR( U1127*INDEX(F!$P$21:$AB$33, MATCH(S1127/$AH1127, F!$O$21:$O$33,1), MATCH(E1127, F!$P$20:$AB$20,1)),0)  + IFERROR(Y1127*INDEX(F!$P$21:$AB$33, MATCH(W1127/$AH1127, F!$O$21:$O$33,1), MATCH(E1127, F!$P$20:$AB$20,1)),0)  + IFERROR( AC1127*INDEX(F!$P$21:$AB$33, MATCH(AA1127/$AH1127, F!$O$21:$O$33,1), MATCH(E1127, F!$P$20:$AB$20,1)),)</f>
        <v>0</v>
      </c>
      <c r="AL1127" s="59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</row>
    <row r="1128" ht="15.75" hidden="1" customHeight="1">
      <c r="A1128" s="59"/>
      <c r="B1128" s="216" t="str">
        <f t="shared" ref="B1128:F1128" si="2284">IF(B1072="","",B1072)</f>
        <v>Средняя</v>
      </c>
      <c r="C1128" s="78" t="str">
        <f t="shared" si="2284"/>
        <v>ОФП</v>
      </c>
      <c r="D1128" s="62" t="str">
        <f t="shared" si="2284"/>
        <v>Французский жим</v>
      </c>
      <c r="E1128" s="48">
        <f t="shared" si="2284"/>
        <v>0.4</v>
      </c>
      <c r="F1128" s="79" t="str">
        <f t="shared" si="2284"/>
        <v/>
      </c>
      <c r="G1128" s="64" t="str">
        <f t="shared" si="2271"/>
        <v/>
      </c>
      <c r="H1128" s="34"/>
      <c r="I1128" s="34"/>
      <c r="J1128" s="65"/>
      <c r="K1128" s="64" t="str">
        <f t="shared" si="2272"/>
        <v/>
      </c>
      <c r="L1128" s="34"/>
      <c r="M1128" s="34"/>
      <c r="N1128" s="65"/>
      <c r="O1128" s="64" t="str">
        <f t="shared" si="2273"/>
        <v/>
      </c>
      <c r="P1128" s="34"/>
      <c r="Q1128" s="34"/>
      <c r="R1128" s="65"/>
      <c r="S1128" s="64" t="str">
        <f t="shared" si="2274"/>
        <v/>
      </c>
      <c r="T1128" s="34"/>
      <c r="U1128" s="34"/>
      <c r="V1128" s="65"/>
      <c r="W1128" s="64" t="str">
        <f t="shared" si="2275"/>
        <v/>
      </c>
      <c r="X1128" s="34"/>
      <c r="Y1128" s="34"/>
      <c r="Z1128" s="65"/>
      <c r="AA1128" s="64" t="str">
        <f t="shared" si="2276"/>
        <v/>
      </c>
      <c r="AB1128" s="34"/>
      <c r="AC1128" s="34"/>
      <c r="AD1128" s="65"/>
      <c r="AE1128" s="66">
        <f t="shared" si="2277"/>
        <v>0</v>
      </c>
      <c r="AF1128" s="67">
        <f t="shared" si="2278"/>
        <v>0</v>
      </c>
      <c r="AG1128" s="68">
        <f t="shared" si="2279"/>
        <v>0</v>
      </c>
      <c r="AH1128" s="76">
        <f t="shared" si="2280"/>
        <v>64.9359012</v>
      </c>
      <c r="AI1128" s="70">
        <f> ( IF(ISNUMBER(G1128), VLOOKUP(G1128/$AH1128,F!$A1:$B101,2,1)*G1128*$H1128*$I1128,0)+IF(ISNUMBER(K1128), VLOOKUP(K1128/$AH1128,F!$A1:$B101,2,1)*K1128*$L1128*$M1128,0)+IF(ISNUMBER(O1128), VLOOKUP(O1128/$AH1128,F!$A1:$B101,2,1)*O1128*$P1128*$Q1128,0)+IF(ISNUMBER(S1128), VLOOKUP(S1128/$AH1128,F!$A1:$B101,2,1)*S1128*$T1128*$U1128,0)+IF(ISNUMBER(W1128), VLOOKUP(W1128/$AH1128,F!$A1:$B101,2,1)*W1128*$X1128*$Y1128,0)+IF(ISNUMBER(AA1128), VLOOKUP(AA1128/$AH1128,F!$A1:$B101,2,1)*AA1128*$AB1128*$AC1128,0))*IF(ISNUMBER(F1128),F1128,1)*IF(ISNUMBER(E1128),E1128,1)</f>
        <v>0</v>
      </c>
      <c r="AJ1128" s="71">
        <f t="shared" si="2281"/>
        <v>0</v>
      </c>
      <c r="AK1128" s="72">
        <f t="array" ref="AK1128">IFERROR(I1128*INDEX(F!$P$21:$AB$33, MATCH(G1128/$AH1128, F!$O$21:$O$33,1), MATCH(E1128, F!$P$20:$AB$20,1)), 0 ) +IFERROR( M1128*INDEX(F!$P$21:$AB$33, MATCH(K1128/$AH1128, F!$O$21:$O$33,1), MATCH(E1128, F!$P$20:$AB$20,1)),0) +  IFERROR( Q1128*INDEX(F!$P$21:$AB$33, MATCH(O1128/$AH1128, F!$O$21:$O$33,1), MATCH(E1128, F!$P$20:$AB$20,1)), 0) + IFERROR( U1128*INDEX(F!$P$21:$AB$33, MATCH(S1128/$AH1128, F!$O$21:$O$33,1), MATCH(E1128, F!$P$20:$AB$20,1)),0)  + IFERROR(Y1128*INDEX(F!$P$21:$AB$33, MATCH(W1128/$AH1128, F!$O$21:$O$33,1), MATCH(E1128, F!$P$20:$AB$20,1)),0)  + IFERROR( AC1128*INDEX(F!$P$21:$AB$33, MATCH(AA1128/$AH1128, F!$O$21:$O$33,1), MATCH(E1128, F!$P$20:$AB$20,1)),)</f>
        <v>0</v>
      </c>
      <c r="AL1128" s="59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</row>
    <row r="1129" ht="15.75" hidden="1" customHeight="1">
      <c r="A1129" s="59"/>
      <c r="B1129" s="45" t="str">
        <f t="shared" ref="B1129:F1129" si="2285">IF(B1073="","",B1073)</f>
        <v/>
      </c>
      <c r="C1129" s="46" t="str">
        <f t="shared" si="2285"/>
        <v/>
      </c>
      <c r="D1129" s="197" t="str">
        <f t="shared" si="2285"/>
        <v/>
      </c>
      <c r="E1129" s="48" t="str">
        <f t="shared" si="2285"/>
        <v/>
      </c>
      <c r="F1129" s="83" t="str">
        <f t="shared" si="2285"/>
        <v/>
      </c>
      <c r="G1129" s="50" t="str">
        <f t="shared" si="2271"/>
        <v/>
      </c>
      <c r="H1129" s="51"/>
      <c r="I1129" s="51"/>
      <c r="J1129" s="52"/>
      <c r="K1129" s="50" t="str">
        <f t="shared" si="2272"/>
        <v/>
      </c>
      <c r="L1129" s="51"/>
      <c r="M1129" s="51"/>
      <c r="N1129" s="52"/>
      <c r="O1129" s="50" t="str">
        <f t="shared" si="2273"/>
        <v/>
      </c>
      <c r="P1129" s="51"/>
      <c r="Q1129" s="51"/>
      <c r="R1129" s="52"/>
      <c r="S1129" s="50" t="str">
        <f t="shared" si="2274"/>
        <v/>
      </c>
      <c r="T1129" s="51"/>
      <c r="U1129" s="51"/>
      <c r="V1129" s="52"/>
      <c r="W1129" s="50" t="str">
        <f t="shared" si="2275"/>
        <v/>
      </c>
      <c r="X1129" s="51"/>
      <c r="Y1129" s="51"/>
      <c r="Z1129" s="52"/>
      <c r="AA1129" s="50" t="str">
        <f t="shared" si="2276"/>
        <v/>
      </c>
      <c r="AB1129" s="51"/>
      <c r="AC1129" s="51"/>
      <c r="AD1129" s="52"/>
      <c r="AE1129" s="53">
        <f t="shared" si="2277"/>
        <v>0</v>
      </c>
      <c r="AF1129" s="54">
        <f t="shared" si="2278"/>
        <v>0</v>
      </c>
      <c r="AG1129" s="75">
        <f t="shared" si="2279"/>
        <v>0</v>
      </c>
      <c r="AH1129" s="76" t="str">
        <f t="shared" si="2280"/>
        <v/>
      </c>
      <c r="AI1129" s="77">
        <f> ( IF(ISNUMBER(G1129), VLOOKUP(G1129/$AH1129,F!$A1:$B101,2,1)*G1129*$H1129*$I1129,0)+IF(ISNUMBER(K1129), VLOOKUP(K1129/$AH1129,F!$A1:$B101,2,1)*K1129*$L1129*$M1129,0)+IF(ISNUMBER(O1129), VLOOKUP(O1129/$AH1129,F!$A1:$B101,2,1)*O1129*$P1129*$Q1129,0)+IF(ISNUMBER(S1129), VLOOKUP(S1129/$AH1129,F!$A1:$B101,2,1)*S1129*$T1129*$U1129,0)+IF(ISNUMBER(W1129), VLOOKUP(W1129/$AH1129,F!$A1:$B101,2,1)*W1129*$X1129*$Y1129,0)+IF(ISNUMBER(AA1129), VLOOKUP(AA1129/$AH1129,F!$A1:$B101,2,1)*AA1129*$AB1129*$AC1129,0))*IF(ISNUMBER(F1129),F1129,1)*IF(ISNUMBER(E1129),E1129,1)</f>
        <v>0</v>
      </c>
      <c r="AJ1129" s="86">
        <f t="shared" si="2281"/>
        <v>0</v>
      </c>
      <c r="AK1129" s="58">
        <f t="array" ref="AK1129">IFERROR(I1129*INDEX(F!$P$21:$AB$33, MATCH(G1129/$AH1129, F!$O$21:$O$33,1), MATCH(E1129, F!$P$20:$AB$20,1)), 0 ) +IFERROR( M1129*INDEX(F!$P$21:$AB$33, MATCH(K1129/$AH1129, F!$O$21:$O$33,1), MATCH(E1129, F!$P$20:$AB$20,1)),0) +  IFERROR( Q1129*INDEX(F!$P$21:$AB$33, MATCH(O1129/$AH1129, F!$O$21:$O$33,1), MATCH(E1129, F!$P$20:$AB$20,1)), 0) + IFERROR( U1129*INDEX(F!$P$21:$AB$33, MATCH(S1129/$AH1129, F!$O$21:$O$33,1), MATCH(E1129, F!$P$20:$AB$20,1)),0)  + IFERROR(Y1129*INDEX(F!$P$21:$AB$33, MATCH(W1129/$AH1129, F!$O$21:$O$33,1), MATCH(E1129, F!$P$20:$AB$20,1)),0)  + IFERROR( AC1129*INDEX(F!$P$21:$AB$33, MATCH(AA1129/$AH1129, F!$O$21:$O$33,1), MATCH(E1129, F!$P$20:$AB$20,1)),)</f>
        <v>0</v>
      </c>
      <c r="AL1129" s="59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</row>
    <row r="1130" ht="15.0" hidden="1" customHeight="1">
      <c r="A1130" s="59"/>
      <c r="B1130" s="60" t="str">
        <f t="shared" ref="B1130:F1130" si="2286">IF(B1074="","",B1074)</f>
        <v/>
      </c>
      <c r="C1130" s="61" t="str">
        <f t="shared" si="2286"/>
        <v/>
      </c>
      <c r="D1130" s="198" t="str">
        <f t="shared" si="2286"/>
        <v/>
      </c>
      <c r="E1130" s="48" t="str">
        <f t="shared" si="2286"/>
        <v/>
      </c>
      <c r="F1130" s="79" t="str">
        <f t="shared" si="2286"/>
        <v/>
      </c>
      <c r="G1130" s="64" t="str">
        <f t="shared" si="2271"/>
        <v/>
      </c>
      <c r="H1130" s="34"/>
      <c r="I1130" s="34"/>
      <c r="J1130" s="65"/>
      <c r="K1130" s="64" t="str">
        <f t="shared" si="2272"/>
        <v/>
      </c>
      <c r="L1130" s="34"/>
      <c r="M1130" s="34"/>
      <c r="N1130" s="65"/>
      <c r="O1130" s="64" t="str">
        <f t="shared" si="2273"/>
        <v/>
      </c>
      <c r="P1130" s="34"/>
      <c r="Q1130" s="34"/>
      <c r="R1130" s="65"/>
      <c r="S1130" s="64" t="str">
        <f t="shared" si="2274"/>
        <v/>
      </c>
      <c r="T1130" s="34"/>
      <c r="U1130" s="34"/>
      <c r="V1130" s="65"/>
      <c r="W1130" s="64" t="str">
        <f t="shared" si="2275"/>
        <v/>
      </c>
      <c r="X1130" s="34"/>
      <c r="Y1130" s="34"/>
      <c r="Z1130" s="65"/>
      <c r="AA1130" s="64" t="str">
        <f t="shared" si="2276"/>
        <v/>
      </c>
      <c r="AB1130" s="34"/>
      <c r="AC1130" s="34"/>
      <c r="AD1130" s="65"/>
      <c r="AE1130" s="66">
        <f t="shared" si="2277"/>
        <v>0</v>
      </c>
      <c r="AF1130" s="67">
        <f t="shared" si="2278"/>
        <v>0</v>
      </c>
      <c r="AG1130" s="68">
        <f t="shared" si="2279"/>
        <v>0</v>
      </c>
      <c r="AH1130" s="76" t="str">
        <f t="shared" si="2280"/>
        <v/>
      </c>
      <c r="AI1130" s="90">
        <f> ( IF(ISNUMBER(G1130), VLOOKUP(G1130/$AH1130,F!$A1:$B101,2,1)*G1130*$H1130*$I1130,0)+IF(ISNUMBER(K1130), VLOOKUP(K1130/$AH1130,F!$A1:$B101,2,1)*K1130*$L1130*$M1130,0)+IF(ISNUMBER(O1130), VLOOKUP(O1130/$AH1130,F!$A1:$B101,2,1)*O1130*$P1130*$Q1130,0)+IF(ISNUMBER(S1130), VLOOKUP(S1130/$AH1130,F!$A1:$B101,2,1)*S1130*$T1130*$U1130,0)+IF(ISNUMBER(W1130), VLOOKUP(W1130/$AH1130,F!$A1:$B101,2,1)*W1130*$X1130*$Y1130,0)+IF(ISNUMBER(AA1130), VLOOKUP(AA1130/$AH1130,F!$A1:$B101,2,1)*AA1130*$AB1130*$AC1130,0))*IF(ISNUMBER(F1130),F1130,1)*IF(ISNUMBER(E1130),E1130,1)</f>
        <v>0</v>
      </c>
      <c r="AJ1130" s="34">
        <f t="shared" si="2281"/>
        <v>0</v>
      </c>
      <c r="AK1130" s="91">
        <f t="array" ref="AK1130">IFERROR(I1130*INDEX(F!$P$21:$AB$33, MATCH(G1130/$AH1130, F!$O$21:$O$33,1), MATCH(E1130, F!$P$20:$AB$20,1)), 0 ) +IFERROR( M1130*INDEX(F!$P$21:$AB$33, MATCH(K1130/$AH1130, F!$O$21:$O$33,1), MATCH(E1130, F!$P$20:$AB$20,1)),0) +  IFERROR( Q1130*INDEX(F!$P$21:$AB$33, MATCH(O1130/$AH1130, F!$O$21:$O$33,1), MATCH(E1130, F!$P$20:$AB$20,1)), 0) + IFERROR( U1130*INDEX(F!$P$21:$AB$33, MATCH(S1130/$AH1130, F!$O$21:$O$33,1), MATCH(E1130, F!$P$20:$AB$20,1)),0)  + IFERROR(Y1130*INDEX(F!$P$21:$AB$33, MATCH(W1130/$AH1130, F!$O$21:$O$33,1), MATCH(E1130, F!$P$20:$AB$20,1)),0)  + IFERROR( AC1130*INDEX(F!$P$21:$AB$33, MATCH(AA1130/$AH1130, F!$O$21:$O$33,1), MATCH(E1130, F!$P$20:$AB$20,1)),)</f>
        <v>0</v>
      </c>
      <c r="AL1130" s="59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</row>
    <row r="1131" ht="15.0" hidden="1" customHeight="1">
      <c r="A1131" s="59"/>
      <c r="B1131" s="45" t="str">
        <f t="shared" ref="B1131:F1131" si="2287">IF(B1075="","",B1075)</f>
        <v/>
      </c>
      <c r="C1131" s="46" t="str">
        <f t="shared" si="2287"/>
        <v/>
      </c>
      <c r="D1131" s="92" t="str">
        <f t="shared" si="2287"/>
        <v/>
      </c>
      <c r="E1131" s="48" t="str">
        <f t="shared" si="2287"/>
        <v/>
      </c>
      <c r="F1131" s="74" t="str">
        <f t="shared" si="2287"/>
        <v/>
      </c>
      <c r="G1131" s="50" t="str">
        <f t="shared" si="2271"/>
        <v/>
      </c>
      <c r="H1131" s="51"/>
      <c r="I1131" s="51"/>
      <c r="J1131" s="52"/>
      <c r="K1131" s="50" t="str">
        <f t="shared" si="2272"/>
        <v/>
      </c>
      <c r="L1131" s="51"/>
      <c r="M1131" s="51"/>
      <c r="N1131" s="52"/>
      <c r="O1131" s="50" t="str">
        <f t="shared" si="2273"/>
        <v/>
      </c>
      <c r="P1131" s="51"/>
      <c r="Q1131" s="51"/>
      <c r="R1131" s="52"/>
      <c r="S1131" s="50" t="str">
        <f t="shared" si="2274"/>
        <v/>
      </c>
      <c r="T1131" s="51"/>
      <c r="U1131" s="51"/>
      <c r="V1131" s="52"/>
      <c r="W1131" s="50" t="str">
        <f t="shared" si="2275"/>
        <v/>
      </c>
      <c r="X1131" s="51"/>
      <c r="Y1131" s="51"/>
      <c r="Z1131" s="52"/>
      <c r="AA1131" s="50" t="str">
        <f t="shared" si="2276"/>
        <v/>
      </c>
      <c r="AB1131" s="51"/>
      <c r="AC1131" s="51"/>
      <c r="AD1131" s="52"/>
      <c r="AE1131" s="53">
        <f t="shared" si="2277"/>
        <v>0</v>
      </c>
      <c r="AF1131" s="93">
        <f t="shared" si="2278"/>
        <v>0</v>
      </c>
      <c r="AG1131" s="94">
        <f t="shared" si="2279"/>
        <v>0</v>
      </c>
      <c r="AH1131" s="76" t="str">
        <f t="shared" si="2280"/>
        <v/>
      </c>
      <c r="AI1131" s="95">
        <f> ( IF(ISNUMBER(G1131), VLOOKUP(G1131/$AH1131,F!$A1:$B101,2,1)*G1131*$H1131*$I1131,0)+IF(ISNUMBER(K1131), VLOOKUP(K1131/$AH1131,F!$A1:$B101,2,1)*K1131*$L1131*$M1131,0)+IF(ISNUMBER(O1131), VLOOKUP(O1131/$AH1131,F!$A1:$B101,2,1)*O1131*$P1131*$Q1131,0)+IF(ISNUMBER(S1131), VLOOKUP(S1131/$AH1131,F!$A1:$B101,2,1)*S1131*$T1131*$U1131,0)+IF(ISNUMBER(W1131), VLOOKUP(W1131/$AH1131,F!$A1:$B101,2,1)*W1131*$X1131*$Y1131,0)+IF(ISNUMBER(AA1131), VLOOKUP(AA1131/$AH1131,F!$A1:$B101,2,1)*AA1131*$AB1131*$AC1131,0))*IF(ISNUMBER(F1131),F1131,1)*IF(ISNUMBER(E1131),E1131,1)</f>
        <v>0</v>
      </c>
      <c r="AJ1131" s="96">
        <f t="shared" si="2281"/>
        <v>0</v>
      </c>
      <c r="AK1131" s="97">
        <f t="array" ref="AK1131">IFERROR(I1131*INDEX(F!$P$21:$AB$33, MATCH(G1131/$AH1131, F!$O$21:$O$33,1), MATCH(E1131, F!$P$20:$AB$20,1)), 0 ) +IFERROR( M1131*INDEX(F!$P$21:$AB$33, MATCH(K1131/$AH1131, F!$O$21:$O$33,1), MATCH(E1131, F!$P$20:$AB$20,1)),0) +  IFERROR( Q1131*INDEX(F!$P$21:$AB$33, MATCH(O1131/$AH1131, F!$O$21:$O$33,1), MATCH(E1131, F!$P$20:$AB$20,1)), 0) + IFERROR( U1131*INDEX(F!$P$21:$AB$33, MATCH(S1131/$AH1131, F!$O$21:$O$33,1), MATCH(E1131, F!$P$20:$AB$20,1)),0)  + IFERROR(Y1131*INDEX(F!$P$21:$AB$33, MATCH(W1131/$AH1131, F!$O$21:$O$33,1), MATCH(E1131, F!$P$20:$AB$20,1)),0)  + IFERROR( AC1131*INDEX(F!$P$21:$AB$33, MATCH(AA1131/$AH1131, F!$O$21:$O$33,1), MATCH(E1131, F!$P$20:$AB$20,1)),)</f>
        <v>0</v>
      </c>
      <c r="AL1131" s="59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</row>
    <row r="1132" ht="15.75" hidden="1" customHeight="1">
      <c r="A1132" s="98"/>
      <c r="B1132" s="99"/>
      <c r="C1132" s="100"/>
      <c r="D1132" s="101"/>
      <c r="E1132" s="102">
        <f>ROUND(IFERROR(SUMPRODUCT(AJ1124:AJ1131,E1124:E1131)/AJ1132,0),3)</f>
        <v>0</v>
      </c>
      <c r="F1132" s="199"/>
      <c r="G1132" s="104"/>
      <c r="H1132" s="105"/>
      <c r="I1132" s="105"/>
      <c r="J1132" s="106"/>
      <c r="K1132" s="104"/>
      <c r="L1132" s="105"/>
      <c r="M1132" s="105"/>
      <c r="N1132" s="106"/>
      <c r="O1132" s="104"/>
      <c r="P1132" s="105"/>
      <c r="Q1132" s="105"/>
      <c r="R1132" s="106"/>
      <c r="S1132" s="104"/>
      <c r="T1132" s="105"/>
      <c r="U1132" s="105"/>
      <c r="V1132" s="106"/>
      <c r="W1132" s="104"/>
      <c r="X1132" s="105"/>
      <c r="Y1132" s="105"/>
      <c r="Z1132" s="106"/>
      <c r="AA1132" s="104"/>
      <c r="AB1132" s="105"/>
      <c r="AC1132" s="105"/>
      <c r="AD1132" s="106"/>
      <c r="AE1132" s="107">
        <f>SUM(AE1124:AE1131)</f>
        <v>0</v>
      </c>
      <c r="AF1132" s="108">
        <f t="shared" si="2278"/>
        <v>0</v>
      </c>
      <c r="AG1132" s="109">
        <f>IFERROR(  SUMPRODUCT(AG1124:AG1131,AJ1124:AJ1131)/AJ1132,0)</f>
        <v>0</v>
      </c>
      <c r="AH1132" s="157"/>
      <c r="AI1132" s="111">
        <f t="shared" ref="AI1132:AJ1132" si="2288">SUM(AI1124:AI1131)</f>
        <v>0</v>
      </c>
      <c r="AJ1132" s="111">
        <f t="shared" si="2288"/>
        <v>0</v>
      </c>
      <c r="AK1132" s="112">
        <f>IF(SUM(AK1124:AK1131)=0,TIME(,0,),TIME(,SUM(AK1124:AK1131)+F!$V$37,))</f>
        <v>0</v>
      </c>
      <c r="AL1132" s="98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</row>
    <row r="1133" ht="15.75" hidden="1" customHeight="1">
      <c r="A1133" s="113">
        <f>A1134</f>
        <v>43922</v>
      </c>
      <c r="B1133" s="114" t="str">
        <f t="shared" ref="B1133:F1133" si="2289">IF(B1077="","",B1077)</f>
        <v>Тяжелая</v>
      </c>
      <c r="C1133" s="115" t="str">
        <f t="shared" si="2289"/>
        <v>ТГ</v>
      </c>
      <c r="D1133" s="116" t="str">
        <f t="shared" si="2289"/>
        <v>Становая тяга</v>
      </c>
      <c r="E1133" s="29">
        <f t="shared" si="2289"/>
        <v>1.4</v>
      </c>
      <c r="F1133" s="117" t="str">
        <f t="shared" si="2289"/>
        <v/>
      </c>
      <c r="G1133" s="118" t="str">
        <f t="shared" ref="G1133:G1140" si="2291">IF(J1133&lt;&gt;0, IFERROR(IF( $F1133=2,  MROUND($AH1133*J1133,1),    IF( OR($F1133="",$F1133=1),   MROUND($AH1133*J1133,2.5),  MROUND($AH1133*J1133, 0.1))), "" ), "")</f>
        <v/>
      </c>
      <c r="H1133" s="119"/>
      <c r="I1133" s="119"/>
      <c r="J1133" s="120"/>
      <c r="K1133" s="118" t="str">
        <f t="shared" ref="K1133:K1140" si="2292">IF(N1133&lt;&gt;0, IFERROR(IF( $F1133=2,  MROUND($AH1133*N1133,1),    IF( OR($F1133="",$F1133=1),   MROUND($AH1133*N1133,2.5),  MROUND($AH1133*N1133, 0.1))), "" ), "")</f>
        <v/>
      </c>
      <c r="L1133" s="119"/>
      <c r="M1133" s="119"/>
      <c r="N1133" s="120"/>
      <c r="O1133" s="118" t="str">
        <f t="shared" ref="O1133:O1140" si="2293">IF(R1133&lt;&gt;0, IFERROR(IF( $F1133=2,  MROUND($AH1133*R1133,1),    IF( OR($F1133="",$F1133=1),   MROUND($AH1133*R1133,2.5),  MROUND($AH1133*R1133, 0.1))), "" ), "")</f>
        <v/>
      </c>
      <c r="P1133" s="119"/>
      <c r="Q1133" s="119"/>
      <c r="R1133" s="120"/>
      <c r="S1133" s="118" t="str">
        <f t="shared" ref="S1133:S1140" si="2294">IF(V1133&lt;&gt;0, IFERROR(IF( $F1133=2,  MROUND($AH1133*V1133,1),    IF( OR($F1133="",$F1133=1),   MROUND($AH1133*V1133,2.5),  MROUND($AH1133*V1133, 0.1))), "" ), "")</f>
        <v/>
      </c>
      <c r="T1133" s="119"/>
      <c r="U1133" s="119"/>
      <c r="V1133" s="120"/>
      <c r="W1133" s="118" t="str">
        <f t="shared" ref="W1133:W1140" si="2295">IF(Z1133&lt;&gt;0, IFERROR(IF( $F1133=2,  MROUND($AH1133*Z1133,1),    IF( OR($F1133="",$F1133=1),   MROUND($AH1133*Z1133,2.5),  MROUND($AH1133*Z1133, 0.1))), "" ), "")</f>
        <v/>
      </c>
      <c r="X1133" s="119"/>
      <c r="Y1133" s="119"/>
      <c r="Z1133" s="120"/>
      <c r="AA1133" s="118" t="str">
        <f t="shared" ref="AA1133:AA1140" si="2296">IF(AD1133&lt;&gt;0, IFERROR(IF( $F1133=2,  MROUND($AH1133*AD1133,1),    IF( OR($F1133="",$F1133=1),   MROUND($AH1133*AD1133,2.5),  MROUND($AH1133*AD1133, 0.1))), "" ), "")</f>
        <v/>
      </c>
      <c r="AB1133" s="119"/>
      <c r="AC1133" s="119"/>
      <c r="AD1133" s="120"/>
      <c r="AE1133" s="121">
        <f t="shared" ref="AE1133:AE1140" si="2297">(IF(ISNUMBER(G1133),G1133,0)*H1133*I1133+IF(ISNUMBER(K1133),K1133,1)*L1133*M1133+IF(ISNUMBER(O1133),O1133,1)*P1133*Q1133+IF(ISNUMBER(S1133),S1133,1)*T1133*U1133+IF(ISNUMBER(W1133),W1133,1)*X1133*Y1133+IF(ISNUMBER(AA1133),AA1133,1)*AB1133*AC1133)*IF(ISNUMBER(F1133),F1133,1)</f>
        <v>0</v>
      </c>
      <c r="AF1133" s="122">
        <f t="shared" si="2278"/>
        <v>0</v>
      </c>
      <c r="AG1133" s="200">
        <f t="shared" ref="AG1133:AG1140" si="2298">IFERROR((AF1133/(AH1133*IF(ISNUMBER(F1133),F1133,1))),0)</f>
        <v>0</v>
      </c>
      <c r="AH1133" s="169">
        <f t="shared" ref="AH1133:AH1140" si="2299">IF(ISNUMBER(AH1077), AH1077+(AH1077*$AH$1122),"")</f>
        <v>274.9002683</v>
      </c>
      <c r="AI1133" s="122">
        <f> ( IF(ISNUMBER(G1133), VLOOKUP(G1133/$AH1133,F!$A1:$B101,2,1)*G1133*$H1133*$I1133,0)+IF(ISNUMBER(K1133), VLOOKUP(K1133/$AH1133,F!$A1:$B101,2,1)*K1133*$L1133*$M1133,0)+IF(ISNUMBER(O1133), VLOOKUP(O1133/$AH1133,F!$A1:$B101,2,1)*O1133*$P1133*$Q1133,0)+IF(ISNUMBER(S1133), VLOOKUP(S1133/$AH1133,F!$A1:$B101,2,1)*S1133*$T1133*$U1133,0)+IF(ISNUMBER(W1133), VLOOKUP(W1133/$AH1133,F!$A1:$B101,2,1)*W1133*$X1133*$Y1133,0)+IF(ISNUMBER(AA1133), VLOOKUP(AA1133/$AH1133,F!$A1:$B101,2,1)*AA1133*$AB1133*$AC1133,0))*IF(ISNUMBER(F1133),F1133,1)*IF(ISNUMBER(E1133),E1133,1)</f>
        <v>0</v>
      </c>
      <c r="AJ1133" s="119">
        <f t="shared" ref="AJ1133:AJ1140" si="2300">H1133*I1133+L1133*M1133+P1133*Q1133+T1133*U1133+X1133*Y1133+AB1133*AC1133</f>
        <v>0</v>
      </c>
      <c r="AK1133" s="125">
        <f t="array" ref="AK1133">IFERROR(I1133*INDEX(F!$P$21:$AB$33, MATCH(G1133/$AH1133, F!$O$21:$O$33,1), MATCH(E1133, F!$P$20:$AB$20,1)), 0 ) +IFERROR( M1133*INDEX(F!$P$21:$AB$33, MATCH(K1133/$AH1133, F!$O$21:$O$33,1), MATCH(E1133, F!$P$20:$AB$20,1)),0) +  IFERROR( Q1133*INDEX(F!$P$21:$AB$33, MATCH(O1133/$AH1133, F!$O$21:$O$33,1), MATCH(E1133, F!$P$20:$AB$20,1)), 0) + IFERROR( U1133*INDEX(F!$P$21:$AB$33, MATCH(S1133/$AH1133, F!$O$21:$O$33,1), MATCH(E1133, F!$P$20:$AB$20,1)),0)  + IFERROR(Y1133*INDEX(F!$P$21:$AB$33, MATCH(W1133/$AH1133, F!$O$21:$O$33,1), MATCH(E1133, F!$P$20:$AB$20,1)),0)  + IFERROR( AC1133*INDEX(F!$P$21:$AB$33, MATCH(AA1133/$AH1133, F!$O$21:$O$33,1), MATCH(E1133, F!$P$20:$AB$20,1)),)</f>
        <v>0</v>
      </c>
      <c r="AL1133" s="42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</row>
    <row r="1134" ht="15.75" hidden="1" customHeight="1">
      <c r="A1134" s="44">
        <f>A1078+A1066</f>
        <v>43922</v>
      </c>
      <c r="B1134" s="126" t="str">
        <f t="shared" ref="B1134:F1134" si="2290">IF(B1078="","",B1078)</f>
        <v>Средняя</v>
      </c>
      <c r="C1134" s="127" t="str">
        <f t="shared" si="2290"/>
        <v>ЖМ</v>
      </c>
      <c r="D1134" s="128" t="str">
        <f t="shared" si="2290"/>
        <v>Жим лежа</v>
      </c>
      <c r="E1134" s="48">
        <f t="shared" si="2290"/>
        <v>1</v>
      </c>
      <c r="F1134" s="129" t="str">
        <f t="shared" si="2290"/>
        <v/>
      </c>
      <c r="G1134" s="130" t="str">
        <f t="shared" si="2291"/>
        <v/>
      </c>
      <c r="H1134" s="34"/>
      <c r="I1134" s="34"/>
      <c r="J1134" s="65"/>
      <c r="K1134" s="130" t="str">
        <f t="shared" si="2292"/>
        <v/>
      </c>
      <c r="L1134" s="34"/>
      <c r="M1134" s="34"/>
      <c r="N1134" s="65"/>
      <c r="O1134" s="130" t="str">
        <f t="shared" si="2293"/>
        <v/>
      </c>
      <c r="P1134" s="34"/>
      <c r="Q1134" s="34"/>
      <c r="R1134" s="65"/>
      <c r="S1134" s="130" t="str">
        <f t="shared" si="2294"/>
        <v/>
      </c>
      <c r="T1134" s="34"/>
      <c r="U1134" s="34"/>
      <c r="V1134" s="65"/>
      <c r="W1134" s="130" t="str">
        <f t="shared" si="2295"/>
        <v/>
      </c>
      <c r="X1134" s="34"/>
      <c r="Y1134" s="34"/>
      <c r="Z1134" s="65"/>
      <c r="AA1134" s="130" t="str">
        <f t="shared" si="2296"/>
        <v/>
      </c>
      <c r="AB1134" s="34"/>
      <c r="AC1134" s="34"/>
      <c r="AD1134" s="65"/>
      <c r="AE1134" s="131">
        <f t="shared" si="2297"/>
        <v>0</v>
      </c>
      <c r="AF1134" s="132">
        <f t="shared" si="2278"/>
        <v>0</v>
      </c>
      <c r="AG1134" s="133">
        <f t="shared" si="2298"/>
        <v>0</v>
      </c>
      <c r="AH1134" s="76">
        <f t="shared" si="2299"/>
        <v>141.1650026</v>
      </c>
      <c r="AI1134" s="132">
        <f> ( IF(ISNUMBER(G1134), VLOOKUP(G1134/$AH1134,F!$A1:$B101,2,1)*G1134*$H1134*$I1134,0)+IF(ISNUMBER(K1134), VLOOKUP(K1134/$AH1134,F!$A1:$B101,2,1)*K1134*$L1134*$M1134,0)+IF(ISNUMBER(O1134), VLOOKUP(O1134/$AH1134,F!$A1:$B101,2,1)*O1134*$P1134*$Q1134,0)+IF(ISNUMBER(S1134), VLOOKUP(S1134/$AH1134,F!$A1:$B101,2,1)*S1134*$T1134*$U1134,0)+IF(ISNUMBER(W1134), VLOOKUP(W1134/$AH1134,F!$A1:$B101,2,1)*W1134*$X1134*$Y1134,0)+IF(ISNUMBER(AA1134), VLOOKUP(AA1134/$AH1134,F!$A1:$B101,2,1)*AA1134*$AB1134*$AC1134,0))*IF(ISNUMBER(F1134),F1134,1)*IF(ISNUMBER(E1134),E1134,1)</f>
        <v>0</v>
      </c>
      <c r="AJ1134" s="34">
        <f t="shared" si="2300"/>
        <v>0</v>
      </c>
      <c r="AK1134" s="134">
        <f t="array" ref="AK1134">IFERROR(I1134*INDEX(F!$P$21:$AB$33, MATCH(G1134/$AH1134, F!$O$21:$O$33,1), MATCH(E1134, F!$P$20:$AB$20,1)), 0 ) +IFERROR( M1134*INDEX(F!$P$21:$AB$33, MATCH(K1134/$AH1134, F!$O$21:$O$33,1), MATCH(E1134, F!$P$20:$AB$20,1)),0) +  IFERROR( Q1134*INDEX(F!$P$21:$AB$33, MATCH(O1134/$AH1134, F!$O$21:$O$33,1), MATCH(E1134, F!$P$20:$AB$20,1)), 0) + IFERROR( U1134*INDEX(F!$P$21:$AB$33, MATCH(S1134/$AH1134, F!$O$21:$O$33,1), MATCH(E1134, F!$P$20:$AB$20,1)),0)  + IFERROR(Y1134*INDEX(F!$P$21:$AB$33, MATCH(W1134/$AH1134, F!$O$21:$O$33,1), MATCH(E1134, F!$P$20:$AB$20,1)),0)  + IFERROR( AC1134*INDEX(F!$P$21:$AB$33, MATCH(AA1134/$AH1134, F!$O$21:$O$33,1), MATCH(E1134, F!$P$20:$AB$20,1)),)</f>
        <v>0</v>
      </c>
      <c r="AL1134" s="59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</row>
    <row r="1135" ht="15.75" hidden="1" customHeight="1">
      <c r="A1135" s="59"/>
      <c r="B1135" s="135" t="str">
        <f t="shared" ref="B1135:F1135" si="2301">IF(B1079="","",B1079)</f>
        <v>Легкая</v>
      </c>
      <c r="C1135" s="136" t="str">
        <f t="shared" si="2301"/>
        <v>ОФП</v>
      </c>
      <c r="D1135" s="137" t="str">
        <f t="shared" si="2301"/>
        <v>Наклоны со штангой</v>
      </c>
      <c r="E1135" s="48">
        <f t="shared" si="2301"/>
        <v>0.8</v>
      </c>
      <c r="F1135" s="138" t="str">
        <f t="shared" si="2301"/>
        <v/>
      </c>
      <c r="G1135" s="139" t="str">
        <f t="shared" si="2291"/>
        <v/>
      </c>
      <c r="H1135" s="140"/>
      <c r="I1135" s="140"/>
      <c r="J1135" s="141"/>
      <c r="K1135" s="139" t="str">
        <f t="shared" si="2292"/>
        <v/>
      </c>
      <c r="L1135" s="140"/>
      <c r="M1135" s="140"/>
      <c r="N1135" s="141"/>
      <c r="O1135" s="139" t="str">
        <f t="shared" si="2293"/>
        <v/>
      </c>
      <c r="P1135" s="140"/>
      <c r="Q1135" s="140"/>
      <c r="R1135" s="141"/>
      <c r="S1135" s="139" t="str">
        <f t="shared" si="2294"/>
        <v/>
      </c>
      <c r="T1135" s="140"/>
      <c r="U1135" s="140"/>
      <c r="V1135" s="141"/>
      <c r="W1135" s="139" t="str">
        <f t="shared" si="2295"/>
        <v/>
      </c>
      <c r="X1135" s="140"/>
      <c r="Y1135" s="140"/>
      <c r="Z1135" s="141"/>
      <c r="AA1135" s="139" t="str">
        <f t="shared" si="2296"/>
        <v/>
      </c>
      <c r="AB1135" s="140"/>
      <c r="AC1135" s="140"/>
      <c r="AD1135" s="141"/>
      <c r="AE1135" s="142">
        <f t="shared" si="2297"/>
        <v>0</v>
      </c>
      <c r="AF1135" s="143">
        <f t="shared" si="2278"/>
        <v>0</v>
      </c>
      <c r="AG1135" s="144">
        <f t="shared" si="2298"/>
        <v>0</v>
      </c>
      <c r="AH1135" s="76">
        <f t="shared" si="2299"/>
        <v>151.1951475</v>
      </c>
      <c r="AI1135" s="143">
        <f> ( IF(ISNUMBER(G1135), VLOOKUP(G1135/$AH1135,F!$A1:$B101,2,1)*G1135*$H1135*$I1135,0)+IF(ISNUMBER(K1135), VLOOKUP(K1135/$AH1135,F!$A1:$B101,2,1)*K1135*$L1135*$M1135,0)+IF(ISNUMBER(O1135), VLOOKUP(O1135/$AH1135,F!$A1:$B101,2,1)*O1135*$P1135*$Q1135,0)+IF(ISNUMBER(S1135), VLOOKUP(S1135/$AH1135,F!$A1:$B101,2,1)*S1135*$T1135*$U1135,0)+IF(ISNUMBER(W1135), VLOOKUP(W1135/$AH1135,F!$A1:$B101,2,1)*W1135*$X1135*$Y1135,0)+IF(ISNUMBER(AA1135), VLOOKUP(AA1135/$AH1135,F!$A1:$B101,2,1)*AA1135*$AB1135*$AC1135,0))*IF(ISNUMBER(F1135),F1135,1)*IF(ISNUMBER(E1135),E1135,1)</f>
        <v>0</v>
      </c>
      <c r="AJ1135" s="140">
        <f t="shared" si="2300"/>
        <v>0</v>
      </c>
      <c r="AK1135" s="145">
        <f t="array" ref="AK1135">IFERROR(I1135*INDEX(F!$P$21:$AB$33, MATCH(G1135/$AH1135, F!$O$21:$O$33,1), MATCH(E1135, F!$P$20:$AB$20,1)), 0 ) +IFERROR( M1135*INDEX(F!$P$21:$AB$33, MATCH(K1135/$AH1135, F!$O$21:$O$33,1), MATCH(E1135, F!$P$20:$AB$20,1)),0) +  IFERROR( Q1135*INDEX(F!$P$21:$AB$33, MATCH(O1135/$AH1135, F!$O$21:$O$33,1), MATCH(E1135, F!$P$20:$AB$20,1)), 0) + IFERROR( U1135*INDEX(F!$P$21:$AB$33, MATCH(S1135/$AH1135, F!$O$21:$O$33,1), MATCH(E1135, F!$P$20:$AB$20,1)),0)  + IFERROR(Y1135*INDEX(F!$P$21:$AB$33, MATCH(W1135/$AH1135, F!$O$21:$O$33,1), MATCH(E1135, F!$P$20:$AB$20,1)),0)  + IFERROR( AC1135*INDEX(F!$P$21:$AB$33, MATCH(AA1135/$AH1135, F!$O$21:$O$33,1), MATCH(E1135, F!$P$20:$AB$20,1)),)</f>
        <v>0</v>
      </c>
      <c r="AL1135" s="59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</row>
    <row r="1136" ht="15.75" hidden="1" customHeight="1">
      <c r="A1136" s="59"/>
      <c r="B1136" s="126" t="str">
        <f t="shared" ref="B1136:F1136" si="2302">IF(B1080="","",B1080)</f>
        <v>Средняя</v>
      </c>
      <c r="C1136" s="127" t="str">
        <f t="shared" si="2302"/>
        <v>ОФП</v>
      </c>
      <c r="D1136" s="128" t="str">
        <f t="shared" si="2302"/>
        <v>Жим стоя</v>
      </c>
      <c r="E1136" s="48">
        <f t="shared" si="2302"/>
        <v>1</v>
      </c>
      <c r="F1136" s="129" t="str">
        <f t="shared" si="2302"/>
        <v/>
      </c>
      <c r="G1136" s="130" t="str">
        <f t="shared" si="2291"/>
        <v/>
      </c>
      <c r="H1136" s="34"/>
      <c r="I1136" s="34"/>
      <c r="J1136" s="65"/>
      <c r="K1136" s="130" t="str">
        <f t="shared" si="2292"/>
        <v/>
      </c>
      <c r="L1136" s="34"/>
      <c r="M1136" s="34"/>
      <c r="N1136" s="65"/>
      <c r="O1136" s="130" t="str">
        <f t="shared" si="2293"/>
        <v/>
      </c>
      <c r="P1136" s="34"/>
      <c r="Q1136" s="34"/>
      <c r="R1136" s="65"/>
      <c r="S1136" s="130" t="str">
        <f t="shared" si="2294"/>
        <v/>
      </c>
      <c r="T1136" s="34"/>
      <c r="U1136" s="34"/>
      <c r="V1136" s="65"/>
      <c r="W1136" s="130" t="str">
        <f t="shared" si="2295"/>
        <v/>
      </c>
      <c r="X1136" s="34"/>
      <c r="Y1136" s="34"/>
      <c r="Z1136" s="65"/>
      <c r="AA1136" s="130" t="str">
        <f t="shared" si="2296"/>
        <v/>
      </c>
      <c r="AB1136" s="34"/>
      <c r="AC1136" s="34"/>
      <c r="AD1136" s="65"/>
      <c r="AE1136" s="131">
        <f t="shared" si="2297"/>
        <v>0</v>
      </c>
      <c r="AF1136" s="132">
        <f t="shared" si="2278"/>
        <v>0</v>
      </c>
      <c r="AG1136" s="133">
        <f t="shared" si="2298"/>
        <v>0</v>
      </c>
      <c r="AH1136" s="76">
        <f t="shared" si="2299"/>
        <v>84.69900157</v>
      </c>
      <c r="AI1136" s="132">
        <f> ( IF(ISNUMBER(G1136), VLOOKUP(G1136/$AH1136,F!$A1:$B101,2,1)*G1136*$H1136*$I1136,0)+IF(ISNUMBER(K1136), VLOOKUP(K1136/$AH1136,F!$A1:$B101,2,1)*K1136*$L1136*$M1136,0)+IF(ISNUMBER(O1136), VLOOKUP(O1136/$AH1136,F!$A1:$B101,2,1)*O1136*$P1136*$Q1136,0)+IF(ISNUMBER(S1136), VLOOKUP(S1136/$AH1136,F!$A1:$B101,2,1)*S1136*$T1136*$U1136,0)+IF(ISNUMBER(W1136), VLOOKUP(W1136/$AH1136,F!$A1:$B101,2,1)*W1136*$X1136*$Y1136,0)+IF(ISNUMBER(AA1136), VLOOKUP(AA1136/$AH1136,F!$A1:$B101,2,1)*AA1136*$AB1136*$AC1136,0))*IF(ISNUMBER(F1136),F1136,1)*IF(ISNUMBER(E1136),E1136,1)</f>
        <v>0</v>
      </c>
      <c r="AJ1136" s="34">
        <f t="shared" si="2300"/>
        <v>0</v>
      </c>
      <c r="AK1136" s="134">
        <f t="array" ref="AK1136">IFERROR(I1136*INDEX(F!$P$21:$AB$33, MATCH(G1136/$AH1136, F!$O$21:$O$33,1), MATCH(E1136, F!$P$20:$AB$20,1)), 0 ) +IFERROR( M1136*INDEX(F!$P$21:$AB$33, MATCH(K1136/$AH1136, F!$O$21:$O$33,1), MATCH(E1136, F!$P$20:$AB$20,1)),0) +  IFERROR( Q1136*INDEX(F!$P$21:$AB$33, MATCH(O1136/$AH1136, F!$O$21:$O$33,1), MATCH(E1136, F!$P$20:$AB$20,1)), 0) + IFERROR( U1136*INDEX(F!$P$21:$AB$33, MATCH(S1136/$AH1136, F!$O$21:$O$33,1), MATCH(E1136, F!$P$20:$AB$20,1)),0)  + IFERROR(Y1136*INDEX(F!$P$21:$AB$33, MATCH(W1136/$AH1136, F!$O$21:$O$33,1), MATCH(E1136, F!$P$20:$AB$20,1)),0)  + IFERROR( AC1136*INDEX(F!$P$21:$AB$33, MATCH(AA1136/$AH1136, F!$O$21:$O$33,1), MATCH(E1136, F!$P$20:$AB$20,1)),)</f>
        <v>0</v>
      </c>
      <c r="AL1136" s="59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</row>
    <row r="1137" ht="15.75" hidden="1" customHeight="1">
      <c r="A1137" s="59"/>
      <c r="B1137" s="135" t="str">
        <f t="shared" ref="B1137:F1137" si="2303">IF(B1081="","",B1081)</f>
        <v>Средняя</v>
      </c>
      <c r="C1137" s="136" t="str">
        <f t="shared" si="2303"/>
        <v>ЖМ</v>
      </c>
      <c r="D1137" s="137" t="str">
        <f t="shared" si="2303"/>
        <v>Жим средним хватом</v>
      </c>
      <c r="E1137" s="48">
        <f t="shared" si="2303"/>
        <v>1</v>
      </c>
      <c r="F1137" s="138" t="str">
        <f t="shared" si="2303"/>
        <v/>
      </c>
      <c r="G1137" s="139" t="str">
        <f t="shared" si="2291"/>
        <v/>
      </c>
      <c r="H1137" s="140"/>
      <c r="I1137" s="140"/>
      <c r="J1137" s="141"/>
      <c r="K1137" s="139" t="str">
        <f t="shared" si="2292"/>
        <v/>
      </c>
      <c r="L1137" s="140"/>
      <c r="M1137" s="140"/>
      <c r="N1137" s="141"/>
      <c r="O1137" s="139" t="str">
        <f t="shared" si="2293"/>
        <v/>
      </c>
      <c r="P1137" s="140"/>
      <c r="Q1137" s="140"/>
      <c r="R1137" s="141"/>
      <c r="S1137" s="139" t="str">
        <f t="shared" si="2294"/>
        <v/>
      </c>
      <c r="T1137" s="140"/>
      <c r="U1137" s="140"/>
      <c r="V1137" s="141"/>
      <c r="W1137" s="139" t="str">
        <f t="shared" si="2295"/>
        <v/>
      </c>
      <c r="X1137" s="140"/>
      <c r="Y1137" s="140"/>
      <c r="Z1137" s="141"/>
      <c r="AA1137" s="139" t="str">
        <f t="shared" si="2296"/>
        <v/>
      </c>
      <c r="AB1137" s="140"/>
      <c r="AC1137" s="140"/>
      <c r="AD1137" s="141"/>
      <c r="AE1137" s="142">
        <f t="shared" si="2297"/>
        <v>0</v>
      </c>
      <c r="AF1137" s="143">
        <f t="shared" si="2278"/>
        <v>0</v>
      </c>
      <c r="AG1137" s="144">
        <f t="shared" si="2298"/>
        <v>0</v>
      </c>
      <c r="AH1137" s="76">
        <f t="shared" si="2299"/>
        <v>119.9902522</v>
      </c>
      <c r="AI1137" s="143">
        <f> ( IF(ISNUMBER(G1137), VLOOKUP(G1137/$AH1137,F!$A1:$B101,2,1)*G1137*$H1137*$I1137,0)+IF(ISNUMBER(K1137), VLOOKUP(K1137/$AH1137,F!$A1:$B101,2,1)*K1137*$L1137*$M1137,0)+IF(ISNUMBER(O1137), VLOOKUP(O1137/$AH1137,F!$A1:$B101,2,1)*O1137*$P1137*$Q1137,0)+IF(ISNUMBER(S1137), VLOOKUP(S1137/$AH1137,F!$A1:$B101,2,1)*S1137*$T1137*$U1137,0)+IF(ISNUMBER(W1137), VLOOKUP(W1137/$AH1137,F!$A1:$B101,2,1)*W1137*$X1137*$Y1137,0)+IF(ISNUMBER(AA1137), VLOOKUP(AA1137/$AH1137,F!$A1:$B101,2,1)*AA1137*$AB1137*$AC1137,0))*IF(ISNUMBER(F1137),F1137,1)*IF(ISNUMBER(E1137),E1137,1)</f>
        <v>0</v>
      </c>
      <c r="AJ1137" s="140">
        <f t="shared" si="2300"/>
        <v>0</v>
      </c>
      <c r="AK1137" s="145">
        <f t="array" ref="AK1137">IFERROR(I1137*INDEX(F!$P$21:$AB$33, MATCH(G1137/$AH1137, F!$O$21:$O$33,1), MATCH(E1137, F!$P$20:$AB$20,1)), 0 ) +IFERROR( M1137*INDEX(F!$P$21:$AB$33, MATCH(K1137/$AH1137, F!$O$21:$O$33,1), MATCH(E1137, F!$P$20:$AB$20,1)),0) +  IFERROR( Q1137*INDEX(F!$P$21:$AB$33, MATCH(O1137/$AH1137, F!$O$21:$O$33,1), MATCH(E1137, F!$P$20:$AB$20,1)), 0) + IFERROR( U1137*INDEX(F!$P$21:$AB$33, MATCH(S1137/$AH1137, F!$O$21:$O$33,1), MATCH(E1137, F!$P$20:$AB$20,1)),0)  + IFERROR(Y1137*INDEX(F!$P$21:$AB$33, MATCH(W1137/$AH1137, F!$O$21:$O$33,1), MATCH(E1137, F!$P$20:$AB$20,1)),0)  + IFERROR( AC1137*INDEX(F!$P$21:$AB$33, MATCH(AA1137/$AH1137, F!$O$21:$O$33,1), MATCH(E1137, F!$P$20:$AB$20,1)),)</f>
        <v>0</v>
      </c>
      <c r="AL1137" s="59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</row>
    <row r="1138" ht="15.75" hidden="1" customHeight="1">
      <c r="A1138" s="59"/>
      <c r="B1138" s="126" t="str">
        <f t="shared" ref="B1138:F1138" si="2304">IF(B1082="","",B1082)</f>
        <v/>
      </c>
      <c r="C1138" s="127" t="str">
        <f t="shared" si="2304"/>
        <v/>
      </c>
      <c r="D1138" s="128" t="str">
        <f t="shared" si="2304"/>
        <v/>
      </c>
      <c r="E1138" s="48" t="str">
        <f t="shared" si="2304"/>
        <v/>
      </c>
      <c r="F1138" s="129" t="str">
        <f t="shared" si="2304"/>
        <v/>
      </c>
      <c r="G1138" s="130" t="str">
        <f t="shared" si="2291"/>
        <v/>
      </c>
      <c r="H1138" s="34"/>
      <c r="I1138" s="34"/>
      <c r="J1138" s="65"/>
      <c r="K1138" s="130" t="str">
        <f t="shared" si="2292"/>
        <v/>
      </c>
      <c r="L1138" s="34"/>
      <c r="M1138" s="34"/>
      <c r="N1138" s="65"/>
      <c r="O1138" s="130" t="str">
        <f t="shared" si="2293"/>
        <v/>
      </c>
      <c r="P1138" s="34"/>
      <c r="Q1138" s="34"/>
      <c r="R1138" s="65"/>
      <c r="S1138" s="130" t="str">
        <f t="shared" si="2294"/>
        <v/>
      </c>
      <c r="T1138" s="34"/>
      <c r="U1138" s="34"/>
      <c r="V1138" s="65"/>
      <c r="W1138" s="130" t="str">
        <f t="shared" si="2295"/>
        <v/>
      </c>
      <c r="X1138" s="34"/>
      <c r="Y1138" s="34"/>
      <c r="Z1138" s="65"/>
      <c r="AA1138" s="130" t="str">
        <f t="shared" si="2296"/>
        <v/>
      </c>
      <c r="AB1138" s="34"/>
      <c r="AC1138" s="34"/>
      <c r="AD1138" s="65"/>
      <c r="AE1138" s="131">
        <f t="shared" si="2297"/>
        <v>0</v>
      </c>
      <c r="AF1138" s="132">
        <f t="shared" si="2278"/>
        <v>0</v>
      </c>
      <c r="AG1138" s="133">
        <f t="shared" si="2298"/>
        <v>0</v>
      </c>
      <c r="AH1138" s="76" t="str">
        <f t="shared" si="2299"/>
        <v/>
      </c>
      <c r="AI1138" s="132">
        <f> ( IF(ISNUMBER(G1138), VLOOKUP(G1138/$AH1138,F!$A1:$B101,2,1)*G1138*$H1138*$I1138,0)+IF(ISNUMBER(K1138), VLOOKUP(K1138/$AH1138,F!$A1:$B101,2,1)*K1138*$L1138*$M1138,0)+IF(ISNUMBER(O1138), VLOOKUP(O1138/$AH1138,F!$A1:$B101,2,1)*O1138*$P1138*$Q1138,0)+IF(ISNUMBER(S1138), VLOOKUP(S1138/$AH1138,F!$A1:$B101,2,1)*S1138*$T1138*$U1138,0)+IF(ISNUMBER(W1138), VLOOKUP(W1138/$AH1138,F!$A1:$B101,2,1)*W1138*$X1138*$Y1138,0)+IF(ISNUMBER(AA1138), VLOOKUP(AA1138/$AH1138,F!$A1:$B101,2,1)*AA1138*$AB1138*$AC1138,0))*IF(ISNUMBER(F1138),F1138,1)*IF(ISNUMBER(E1138),E1138,1)</f>
        <v>0</v>
      </c>
      <c r="AJ1138" s="34">
        <f t="shared" si="2300"/>
        <v>0</v>
      </c>
      <c r="AK1138" s="134">
        <f t="array" ref="AK1138">IFERROR(I1138*INDEX(F!$P$21:$AB$33, MATCH(G1138/$AH1138, F!$O$21:$O$33,1), MATCH(E1138, F!$P$20:$AB$20,1)), 0 ) +IFERROR( M1138*INDEX(F!$P$21:$AB$33, MATCH(K1138/$AH1138, F!$O$21:$O$33,1), MATCH(E1138, F!$P$20:$AB$20,1)),0) +  IFERROR( Q1138*INDEX(F!$P$21:$AB$33, MATCH(O1138/$AH1138, F!$O$21:$O$33,1), MATCH(E1138, F!$P$20:$AB$20,1)), 0) + IFERROR( U1138*INDEX(F!$P$21:$AB$33, MATCH(S1138/$AH1138, F!$O$21:$O$33,1), MATCH(E1138, F!$P$20:$AB$20,1)),0)  + IFERROR(Y1138*INDEX(F!$P$21:$AB$33, MATCH(W1138/$AH1138, F!$O$21:$O$33,1), MATCH(E1138, F!$P$20:$AB$20,1)),0)  + IFERROR( AC1138*INDEX(F!$P$21:$AB$33, MATCH(AA1138/$AH1138, F!$O$21:$O$33,1), MATCH(E1138, F!$P$20:$AB$20,1)),)</f>
        <v>0</v>
      </c>
      <c r="AL1138" s="59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</row>
    <row r="1139" ht="15.75" hidden="1" customHeight="1">
      <c r="A1139" s="59"/>
      <c r="B1139" s="135" t="str">
        <f t="shared" ref="B1139:F1139" si="2305">IF(B1083="","",B1083)</f>
        <v/>
      </c>
      <c r="C1139" s="136" t="str">
        <f t="shared" si="2305"/>
        <v/>
      </c>
      <c r="D1139" s="137" t="str">
        <f t="shared" si="2305"/>
        <v/>
      </c>
      <c r="E1139" s="48" t="str">
        <f t="shared" si="2305"/>
        <v/>
      </c>
      <c r="F1139" s="138" t="str">
        <f t="shared" si="2305"/>
        <v/>
      </c>
      <c r="G1139" s="139" t="str">
        <f t="shared" si="2291"/>
        <v/>
      </c>
      <c r="H1139" s="140"/>
      <c r="I1139" s="140"/>
      <c r="J1139" s="141"/>
      <c r="K1139" s="139" t="str">
        <f t="shared" si="2292"/>
        <v/>
      </c>
      <c r="L1139" s="140"/>
      <c r="M1139" s="140"/>
      <c r="N1139" s="141"/>
      <c r="O1139" s="139" t="str">
        <f t="shared" si="2293"/>
        <v/>
      </c>
      <c r="P1139" s="140"/>
      <c r="Q1139" s="140"/>
      <c r="R1139" s="141"/>
      <c r="S1139" s="139" t="str">
        <f t="shared" si="2294"/>
        <v/>
      </c>
      <c r="T1139" s="140"/>
      <c r="U1139" s="140"/>
      <c r="V1139" s="141"/>
      <c r="W1139" s="139" t="str">
        <f t="shared" si="2295"/>
        <v/>
      </c>
      <c r="X1139" s="140"/>
      <c r="Y1139" s="140"/>
      <c r="Z1139" s="141"/>
      <c r="AA1139" s="139" t="str">
        <f t="shared" si="2296"/>
        <v/>
      </c>
      <c r="AB1139" s="140"/>
      <c r="AC1139" s="140"/>
      <c r="AD1139" s="141"/>
      <c r="AE1139" s="142">
        <f t="shared" si="2297"/>
        <v>0</v>
      </c>
      <c r="AF1139" s="143">
        <f t="shared" si="2278"/>
        <v>0</v>
      </c>
      <c r="AG1139" s="144">
        <f t="shared" si="2298"/>
        <v>0</v>
      </c>
      <c r="AH1139" s="76" t="str">
        <f t="shared" si="2299"/>
        <v/>
      </c>
      <c r="AI1139" s="143">
        <f> ( IF(ISNUMBER(G1139), VLOOKUP(G1139/$AH1139,F!$A1:$B101,2,1)*G1139*$H1139*$I1139,0)+IF(ISNUMBER(K1139), VLOOKUP(K1139/$AH1139,F!$A1:$B101,2,1)*K1139*$L1139*$M1139,0)+IF(ISNUMBER(O1139), VLOOKUP(O1139/$AH1139,F!$A1:$B101,2,1)*O1139*$P1139*$Q1139,0)+IF(ISNUMBER(S1139), VLOOKUP(S1139/$AH1139,F!$A1:$B101,2,1)*S1139*$T1139*$U1139,0)+IF(ISNUMBER(W1139), VLOOKUP(W1139/$AH1139,F!$A1:$B101,2,1)*W1139*$X1139*$Y1139,0)+IF(ISNUMBER(AA1139), VLOOKUP(AA1139/$AH1139,F!$A1:$B101,2,1)*AA1139*$AB1139*$AC1139,0))*IF(ISNUMBER(F1139),F1139,1)*IF(ISNUMBER(E1139),E1139,1)</f>
        <v>0</v>
      </c>
      <c r="AJ1139" s="140">
        <f t="shared" si="2300"/>
        <v>0</v>
      </c>
      <c r="AK1139" s="145">
        <f t="array" ref="AK1139">IFERROR(I1139*INDEX(F!$P$21:$AB$33, MATCH(G1139/$AH1139, F!$O$21:$O$33,1), MATCH(E1139, F!$P$20:$AB$20,1)), 0 ) +IFERROR( M1139*INDEX(F!$P$21:$AB$33, MATCH(K1139/$AH1139, F!$O$21:$O$33,1), MATCH(E1139, F!$P$20:$AB$20,1)),0) +  IFERROR( Q1139*INDEX(F!$P$21:$AB$33, MATCH(O1139/$AH1139, F!$O$21:$O$33,1), MATCH(E1139, F!$P$20:$AB$20,1)), 0) + IFERROR( U1139*INDEX(F!$P$21:$AB$33, MATCH(S1139/$AH1139, F!$O$21:$O$33,1), MATCH(E1139, F!$P$20:$AB$20,1)),0)  + IFERROR(Y1139*INDEX(F!$P$21:$AB$33, MATCH(W1139/$AH1139, F!$O$21:$O$33,1), MATCH(E1139, F!$P$20:$AB$20,1)),0)  + IFERROR( AC1139*INDEX(F!$P$21:$AB$33, MATCH(AA1139/$AH1139, F!$O$21:$O$33,1), MATCH(E1139, F!$P$20:$AB$20,1)),)</f>
        <v>0</v>
      </c>
      <c r="AL1139" s="59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</row>
    <row r="1140" ht="15.75" hidden="1" customHeight="1">
      <c r="A1140" s="59"/>
      <c r="B1140" s="126" t="str">
        <f t="shared" ref="B1140:F1140" si="2306">IF(B1084="","",B1084)</f>
        <v/>
      </c>
      <c r="C1140" s="127" t="str">
        <f t="shared" si="2306"/>
        <v/>
      </c>
      <c r="D1140" s="128" t="str">
        <f t="shared" si="2306"/>
        <v/>
      </c>
      <c r="E1140" s="48" t="str">
        <f t="shared" si="2306"/>
        <v/>
      </c>
      <c r="F1140" s="129" t="str">
        <f t="shared" si="2306"/>
        <v/>
      </c>
      <c r="G1140" s="130" t="str">
        <f t="shared" si="2291"/>
        <v/>
      </c>
      <c r="H1140" s="34"/>
      <c r="I1140" s="34"/>
      <c r="J1140" s="65"/>
      <c r="K1140" s="130" t="str">
        <f t="shared" si="2292"/>
        <v/>
      </c>
      <c r="L1140" s="34"/>
      <c r="M1140" s="34"/>
      <c r="N1140" s="65"/>
      <c r="O1140" s="130" t="str">
        <f t="shared" si="2293"/>
        <v/>
      </c>
      <c r="P1140" s="34"/>
      <c r="Q1140" s="34"/>
      <c r="R1140" s="65"/>
      <c r="S1140" s="130" t="str">
        <f t="shared" si="2294"/>
        <v/>
      </c>
      <c r="T1140" s="34"/>
      <c r="U1140" s="34"/>
      <c r="V1140" s="65"/>
      <c r="W1140" s="130" t="str">
        <f t="shared" si="2295"/>
        <v/>
      </c>
      <c r="X1140" s="34"/>
      <c r="Y1140" s="34"/>
      <c r="Z1140" s="65"/>
      <c r="AA1140" s="130" t="str">
        <f t="shared" si="2296"/>
        <v/>
      </c>
      <c r="AB1140" s="34"/>
      <c r="AC1140" s="34"/>
      <c r="AD1140" s="65"/>
      <c r="AE1140" s="131">
        <f t="shared" si="2297"/>
        <v>0</v>
      </c>
      <c r="AF1140" s="132">
        <f t="shared" si="2278"/>
        <v>0</v>
      </c>
      <c r="AG1140" s="133">
        <f t="shared" si="2298"/>
        <v>0</v>
      </c>
      <c r="AH1140" s="76" t="str">
        <f t="shared" si="2299"/>
        <v/>
      </c>
      <c r="AI1140" s="132">
        <f> ( IF(ISNUMBER(G1140), VLOOKUP(G1140/$AH1140,F!$A1:$B101,2,1)*G1140*$H1140*$I1140,0)+IF(ISNUMBER(K1140), VLOOKUP(K1140/$AH1140,F!$A1:$B101,2,1)*K1140*$L1140*$M1140,0)+IF(ISNUMBER(O1140), VLOOKUP(O1140/$AH1140,F!$A1:$B101,2,1)*O1140*$P1140*$Q1140,0)+IF(ISNUMBER(S1140), VLOOKUP(S1140/$AH1140,F!$A1:$B101,2,1)*S1140*$T1140*$U1140,0)+IF(ISNUMBER(W1140), VLOOKUP(W1140/$AH1140,F!$A1:$B101,2,1)*W1140*$X1140*$Y1140,0)+IF(ISNUMBER(AA1140), VLOOKUP(AA1140/$AH1140,F!$A1:$B101,2,1)*AA1140*$AB1140*$AC1140,0))*IF(ISNUMBER(F1140),F1140,1)*IF(ISNUMBER(E1140),E1140,1)</f>
        <v>0</v>
      </c>
      <c r="AJ1140" s="34">
        <f t="shared" si="2300"/>
        <v>0</v>
      </c>
      <c r="AK1140" s="134">
        <f t="array" ref="AK1140">IFERROR(I1140*INDEX(F!$P$21:$AB$33, MATCH(G1140/$AH1140, F!$O$21:$O$33,1), MATCH(E1140, F!$P$20:$AB$20,1)), 0 ) +IFERROR( M1140*INDEX(F!$P$21:$AB$33, MATCH(K1140/$AH1140, F!$O$21:$O$33,1), MATCH(E1140, F!$P$20:$AB$20,1)),0) +  IFERROR( Q1140*INDEX(F!$P$21:$AB$33, MATCH(O1140/$AH1140, F!$O$21:$O$33,1), MATCH(E1140, F!$P$20:$AB$20,1)), 0) + IFERROR( U1140*INDEX(F!$P$21:$AB$33, MATCH(S1140/$AH1140, F!$O$21:$O$33,1), MATCH(E1140, F!$P$20:$AB$20,1)),0)  + IFERROR(Y1140*INDEX(F!$P$21:$AB$33, MATCH(W1140/$AH1140, F!$O$21:$O$33,1), MATCH(E1140, F!$P$20:$AB$20,1)),0)  + IFERROR( AC1140*INDEX(F!$P$21:$AB$33, MATCH(AA1140/$AH1140, F!$O$21:$O$33,1), MATCH(E1140, F!$P$20:$AB$20,1)),)</f>
        <v>0</v>
      </c>
      <c r="AL1140" s="59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</row>
    <row r="1141" ht="15.75" hidden="1" customHeight="1">
      <c r="A1141" s="98"/>
      <c r="B1141" s="150"/>
      <c r="C1141" s="151"/>
      <c r="D1141" s="152"/>
      <c r="E1141" s="102">
        <f>ROUND(IFERROR(SUMPRODUCT(AJ1133:AJ1140,E1133:E1140)/AJ1141,0),3)</f>
        <v>0</v>
      </c>
      <c r="F1141" s="153"/>
      <c r="G1141" s="154"/>
      <c r="H1141" s="155"/>
      <c r="I1141" s="155"/>
      <c r="J1141" s="156"/>
      <c r="K1141" s="154"/>
      <c r="L1141" s="155"/>
      <c r="M1141" s="155"/>
      <c r="N1141" s="156"/>
      <c r="O1141" s="154"/>
      <c r="P1141" s="155"/>
      <c r="Q1141" s="155"/>
      <c r="R1141" s="156"/>
      <c r="S1141" s="154"/>
      <c r="T1141" s="155"/>
      <c r="U1141" s="155"/>
      <c r="V1141" s="156"/>
      <c r="W1141" s="154"/>
      <c r="X1141" s="155"/>
      <c r="Y1141" s="155"/>
      <c r="Z1141" s="156"/>
      <c r="AA1141" s="154"/>
      <c r="AB1141" s="155"/>
      <c r="AC1141" s="155"/>
      <c r="AD1141" s="156"/>
      <c r="AE1141" s="107">
        <f>SUM(AE1133:AE1140)</f>
        <v>0</v>
      </c>
      <c r="AF1141" s="108">
        <f t="shared" si="2278"/>
        <v>0</v>
      </c>
      <c r="AG1141" s="109">
        <f>IFERROR(  SUMPRODUCT(AG1133:AG1140,AJ1133:AJ1140)/AJ1141,0)</f>
        <v>0</v>
      </c>
      <c r="AH1141" s="157"/>
      <c r="AI1141" s="111">
        <f t="shared" ref="AI1141:AJ1141" si="2307">SUM(AI1133:AI1140)</f>
        <v>0</v>
      </c>
      <c r="AJ1141" s="111">
        <f t="shared" si="2307"/>
        <v>0</v>
      </c>
      <c r="AK1141" s="112">
        <f>IF(SUM(AK1133:AK1140)=0,TIME(,0,),TIME(,SUM(AK1133:AK1140)+F!$V$37,))</f>
        <v>0</v>
      </c>
      <c r="AL1141" s="98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</row>
    <row r="1142" ht="15.75" hidden="1" customHeight="1">
      <c r="A1142" s="158">
        <f>A1143</f>
        <v>43924</v>
      </c>
      <c r="B1142" s="159" t="str">
        <f t="shared" ref="B1142:F1142" si="2308">IF(B1086="","",B1086)</f>
        <v>Тяжелая</v>
      </c>
      <c r="C1142" s="160" t="str">
        <f t="shared" si="2308"/>
        <v>ПР</v>
      </c>
      <c r="D1142" s="161" t="str">
        <f t="shared" si="2308"/>
        <v>Присед</v>
      </c>
      <c r="E1142" s="29">
        <f t="shared" si="2308"/>
        <v>1.2</v>
      </c>
      <c r="F1142" s="162" t="str">
        <f t="shared" si="2308"/>
        <v/>
      </c>
      <c r="G1142" s="163" t="str">
        <f t="shared" ref="G1142:G1149" si="2310">IF(J1142&lt;&gt;0, IFERROR(IF( $F1142=2,  MROUND($AH1142*J1142,1),    IF( OR($F1142="",$F1142=1),   MROUND($AH1142*J1142,2.5),  MROUND($AH1142*J1142, 0.1))), "" ), "")</f>
        <v/>
      </c>
      <c r="H1142" s="164"/>
      <c r="I1142" s="164"/>
      <c r="J1142" s="165"/>
      <c r="K1142" s="163" t="str">
        <f t="shared" ref="K1142:K1149" si="2311">IF(N1142&lt;&gt;0, IFERROR(IF( $F1142=2,  MROUND($AH1142*N1142,1),    IF( OR($F1142="",$F1142=1),   MROUND($AH1142*N1142,2.5),  MROUND($AH1142*N1142, 0.1))), "" ), "")</f>
        <v/>
      </c>
      <c r="L1142" s="164"/>
      <c r="M1142" s="164"/>
      <c r="N1142" s="165"/>
      <c r="O1142" s="163" t="str">
        <f t="shared" ref="O1142:O1149" si="2312">IF(R1142&lt;&gt;0, IFERROR(IF( $F1142=2,  MROUND($AH1142*R1142,1),    IF( OR($F1142="",$F1142=1),   MROUND($AH1142*R1142,2.5),  MROUND($AH1142*R1142, 0.1))), "" ), "")</f>
        <v/>
      </c>
      <c r="P1142" s="164"/>
      <c r="Q1142" s="164"/>
      <c r="R1142" s="165"/>
      <c r="S1142" s="163" t="str">
        <f t="shared" ref="S1142:S1149" si="2313">IF(V1142&lt;&gt;0, IFERROR(IF( $F1142=2,  MROUND($AH1142*V1142,1),    IF( OR($F1142="",$F1142=1),   MROUND($AH1142*V1142,2.5),  MROUND($AH1142*V1142, 0.1))), "" ), "")</f>
        <v/>
      </c>
      <c r="T1142" s="164"/>
      <c r="U1142" s="164"/>
      <c r="V1142" s="165"/>
      <c r="W1142" s="163" t="str">
        <f t="shared" ref="W1142:W1149" si="2314">IF(Z1142&lt;&gt;0, IFERROR(IF( $F1142=2,  MROUND($AH1142*Z1142,1),    IF( OR($F1142="",$F1142=1),   MROUND($AH1142*Z1142,2.5),  MROUND($AH1142*Z1142, 0.1))), "" ), "")</f>
        <v/>
      </c>
      <c r="X1142" s="164"/>
      <c r="Y1142" s="164"/>
      <c r="Z1142" s="165"/>
      <c r="AA1142" s="163" t="str">
        <f t="shared" ref="AA1142:AA1149" si="2315">IF(AD1142&lt;&gt;0, IFERROR(IF( $F1142=2,  MROUND($AH1142*AD1142,1),    IF( OR($F1142="",$F1142=1),   MROUND($AH1142*AD1142,2.5),  MROUND($AH1142*AD1142, 0.1))), "" ), "")</f>
        <v/>
      </c>
      <c r="AB1142" s="164"/>
      <c r="AC1142" s="164"/>
      <c r="AD1142" s="165"/>
      <c r="AE1142" s="166">
        <f t="shared" ref="AE1142:AE1149" si="2316">(IF(ISNUMBER(G1142),G1142,0)*H1142*I1142+IF(ISNUMBER(K1142),K1142,1)*L1142*M1142+IF(ISNUMBER(O1142),O1142,1)*P1142*Q1142+IF(ISNUMBER(S1142),S1142,1)*T1142*U1142+IF(ISNUMBER(W1142),W1142,1)*X1142*Y1142+IF(ISNUMBER(AA1142),AA1142,1)*AB1142*AC1142)*IF(ISNUMBER(F1142),F1142,1)</f>
        <v>0</v>
      </c>
      <c r="AF1142" s="167">
        <f t="shared" si="2278"/>
        <v>0</v>
      </c>
      <c r="AG1142" s="168">
        <f t="shared" ref="AG1142:AG1149" si="2317">IFERROR((AF1142/(AH1142*IF(ISNUMBER(F1142),F1142,1))),0)</f>
        <v>0</v>
      </c>
      <c r="AH1142" s="169">
        <f t="shared" ref="AH1142:AH1149" si="2318">IF(ISNUMBER(AH1086), AH1086+(AH1086*$AH$1122),"")</f>
        <v>200.6028985</v>
      </c>
      <c r="AI1142" s="167">
        <f> ( IF(ISNUMBER(G1142), VLOOKUP(G1142/$AH1142,F!$A1:$B101,2,1)*G1142*$H1142*$I1142,0)+IF(ISNUMBER(K1142), VLOOKUP(K1142/$AH1142,F!$A1:$B101,2,1)*K1142*$L1142*$M1142,0)+IF(ISNUMBER(O1142), VLOOKUP(O1142/$AH1142,F!$A1:$B101,2,1)*O1142*$P1142*$Q1142,0)+IF(ISNUMBER(S1142), VLOOKUP(S1142/$AH1142,F!$A1:$B101,2,1)*S1142*$T1142*$U1142,0)+IF(ISNUMBER(W1142), VLOOKUP(W1142/$AH1142,F!$A1:$B101,2,1)*W1142*$X1142*$Y1142,0)+IF(ISNUMBER(AA1142), VLOOKUP(AA1142/$AH1142,F!$A1:$B101,2,1)*AA1142*$AB1142*$AC1142,0))*IF(ISNUMBER(F1142),F1142,1)*IF(ISNUMBER(E1142),E1142,1)</f>
        <v>0</v>
      </c>
      <c r="AJ1142" s="164">
        <f t="shared" ref="AJ1142:AJ1149" si="2319">H1142*I1142+L1142*M1142+P1142*Q1142+T1142*U1142+X1142*Y1142+AB1142*AC1142</f>
        <v>0</v>
      </c>
      <c r="AK1142" s="170">
        <f t="array" ref="AK1142">IFERROR(I1142*INDEX(F!$P$21:$AB$33, MATCH(G1142/$AH1142, F!$O$21:$O$33,1), MATCH(E1142, F!$P$20:$AB$20,1)), 0 ) +IFERROR( M1142*INDEX(F!$P$21:$AB$33, MATCH(K1142/$AH1142, F!$O$21:$O$33,1), MATCH(E1142, F!$P$20:$AB$20,1)),0) +  IFERROR( Q1142*INDEX(F!$P$21:$AB$33, MATCH(O1142/$AH1142, F!$O$21:$O$33,1), MATCH(E1142, F!$P$20:$AB$20,1)), 0) + IFERROR( U1142*INDEX(F!$P$21:$AB$33, MATCH(S1142/$AH1142, F!$O$21:$O$33,1), MATCH(E1142, F!$P$20:$AB$20,1)),0)  + IFERROR(Y1142*INDEX(F!$P$21:$AB$33, MATCH(W1142/$AH1142, F!$O$21:$O$33,1), MATCH(E1142, F!$P$20:$AB$20,1)),0)  + IFERROR( AC1142*INDEX(F!$P$21:$AB$33, MATCH(AA1142/$AH1142, F!$O$21:$O$33,1), MATCH(E1142, F!$P$20:$AB$20,1)),)</f>
        <v>0</v>
      </c>
      <c r="AL1142" s="42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</row>
    <row r="1143" ht="15.75" hidden="1" customHeight="1">
      <c r="A1143" s="44">
        <f>A1087+A1066</f>
        <v>43924</v>
      </c>
      <c r="B1143" s="135" t="str">
        <f t="shared" ref="B1143:F1143" si="2309">IF(B1087="","",B1087)</f>
        <v>Тяжелая</v>
      </c>
      <c r="C1143" s="136" t="str">
        <f t="shared" si="2309"/>
        <v>ЖМ</v>
      </c>
      <c r="D1143" s="137" t="str">
        <f t="shared" si="2309"/>
        <v>Жим лежа</v>
      </c>
      <c r="E1143" s="48">
        <f t="shared" si="2309"/>
        <v>1</v>
      </c>
      <c r="F1143" s="138" t="str">
        <f t="shared" si="2309"/>
        <v/>
      </c>
      <c r="G1143" s="139" t="str">
        <f t="shared" si="2310"/>
        <v/>
      </c>
      <c r="H1143" s="140"/>
      <c r="I1143" s="140"/>
      <c r="J1143" s="141"/>
      <c r="K1143" s="139" t="str">
        <f t="shared" si="2311"/>
        <v/>
      </c>
      <c r="L1143" s="140"/>
      <c r="M1143" s="140"/>
      <c r="N1143" s="141"/>
      <c r="O1143" s="139" t="str">
        <f t="shared" si="2312"/>
        <v/>
      </c>
      <c r="P1143" s="140"/>
      <c r="Q1143" s="140"/>
      <c r="R1143" s="141"/>
      <c r="S1143" s="139" t="str">
        <f t="shared" si="2313"/>
        <v/>
      </c>
      <c r="T1143" s="140"/>
      <c r="U1143" s="140"/>
      <c r="V1143" s="141"/>
      <c r="W1143" s="139" t="str">
        <f t="shared" si="2314"/>
        <v/>
      </c>
      <c r="X1143" s="140"/>
      <c r="Y1143" s="140"/>
      <c r="Z1143" s="141"/>
      <c r="AA1143" s="139" t="str">
        <f t="shared" si="2315"/>
        <v/>
      </c>
      <c r="AB1143" s="140"/>
      <c r="AC1143" s="140"/>
      <c r="AD1143" s="141"/>
      <c r="AE1143" s="142">
        <f t="shared" si="2316"/>
        <v>0</v>
      </c>
      <c r="AF1143" s="143">
        <f t="shared" si="2278"/>
        <v>0</v>
      </c>
      <c r="AG1143" s="144">
        <f t="shared" si="2317"/>
        <v>0</v>
      </c>
      <c r="AH1143" s="76">
        <f t="shared" si="2318"/>
        <v>141.1650026</v>
      </c>
      <c r="AI1143" s="143">
        <f> ( IF(ISNUMBER(G1143), VLOOKUP(G1143/$AH1143,F!$A1:$B101,2,1)*G1143*$H1143*$I1143,0)+IF(ISNUMBER(K1143), VLOOKUP(K1143/$AH1143,F!$A1:$B101,2,1)*K1143*$L1143*$M1143,0)+IF(ISNUMBER(O1143), VLOOKUP(O1143/$AH1143,F!$A1:$B101,2,1)*O1143*$P1143*$Q1143,0)+IF(ISNUMBER(S1143), VLOOKUP(S1143/$AH1143,F!$A1:$B101,2,1)*S1143*$T1143*$U1143,0)+IF(ISNUMBER(W1143), VLOOKUP(W1143/$AH1143,F!$A1:$B101,2,1)*W1143*$X1143*$Y1143,0)+IF(ISNUMBER(AA1143), VLOOKUP(AA1143/$AH1143,F!$A1:$B101,2,1)*AA1143*$AB1143*$AC1143,0))*IF(ISNUMBER(F1143),F1143,1)*IF(ISNUMBER(E1143),E1143,1)</f>
        <v>0</v>
      </c>
      <c r="AJ1143" s="140">
        <f t="shared" si="2319"/>
        <v>0</v>
      </c>
      <c r="AK1143" s="145">
        <f t="array" ref="AK1143">IFERROR(I1143*INDEX(F!$P$21:$AB$33, MATCH(G1143/$AH1143, F!$O$21:$O$33,1), MATCH(E1143, F!$P$20:$AB$20,1)), 0 ) +IFERROR( M1143*INDEX(F!$P$21:$AB$33, MATCH(K1143/$AH1143, F!$O$21:$O$33,1), MATCH(E1143, F!$P$20:$AB$20,1)),0) +  IFERROR( Q1143*INDEX(F!$P$21:$AB$33, MATCH(O1143/$AH1143, F!$O$21:$O$33,1), MATCH(E1143, F!$P$20:$AB$20,1)), 0) + IFERROR( U1143*INDEX(F!$P$21:$AB$33, MATCH(S1143/$AH1143, F!$O$21:$O$33,1), MATCH(E1143, F!$P$20:$AB$20,1)),0)  + IFERROR(Y1143*INDEX(F!$P$21:$AB$33, MATCH(W1143/$AH1143, F!$O$21:$O$33,1), MATCH(E1143, F!$P$20:$AB$20,1)),0)  + IFERROR( AC1143*INDEX(F!$P$21:$AB$33, MATCH(AA1143/$AH1143, F!$O$21:$O$33,1), MATCH(E1143, F!$P$20:$AB$20,1)),)</f>
        <v>0</v>
      </c>
      <c r="AL1143" s="59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</row>
    <row r="1144" ht="15.75" hidden="1" customHeight="1">
      <c r="A1144" s="59"/>
      <c r="B1144" s="173" t="str">
        <f t="shared" ref="B1144:F1144" si="2320">IF(B1088="","",B1088)</f>
        <v>Средняя</v>
      </c>
      <c r="C1144" s="174" t="str">
        <f t="shared" si="2320"/>
        <v>ПР</v>
      </c>
      <c r="D1144" s="175" t="str">
        <f t="shared" si="2320"/>
        <v>Присед</v>
      </c>
      <c r="E1144" s="48">
        <f t="shared" si="2320"/>
        <v>1.2</v>
      </c>
      <c r="F1144" s="176" t="str">
        <f t="shared" si="2320"/>
        <v/>
      </c>
      <c r="G1144" s="177" t="str">
        <f t="shared" si="2310"/>
        <v/>
      </c>
      <c r="H1144" s="178"/>
      <c r="I1144" s="178"/>
      <c r="J1144" s="179"/>
      <c r="K1144" s="177" t="str">
        <f t="shared" si="2311"/>
        <v/>
      </c>
      <c r="L1144" s="178"/>
      <c r="M1144" s="178"/>
      <c r="N1144" s="179"/>
      <c r="O1144" s="177" t="str">
        <f t="shared" si="2312"/>
        <v/>
      </c>
      <c r="P1144" s="178"/>
      <c r="Q1144" s="178"/>
      <c r="R1144" s="179"/>
      <c r="S1144" s="177" t="str">
        <f t="shared" si="2313"/>
        <v/>
      </c>
      <c r="T1144" s="178"/>
      <c r="U1144" s="178"/>
      <c r="V1144" s="179"/>
      <c r="W1144" s="177" t="str">
        <f t="shared" si="2314"/>
        <v/>
      </c>
      <c r="X1144" s="178"/>
      <c r="Y1144" s="178"/>
      <c r="Z1144" s="179"/>
      <c r="AA1144" s="177" t="str">
        <f t="shared" si="2315"/>
        <v/>
      </c>
      <c r="AB1144" s="178"/>
      <c r="AC1144" s="178"/>
      <c r="AD1144" s="179"/>
      <c r="AE1144" s="180">
        <f t="shared" si="2316"/>
        <v>0</v>
      </c>
      <c r="AF1144" s="181">
        <f t="shared" si="2278"/>
        <v>0</v>
      </c>
      <c r="AG1144" s="182">
        <f t="shared" si="2317"/>
        <v>0</v>
      </c>
      <c r="AH1144" s="76">
        <f t="shared" si="2318"/>
        <v>200.6028985</v>
      </c>
      <c r="AI1144" s="181">
        <f> ( IF(ISNUMBER(G1144), VLOOKUP(G1144/$AH1144,F!$A1:$B101,2,1)*G1144*$H1144*$I1144,0)+IF(ISNUMBER(K1144), VLOOKUP(K1144/$AH1144,F!$A1:$B101,2,1)*K1144*$L1144*$M1144,0)+IF(ISNUMBER(O1144), VLOOKUP(O1144/$AH1144,F!$A1:$B101,2,1)*O1144*$P1144*$Q1144,0)+IF(ISNUMBER(S1144), VLOOKUP(S1144/$AH1144,F!$A1:$B101,2,1)*S1144*$T1144*$U1144,0)+IF(ISNUMBER(W1144), VLOOKUP(W1144/$AH1144,F!$A1:$B101,2,1)*W1144*$X1144*$Y1144,0)+IF(ISNUMBER(AA1144), VLOOKUP(AA1144/$AH1144,F!$A1:$B101,2,1)*AA1144*$AB1144*$AC1144,0))*IF(ISNUMBER(F1144),F1144,1)*IF(ISNUMBER(E1144),E1144,1)</f>
        <v>0</v>
      </c>
      <c r="AJ1144" s="178">
        <f t="shared" si="2319"/>
        <v>0</v>
      </c>
      <c r="AK1144" s="183">
        <f t="array" ref="AK1144">IFERROR(I1144*INDEX(F!$P$21:$AB$33, MATCH(G1144/$AH1144, F!$O$21:$O$33,1), MATCH(E1144, F!$P$20:$AB$20,1)), 0 ) +IFERROR( M1144*INDEX(F!$P$21:$AB$33, MATCH(K1144/$AH1144, F!$O$21:$O$33,1), MATCH(E1144, F!$P$20:$AB$20,1)),0) +  IFERROR( Q1144*INDEX(F!$P$21:$AB$33, MATCH(O1144/$AH1144, F!$O$21:$O$33,1), MATCH(E1144, F!$P$20:$AB$20,1)), 0) + IFERROR( U1144*INDEX(F!$P$21:$AB$33, MATCH(S1144/$AH1144, F!$O$21:$O$33,1), MATCH(E1144, F!$P$20:$AB$20,1)),0)  + IFERROR(Y1144*INDEX(F!$P$21:$AB$33, MATCH(W1144/$AH1144, F!$O$21:$O$33,1), MATCH(E1144, F!$P$20:$AB$20,1)),0)  + IFERROR( AC1144*INDEX(F!$P$21:$AB$33, MATCH(AA1144/$AH1144, F!$O$21:$O$33,1), MATCH(E1144, F!$P$20:$AB$20,1)),)</f>
        <v>0</v>
      </c>
      <c r="AL1144" s="59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</row>
    <row r="1145" ht="15.75" hidden="1" customHeight="1">
      <c r="A1145" s="59"/>
      <c r="B1145" s="135" t="str">
        <f t="shared" ref="B1145:F1145" si="2321">IF(B1089="","",B1089)</f>
        <v>Средняя</v>
      </c>
      <c r="C1145" s="136" t="str">
        <f t="shared" si="2321"/>
        <v>ЖМ</v>
      </c>
      <c r="D1145" s="137" t="str">
        <f t="shared" si="2321"/>
        <v>Жим на наклонной скамье</v>
      </c>
      <c r="E1145" s="48">
        <f t="shared" si="2321"/>
        <v>1</v>
      </c>
      <c r="F1145" s="138" t="str">
        <f t="shared" si="2321"/>
        <v/>
      </c>
      <c r="G1145" s="139" t="str">
        <f t="shared" si="2310"/>
        <v/>
      </c>
      <c r="H1145" s="140"/>
      <c r="I1145" s="140"/>
      <c r="J1145" s="141"/>
      <c r="K1145" s="139" t="str">
        <f t="shared" si="2311"/>
        <v/>
      </c>
      <c r="L1145" s="140"/>
      <c r="M1145" s="140"/>
      <c r="N1145" s="141"/>
      <c r="O1145" s="139" t="str">
        <f t="shared" si="2312"/>
        <v/>
      </c>
      <c r="P1145" s="140"/>
      <c r="Q1145" s="140"/>
      <c r="R1145" s="141"/>
      <c r="S1145" s="139" t="str">
        <f t="shared" si="2313"/>
        <v/>
      </c>
      <c r="T1145" s="140"/>
      <c r="U1145" s="140"/>
      <c r="V1145" s="141"/>
      <c r="W1145" s="139" t="str">
        <f t="shared" si="2314"/>
        <v/>
      </c>
      <c r="X1145" s="140"/>
      <c r="Y1145" s="140"/>
      <c r="Z1145" s="141"/>
      <c r="AA1145" s="139" t="str">
        <f t="shared" si="2315"/>
        <v/>
      </c>
      <c r="AB1145" s="140"/>
      <c r="AC1145" s="140"/>
      <c r="AD1145" s="141"/>
      <c r="AE1145" s="142">
        <f t="shared" si="2316"/>
        <v>0</v>
      </c>
      <c r="AF1145" s="143">
        <f t="shared" si="2278"/>
        <v>0</v>
      </c>
      <c r="AG1145" s="144">
        <f t="shared" si="2317"/>
        <v>0</v>
      </c>
      <c r="AH1145" s="76">
        <f t="shared" si="2318"/>
        <v>112.9320021</v>
      </c>
      <c r="AI1145" s="143">
        <f> ( IF(ISNUMBER(G1145), VLOOKUP(G1145/$AH1145,F!$A1:$B101,2,1)*G1145*$H1145*$I1145,0)+IF(ISNUMBER(K1145), VLOOKUP(K1145/$AH1145,F!$A1:$B101,2,1)*K1145*$L1145*$M1145,0)+IF(ISNUMBER(O1145), VLOOKUP(O1145/$AH1145,F!$A1:$B101,2,1)*O1145*$P1145*$Q1145,0)+IF(ISNUMBER(S1145), VLOOKUP(S1145/$AH1145,F!$A1:$B101,2,1)*S1145*$T1145*$U1145,0)+IF(ISNUMBER(W1145), VLOOKUP(W1145/$AH1145,F!$A1:$B101,2,1)*W1145*$X1145*$Y1145,0)+IF(ISNUMBER(AA1145), VLOOKUP(AA1145/$AH1145,F!$A1:$B101,2,1)*AA1145*$AB1145*$AC1145,0))*IF(ISNUMBER(F1145),F1145,1)*IF(ISNUMBER(E1145),E1145,1)</f>
        <v>0</v>
      </c>
      <c r="AJ1145" s="140">
        <f t="shared" si="2319"/>
        <v>0</v>
      </c>
      <c r="AK1145" s="145">
        <f t="array" ref="AK1145">IFERROR(I1145*INDEX(F!$P$21:$AB$33, MATCH(G1145/$AH1145, F!$O$21:$O$33,1), MATCH(E1145, F!$P$20:$AB$20,1)), 0 ) +IFERROR( M1145*INDEX(F!$P$21:$AB$33, MATCH(K1145/$AH1145, F!$O$21:$O$33,1), MATCH(E1145, F!$P$20:$AB$20,1)),0) +  IFERROR( Q1145*INDEX(F!$P$21:$AB$33, MATCH(O1145/$AH1145, F!$O$21:$O$33,1), MATCH(E1145, F!$P$20:$AB$20,1)), 0) + IFERROR( U1145*INDEX(F!$P$21:$AB$33, MATCH(S1145/$AH1145, F!$O$21:$O$33,1), MATCH(E1145, F!$P$20:$AB$20,1)),0)  + IFERROR(Y1145*INDEX(F!$P$21:$AB$33, MATCH(W1145/$AH1145, F!$O$21:$O$33,1), MATCH(E1145, F!$P$20:$AB$20,1)),0)  + IFERROR( AC1145*INDEX(F!$P$21:$AB$33, MATCH(AA1145/$AH1145, F!$O$21:$O$33,1), MATCH(E1145, F!$P$20:$AB$20,1)),)</f>
        <v>0</v>
      </c>
      <c r="AL1145" s="59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</row>
    <row r="1146" ht="15.75" hidden="1" customHeight="1">
      <c r="A1146" s="59"/>
      <c r="B1146" s="173" t="str">
        <f t="shared" ref="B1146:F1146" si="2322">IF(B1090="","",B1090)</f>
        <v>Средняя</v>
      </c>
      <c r="C1146" s="174" t="str">
        <f t="shared" si="2322"/>
        <v>ОФП</v>
      </c>
      <c r="D1146" s="175" t="str">
        <f t="shared" si="2322"/>
        <v>Бицепс стоя</v>
      </c>
      <c r="E1146" s="48">
        <f t="shared" si="2322"/>
        <v>0.5</v>
      </c>
      <c r="F1146" s="176" t="str">
        <f t="shared" si="2322"/>
        <v/>
      </c>
      <c r="G1146" s="177" t="str">
        <f t="shared" si="2310"/>
        <v/>
      </c>
      <c r="H1146" s="178"/>
      <c r="I1146" s="178"/>
      <c r="J1146" s="179"/>
      <c r="K1146" s="177" t="str">
        <f t="shared" si="2311"/>
        <v/>
      </c>
      <c r="L1146" s="178"/>
      <c r="M1146" s="178"/>
      <c r="N1146" s="179"/>
      <c r="O1146" s="177" t="str">
        <f t="shared" si="2312"/>
        <v/>
      </c>
      <c r="P1146" s="178"/>
      <c r="Q1146" s="178"/>
      <c r="R1146" s="179"/>
      <c r="S1146" s="177" t="str">
        <f t="shared" si="2313"/>
        <v/>
      </c>
      <c r="T1146" s="178"/>
      <c r="U1146" s="178"/>
      <c r="V1146" s="179"/>
      <c r="W1146" s="177" t="str">
        <f t="shared" si="2314"/>
        <v/>
      </c>
      <c r="X1146" s="178"/>
      <c r="Y1146" s="178"/>
      <c r="Z1146" s="179"/>
      <c r="AA1146" s="177" t="str">
        <f t="shared" si="2315"/>
        <v/>
      </c>
      <c r="AB1146" s="178"/>
      <c r="AC1146" s="178"/>
      <c r="AD1146" s="179"/>
      <c r="AE1146" s="180">
        <f t="shared" si="2316"/>
        <v>0</v>
      </c>
      <c r="AF1146" s="181">
        <f t="shared" si="2278"/>
        <v>0</v>
      </c>
      <c r="AG1146" s="182">
        <f t="shared" si="2317"/>
        <v>0</v>
      </c>
      <c r="AH1146" s="76" t="str">
        <f t="shared" si="2318"/>
        <v/>
      </c>
      <c r="AI1146" s="181">
        <f> ( IF(ISNUMBER(G1146), VLOOKUP(G1146/$AH1146,F!$A1:$B101,2,1)*G1146*$H1146*$I1146,0)+IF(ISNUMBER(K1146), VLOOKUP(K1146/$AH1146,F!$A1:$B101,2,1)*K1146*$L1146*$M1146,0)+IF(ISNUMBER(O1146), VLOOKUP(O1146/$AH1146,F!$A1:$B101,2,1)*O1146*$P1146*$Q1146,0)+IF(ISNUMBER(S1146), VLOOKUP(S1146/$AH1146,F!$A1:$B101,2,1)*S1146*$T1146*$U1146,0)+IF(ISNUMBER(W1146), VLOOKUP(W1146/$AH1146,F!$A1:$B101,2,1)*W1146*$X1146*$Y1146,0)+IF(ISNUMBER(AA1146), VLOOKUP(AA1146/$AH1146,F!$A1:$B101,2,1)*AA1146*$AB1146*$AC1146,0))*IF(ISNUMBER(F1146),F1146,1)*IF(ISNUMBER(E1146),E1146,1)</f>
        <v>0</v>
      </c>
      <c r="AJ1146" s="178">
        <f t="shared" si="2319"/>
        <v>0</v>
      </c>
      <c r="AK1146" s="183">
        <f t="array" ref="AK1146">IFERROR(I1146*INDEX(F!$P$21:$AB$33, MATCH(G1146/$AH1146, F!$O$21:$O$33,1), MATCH(E1146, F!$P$20:$AB$20,1)), 0 ) +IFERROR( M1146*INDEX(F!$P$21:$AB$33, MATCH(K1146/$AH1146, F!$O$21:$O$33,1), MATCH(E1146, F!$P$20:$AB$20,1)),0) +  IFERROR( Q1146*INDEX(F!$P$21:$AB$33, MATCH(O1146/$AH1146, F!$O$21:$O$33,1), MATCH(E1146, F!$P$20:$AB$20,1)), 0) + IFERROR( U1146*INDEX(F!$P$21:$AB$33, MATCH(S1146/$AH1146, F!$O$21:$O$33,1), MATCH(E1146, F!$P$20:$AB$20,1)),0)  + IFERROR(Y1146*INDEX(F!$P$21:$AB$33, MATCH(W1146/$AH1146, F!$O$21:$O$33,1), MATCH(E1146, F!$P$20:$AB$20,1)),0)  + IFERROR( AC1146*INDEX(F!$P$21:$AB$33, MATCH(AA1146/$AH1146, F!$O$21:$O$33,1), MATCH(E1146, F!$P$20:$AB$20,1)),)</f>
        <v>0</v>
      </c>
      <c r="AL1146" s="59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</row>
    <row r="1147" ht="15.75" hidden="1" customHeight="1">
      <c r="A1147" s="59"/>
      <c r="B1147" s="135" t="str">
        <f t="shared" ref="B1147:F1147" si="2323">IF(B1091="","",B1091)</f>
        <v/>
      </c>
      <c r="C1147" s="136" t="str">
        <f t="shared" si="2323"/>
        <v/>
      </c>
      <c r="D1147" s="137" t="str">
        <f t="shared" si="2323"/>
        <v/>
      </c>
      <c r="E1147" s="48" t="str">
        <f t="shared" si="2323"/>
        <v/>
      </c>
      <c r="F1147" s="138" t="str">
        <f t="shared" si="2323"/>
        <v/>
      </c>
      <c r="G1147" s="139" t="str">
        <f t="shared" si="2310"/>
        <v/>
      </c>
      <c r="H1147" s="140"/>
      <c r="I1147" s="140"/>
      <c r="J1147" s="141"/>
      <c r="K1147" s="139" t="str">
        <f t="shared" si="2311"/>
        <v/>
      </c>
      <c r="L1147" s="140"/>
      <c r="M1147" s="140"/>
      <c r="N1147" s="141"/>
      <c r="O1147" s="139" t="str">
        <f t="shared" si="2312"/>
        <v/>
      </c>
      <c r="P1147" s="140"/>
      <c r="Q1147" s="140"/>
      <c r="R1147" s="141"/>
      <c r="S1147" s="139" t="str">
        <f t="shared" si="2313"/>
        <v/>
      </c>
      <c r="T1147" s="140"/>
      <c r="U1147" s="140"/>
      <c r="V1147" s="141"/>
      <c r="W1147" s="139" t="str">
        <f t="shared" si="2314"/>
        <v/>
      </c>
      <c r="X1147" s="140"/>
      <c r="Y1147" s="140"/>
      <c r="Z1147" s="141"/>
      <c r="AA1147" s="139" t="str">
        <f t="shared" si="2315"/>
        <v/>
      </c>
      <c r="AB1147" s="140"/>
      <c r="AC1147" s="140"/>
      <c r="AD1147" s="141"/>
      <c r="AE1147" s="142">
        <f t="shared" si="2316"/>
        <v>0</v>
      </c>
      <c r="AF1147" s="143">
        <f t="shared" si="2278"/>
        <v>0</v>
      </c>
      <c r="AG1147" s="144">
        <f t="shared" si="2317"/>
        <v>0</v>
      </c>
      <c r="AH1147" s="76" t="str">
        <f t="shared" si="2318"/>
        <v/>
      </c>
      <c r="AI1147" s="143">
        <f> ( IF(ISNUMBER(G1147), VLOOKUP(G1147/$AH1147,F!$A1:$B101,2,1)*G1147*$H1147*$I1147,0)+IF(ISNUMBER(K1147), VLOOKUP(K1147/$AH1147,F!$A1:$B101,2,1)*K1147*$L1147*$M1147,0)+IF(ISNUMBER(O1147), VLOOKUP(O1147/$AH1147,F!$A1:$B101,2,1)*O1147*$P1147*$Q1147,0)+IF(ISNUMBER(S1147), VLOOKUP(S1147/$AH1147,F!$A1:$B101,2,1)*S1147*$T1147*$U1147,0)+IF(ISNUMBER(W1147), VLOOKUP(W1147/$AH1147,F!$A1:$B101,2,1)*W1147*$X1147*$Y1147,0)+IF(ISNUMBER(AA1147), VLOOKUP(AA1147/$AH1147,F!$A1:$B101,2,1)*AA1147*$AB1147*$AC1147,0))*IF(ISNUMBER(F1147),F1147,1)*IF(ISNUMBER(E1147),E1147,1)</f>
        <v>0</v>
      </c>
      <c r="AJ1147" s="140">
        <f t="shared" si="2319"/>
        <v>0</v>
      </c>
      <c r="AK1147" s="145">
        <f t="array" ref="AK1147">IFERROR(I1147*INDEX(F!$P$21:$AB$33, MATCH(G1147/$AH1147, F!$O$21:$O$33,1), MATCH(E1147, F!$P$20:$AB$20,1)), 0 ) +IFERROR( M1147*INDEX(F!$P$21:$AB$33, MATCH(K1147/$AH1147, F!$O$21:$O$33,1), MATCH(E1147, F!$P$20:$AB$20,1)),0) +  IFERROR( Q1147*INDEX(F!$P$21:$AB$33, MATCH(O1147/$AH1147, F!$O$21:$O$33,1), MATCH(E1147, F!$P$20:$AB$20,1)), 0) + IFERROR( U1147*INDEX(F!$P$21:$AB$33, MATCH(S1147/$AH1147, F!$O$21:$O$33,1), MATCH(E1147, F!$P$20:$AB$20,1)),0)  + IFERROR(Y1147*INDEX(F!$P$21:$AB$33, MATCH(W1147/$AH1147, F!$O$21:$O$33,1), MATCH(E1147, F!$P$20:$AB$20,1)),0)  + IFERROR( AC1147*INDEX(F!$P$21:$AB$33, MATCH(AA1147/$AH1147, F!$O$21:$O$33,1), MATCH(E1147, F!$P$20:$AB$20,1)),)</f>
        <v>0</v>
      </c>
      <c r="AL1147" s="59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</row>
    <row r="1148" ht="15.75" hidden="1" customHeight="1">
      <c r="A1148" s="59"/>
      <c r="B1148" s="173" t="str">
        <f t="shared" ref="B1148:F1148" si="2324">IF(B1092="","",B1092)</f>
        <v/>
      </c>
      <c r="C1148" s="174" t="str">
        <f t="shared" si="2324"/>
        <v/>
      </c>
      <c r="D1148" s="175" t="str">
        <f t="shared" si="2324"/>
        <v/>
      </c>
      <c r="E1148" s="48" t="str">
        <f t="shared" si="2324"/>
        <v/>
      </c>
      <c r="F1148" s="176" t="str">
        <f t="shared" si="2324"/>
        <v/>
      </c>
      <c r="G1148" s="177" t="str">
        <f t="shared" si="2310"/>
        <v/>
      </c>
      <c r="H1148" s="178"/>
      <c r="I1148" s="178"/>
      <c r="J1148" s="179"/>
      <c r="K1148" s="177" t="str">
        <f t="shared" si="2311"/>
        <v/>
      </c>
      <c r="L1148" s="178"/>
      <c r="M1148" s="178"/>
      <c r="N1148" s="179"/>
      <c r="O1148" s="177" t="str">
        <f t="shared" si="2312"/>
        <v/>
      </c>
      <c r="P1148" s="178"/>
      <c r="Q1148" s="178"/>
      <c r="R1148" s="179"/>
      <c r="S1148" s="177" t="str">
        <f t="shared" si="2313"/>
        <v/>
      </c>
      <c r="T1148" s="178"/>
      <c r="U1148" s="178"/>
      <c r="V1148" s="179"/>
      <c r="W1148" s="177" t="str">
        <f t="shared" si="2314"/>
        <v/>
      </c>
      <c r="X1148" s="178"/>
      <c r="Y1148" s="178"/>
      <c r="Z1148" s="179"/>
      <c r="AA1148" s="177" t="str">
        <f t="shared" si="2315"/>
        <v/>
      </c>
      <c r="AB1148" s="178"/>
      <c r="AC1148" s="178"/>
      <c r="AD1148" s="179"/>
      <c r="AE1148" s="180">
        <f t="shared" si="2316"/>
        <v>0</v>
      </c>
      <c r="AF1148" s="181">
        <f t="shared" si="2278"/>
        <v>0</v>
      </c>
      <c r="AG1148" s="182">
        <f t="shared" si="2317"/>
        <v>0</v>
      </c>
      <c r="AH1148" s="76" t="str">
        <f t="shared" si="2318"/>
        <v/>
      </c>
      <c r="AI1148" s="181">
        <f> ( IF(ISNUMBER(G1148), VLOOKUP(G1148/$AH1148,F!$A1:$B101,2,1)*G1148*$H1148*$I1148,0)+IF(ISNUMBER(K1148), VLOOKUP(K1148/$AH1148,F!$A1:$B101,2,1)*K1148*$L1148*$M1148,0)+IF(ISNUMBER(O1148), VLOOKUP(O1148/$AH1148,F!$A1:$B101,2,1)*O1148*$P1148*$Q1148,0)+IF(ISNUMBER(S1148), VLOOKUP(S1148/$AH1148,F!$A1:$B101,2,1)*S1148*$T1148*$U1148,0)+IF(ISNUMBER(W1148), VLOOKUP(W1148/$AH1148,F!$A1:$B101,2,1)*W1148*$X1148*$Y1148,0)+IF(ISNUMBER(AA1148), VLOOKUP(AA1148/$AH1148,F!$A1:$B101,2,1)*AA1148*$AB1148*$AC1148,0))*IF(ISNUMBER(F1148),F1148,1)*IF(ISNUMBER(E1148),E1148,1)</f>
        <v>0</v>
      </c>
      <c r="AJ1148" s="178">
        <f t="shared" si="2319"/>
        <v>0</v>
      </c>
      <c r="AK1148" s="183">
        <f t="array" ref="AK1148">IFERROR(I1148*INDEX(F!$P$21:$AB$33, MATCH(G1148/$AH1148, F!$O$21:$O$33,1), MATCH(E1148, F!$P$20:$AB$20,1)), 0 ) +IFERROR( M1148*INDEX(F!$P$21:$AB$33, MATCH(K1148/$AH1148, F!$O$21:$O$33,1), MATCH(E1148, F!$P$20:$AB$20,1)),0) +  IFERROR( Q1148*INDEX(F!$P$21:$AB$33, MATCH(O1148/$AH1148, F!$O$21:$O$33,1), MATCH(E1148, F!$P$20:$AB$20,1)), 0) + IFERROR( U1148*INDEX(F!$P$21:$AB$33, MATCH(S1148/$AH1148, F!$O$21:$O$33,1), MATCH(E1148, F!$P$20:$AB$20,1)),0)  + IFERROR(Y1148*INDEX(F!$P$21:$AB$33, MATCH(W1148/$AH1148, F!$O$21:$O$33,1), MATCH(E1148, F!$P$20:$AB$20,1)),0)  + IFERROR( AC1148*INDEX(F!$P$21:$AB$33, MATCH(AA1148/$AH1148, F!$O$21:$O$33,1), MATCH(E1148, F!$P$20:$AB$20,1)),)</f>
        <v>0</v>
      </c>
      <c r="AL1148" s="59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</row>
    <row r="1149" ht="15.75" hidden="1" customHeight="1">
      <c r="A1149" s="59"/>
      <c r="B1149" s="135" t="str">
        <f t="shared" ref="B1149:F1149" si="2325">IF(B1093="","",B1093)</f>
        <v/>
      </c>
      <c r="C1149" s="136" t="str">
        <f t="shared" si="2325"/>
        <v/>
      </c>
      <c r="D1149" s="137" t="str">
        <f t="shared" si="2325"/>
        <v/>
      </c>
      <c r="E1149" s="48" t="str">
        <f t="shared" si="2325"/>
        <v/>
      </c>
      <c r="F1149" s="138" t="str">
        <f t="shared" si="2325"/>
        <v/>
      </c>
      <c r="G1149" s="139" t="str">
        <f t="shared" si="2310"/>
        <v/>
      </c>
      <c r="H1149" s="140"/>
      <c r="I1149" s="140"/>
      <c r="J1149" s="141"/>
      <c r="K1149" s="139" t="str">
        <f t="shared" si="2311"/>
        <v/>
      </c>
      <c r="L1149" s="140"/>
      <c r="M1149" s="140"/>
      <c r="N1149" s="141"/>
      <c r="O1149" s="139" t="str">
        <f t="shared" si="2312"/>
        <v/>
      </c>
      <c r="P1149" s="140"/>
      <c r="Q1149" s="140"/>
      <c r="R1149" s="141"/>
      <c r="S1149" s="139" t="str">
        <f t="shared" si="2313"/>
        <v/>
      </c>
      <c r="T1149" s="140"/>
      <c r="U1149" s="140"/>
      <c r="V1149" s="141"/>
      <c r="W1149" s="139" t="str">
        <f t="shared" si="2314"/>
        <v/>
      </c>
      <c r="X1149" s="140"/>
      <c r="Y1149" s="140"/>
      <c r="Z1149" s="141"/>
      <c r="AA1149" s="139" t="str">
        <f t="shared" si="2315"/>
        <v/>
      </c>
      <c r="AB1149" s="140"/>
      <c r="AC1149" s="140"/>
      <c r="AD1149" s="141"/>
      <c r="AE1149" s="142">
        <f t="shared" si="2316"/>
        <v>0</v>
      </c>
      <c r="AF1149" s="143">
        <f t="shared" si="2278"/>
        <v>0</v>
      </c>
      <c r="AG1149" s="144">
        <f t="shared" si="2317"/>
        <v>0</v>
      </c>
      <c r="AH1149" s="76" t="str">
        <f t="shared" si="2318"/>
        <v/>
      </c>
      <c r="AI1149" s="143">
        <f> ( IF(ISNUMBER(G1149), VLOOKUP(G1149/$AH1149,F!$A1:$B101,2,1)*G1149*$H1149*$I1149,0)+IF(ISNUMBER(K1149), VLOOKUP(K1149/$AH1149,F!$A1:$B101,2,1)*K1149*$L1149*$M1149,0)+IF(ISNUMBER(O1149), VLOOKUP(O1149/$AH1149,F!$A1:$B101,2,1)*O1149*$P1149*$Q1149,0)+IF(ISNUMBER(S1149), VLOOKUP(S1149/$AH1149,F!$A1:$B101,2,1)*S1149*$T1149*$U1149,0)+IF(ISNUMBER(W1149), VLOOKUP(W1149/$AH1149,F!$A1:$B101,2,1)*W1149*$X1149*$Y1149,0)+IF(ISNUMBER(AA1149), VLOOKUP(AA1149/$AH1149,F!$A1:$B101,2,1)*AA1149*$AB1149*$AC1149,0))*IF(ISNUMBER(F1149),F1149,1)*IF(ISNUMBER(E1149),E1149,1)</f>
        <v>0</v>
      </c>
      <c r="AJ1149" s="140">
        <f t="shared" si="2319"/>
        <v>0</v>
      </c>
      <c r="AK1149" s="145">
        <f t="array" ref="AK1149">IFERROR(I1149*INDEX(F!$P$21:$AB$33, MATCH(G1149/$AH1149, F!$O$21:$O$33,1), MATCH(E1149, F!$P$20:$AB$20,1)), 0 ) +IFERROR( M1149*INDEX(F!$P$21:$AB$33, MATCH(K1149/$AH1149, F!$O$21:$O$33,1), MATCH(E1149, F!$P$20:$AB$20,1)),0) +  IFERROR( Q1149*INDEX(F!$P$21:$AB$33, MATCH(O1149/$AH1149, F!$O$21:$O$33,1), MATCH(E1149, F!$P$20:$AB$20,1)), 0) + IFERROR( U1149*INDEX(F!$P$21:$AB$33, MATCH(S1149/$AH1149, F!$O$21:$O$33,1), MATCH(E1149, F!$P$20:$AB$20,1)),0)  + IFERROR(Y1149*INDEX(F!$P$21:$AB$33, MATCH(W1149/$AH1149, F!$O$21:$O$33,1), MATCH(E1149, F!$P$20:$AB$20,1)),0)  + IFERROR( AC1149*INDEX(F!$P$21:$AB$33, MATCH(AA1149/$AH1149, F!$O$21:$O$33,1), MATCH(E1149, F!$P$20:$AB$20,1)),)</f>
        <v>0</v>
      </c>
      <c r="AL1149" s="59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</row>
    <row r="1150" ht="15.75" hidden="1" customHeight="1">
      <c r="A1150" s="98"/>
      <c r="B1150" s="188"/>
      <c r="C1150" s="189"/>
      <c r="D1150" s="190"/>
      <c r="E1150" s="102">
        <f>ROUND(IFERROR(SUMPRODUCT(AJ1142:AJ1149,E1142:E1149)/AJ1150,0),3)</f>
        <v>0</v>
      </c>
      <c r="F1150" s="191"/>
      <c r="G1150" s="192"/>
      <c r="H1150" s="193"/>
      <c r="I1150" s="193"/>
      <c r="J1150" s="194"/>
      <c r="K1150" s="192"/>
      <c r="L1150" s="193"/>
      <c r="M1150" s="193"/>
      <c r="N1150" s="194"/>
      <c r="O1150" s="192"/>
      <c r="P1150" s="193"/>
      <c r="Q1150" s="193"/>
      <c r="R1150" s="194"/>
      <c r="S1150" s="192"/>
      <c r="T1150" s="193"/>
      <c r="U1150" s="193"/>
      <c r="V1150" s="194"/>
      <c r="W1150" s="192"/>
      <c r="X1150" s="193"/>
      <c r="Y1150" s="193"/>
      <c r="Z1150" s="194"/>
      <c r="AA1150" s="192"/>
      <c r="AB1150" s="193"/>
      <c r="AC1150" s="193"/>
      <c r="AD1150" s="194"/>
      <c r="AE1150" s="107">
        <f>SUM(AE1142:AE1149)</f>
        <v>0</v>
      </c>
      <c r="AF1150" s="108">
        <f t="shared" si="2278"/>
        <v>0</v>
      </c>
      <c r="AG1150" s="109">
        <f>IFERROR(  SUMPRODUCT(AG1142:AG1149,AJ1142:AJ1149)/AJ1150,0)</f>
        <v>0</v>
      </c>
      <c r="AH1150" s="157"/>
      <c r="AI1150" s="111">
        <f t="shared" ref="AI1150:AJ1150" si="2326">SUM(AI1142:AI1149)</f>
        <v>0</v>
      </c>
      <c r="AJ1150" s="111">
        <f t="shared" si="2326"/>
        <v>0</v>
      </c>
      <c r="AK1150" s="112">
        <f>IF(SUM(AK1142:AK1149)=0,TIME(,0,),TIME(,SUM(AK1142:AK1149)+F!$V$37,))</f>
        <v>0</v>
      </c>
      <c r="AL1150" s="98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</row>
    <row r="1151" ht="15.75" hidden="1" customHeight="1">
      <c r="A1151" s="25">
        <f>A1152</f>
        <v>43925</v>
      </c>
      <c r="B1151" s="26" t="str">
        <f t="shared" ref="B1151:F1151" si="2327">IF(B1095="","",B1095)</f>
        <v/>
      </c>
      <c r="C1151" s="27" t="str">
        <f t="shared" si="2327"/>
        <v/>
      </c>
      <c r="D1151" s="28" t="str">
        <f t="shared" si="2327"/>
        <v/>
      </c>
      <c r="E1151" s="29" t="str">
        <f t="shared" si="2327"/>
        <v/>
      </c>
      <c r="F1151" s="30" t="str">
        <f t="shared" si="2327"/>
        <v/>
      </c>
      <c r="G1151" s="31" t="str">
        <f t="shared" ref="G1151:G1158" si="2329">IF(J1151&lt;&gt;0, IFERROR(IF( $F1151=2,  MROUND($AH1151*J1151,1),    IF( OR($F1151="",$F1151=1),   MROUND($AH1151*J1151,2.5),  MROUND($AH1151*J1151, 0.1))), "" ), "")</f>
        <v/>
      </c>
      <c r="H1151" s="32"/>
      <c r="I1151" s="32"/>
      <c r="J1151" s="33"/>
      <c r="K1151" s="31" t="str">
        <f t="shared" ref="K1151:K1158" si="2330">IF(N1151&lt;&gt;0, IFERROR(IF( $F1151=2,  MROUND($AH1151*N1151,1),    IF( OR($F1151="",$F1151=1),   MROUND($AH1151*N1151,2.5),  MROUND($AH1151*N1151, 0.1))), "" ), "")</f>
        <v/>
      </c>
      <c r="L1151" s="32"/>
      <c r="M1151" s="32"/>
      <c r="N1151" s="33"/>
      <c r="O1151" s="31" t="str">
        <f t="shared" ref="O1151:O1158" si="2331">IF(R1151&lt;&gt;0, IFERROR(IF( $F1151=2,  MROUND($AH1151*R1151,1),    IF( OR($F1151="",$F1151=1),   MROUND($AH1151*R1151,2.5),  MROUND($AH1151*R1151, 0.1))), "" ), "")</f>
        <v/>
      </c>
      <c r="P1151" s="32"/>
      <c r="Q1151" s="32"/>
      <c r="R1151" s="33"/>
      <c r="S1151" s="31" t="str">
        <f t="shared" ref="S1151:S1158" si="2332">IF(V1151&lt;&gt;0, IFERROR(IF( $F1151=2,  MROUND($AH1151*V1151,1),    IF( OR($F1151="",$F1151=1),   MROUND($AH1151*V1151,2.5),  MROUND($AH1151*V1151, 0.1))), "" ), "")</f>
        <v/>
      </c>
      <c r="T1151" s="32"/>
      <c r="U1151" s="32"/>
      <c r="V1151" s="33"/>
      <c r="W1151" s="31" t="str">
        <f t="shared" ref="W1151:W1158" si="2333">IF(Z1151&lt;&gt;0, IFERROR(IF( $F1151=2,  MROUND($AH1151*Z1151,1),    IF( OR($F1151="",$F1151=1),   MROUND($AH1151*Z1151,2.5),  MROUND($AH1151*Z1151, 0.1))), "" ), "")</f>
        <v/>
      </c>
      <c r="X1151" s="32"/>
      <c r="Y1151" s="32"/>
      <c r="Z1151" s="33"/>
      <c r="AA1151" s="31" t="str">
        <f t="shared" ref="AA1151:AA1158" si="2334">IF(AD1151&lt;&gt;0, IFERROR(IF( $F1151=2,  MROUND($AH1151*AD1151,1),    IF( OR($F1151="",$F1151=1),   MROUND($AH1151*AD1151,2.5),  MROUND($AH1151*AD1151, 0.1))), "" ), "")</f>
        <v/>
      </c>
      <c r="AB1151" s="32"/>
      <c r="AC1151" s="32"/>
      <c r="AD1151" s="33"/>
      <c r="AE1151" s="35">
        <f t="shared" ref="AE1151:AE1158" si="2335">(IF(ISNUMBER(G1151),G1151,0)*H1151*I1151+IF(ISNUMBER(K1151),K1151,1)*L1151*M1151+IF(ISNUMBER(O1151),O1151,1)*P1151*Q1151+IF(ISNUMBER(S1151),S1151,1)*T1151*U1151+IF(ISNUMBER(W1151),W1151,1)*X1151*Y1151+IF(ISNUMBER(AA1151),AA1151,1)*AB1151*AC1151)*IF(ISNUMBER(F1151),F1151,1)</f>
        <v>0</v>
      </c>
      <c r="AF1151" s="36">
        <f t="shared" si="2278"/>
        <v>0</v>
      </c>
      <c r="AG1151" s="195">
        <f t="shared" ref="AG1151:AG1158" si="2336">IFERROR((AF1151/(AH1151*IF(ISNUMBER(F1151),F1151,1))),0)</f>
        <v>0</v>
      </c>
      <c r="AH1151" s="169" t="str">
        <f t="shared" ref="AH1151:AH1158" si="2337">IF(ISNUMBER(AH1095), AH1095+(AH1095*$AH$1122),"")</f>
        <v/>
      </c>
      <c r="AI1151" s="196">
        <f> ( IF(ISNUMBER(G1151), VLOOKUP(G1151/$AH1151,F!$A1:$B101,2,1)*G1151*$H1151*$I1151,0)+IF(ISNUMBER(K1151), VLOOKUP(K1151/$AH1151,F!$A1:$B101,2,1)*K1151*$L1151*$M1151,0)+IF(ISNUMBER(O1151), VLOOKUP(O1151/$AH1151,F!$A1:$B101,2,1)*O1151*$P1151*$Q1151,0)+IF(ISNUMBER(S1151), VLOOKUP(S1151/$AH1151,F!$A1:$B101,2,1)*S1151*$T1151*$U1151,0)+IF(ISNUMBER(W1151), VLOOKUP(W1151/$AH1151,F!$A1:$B101,2,1)*W1151*$X1151*$Y1151,0)+IF(ISNUMBER(AA1151), VLOOKUP(AA1151/$AH1151,F!$A1:$B101,2,1)*AA1151*$AB1151*$AC1151,0))*IF(ISNUMBER(F1151),F1151,1)*IF(ISNUMBER(E1151),E1151,1)</f>
        <v>0</v>
      </c>
      <c r="AJ1151" s="40">
        <f t="shared" ref="AJ1151:AJ1158" si="2338">H1151*I1151+L1151*M1151+P1151*Q1151+T1151*U1151+X1151*Y1151+AB1151*AC1151</f>
        <v>0</v>
      </c>
      <c r="AK1151" s="41">
        <f t="array" ref="AK1151">IFERROR(I1151*INDEX(F!$P$21:$AB$33, MATCH(G1151/$AH1151, F!$O$21:$O$33,1), MATCH(E1151, F!$P$20:$AB$20,1)), 0 ) +IFERROR( M1151*INDEX(F!$P$21:$AB$33, MATCH(K1151/$AH1151, F!$O$21:$O$33,1), MATCH(E1151, F!$P$20:$AB$20,1)),0) +  IFERROR( Q1151*INDEX(F!$P$21:$AB$33, MATCH(O1151/$AH1151, F!$O$21:$O$33,1), MATCH(E1151, F!$P$20:$AB$20,1)), 0) + IFERROR( U1151*INDEX(F!$P$21:$AB$33, MATCH(S1151/$AH1151, F!$O$21:$O$33,1), MATCH(E1151, F!$P$20:$AB$20,1)),0)  + IFERROR(Y1151*INDEX(F!$P$21:$AB$33, MATCH(W1151/$AH1151, F!$O$21:$O$33,1), MATCH(E1151, F!$P$20:$AB$20,1)),0)  + IFERROR( AC1151*INDEX(F!$P$21:$AB$33, MATCH(AA1151/$AH1151, F!$O$21:$O$33,1), MATCH(E1151, F!$P$20:$AB$20,1)),)</f>
        <v>0</v>
      </c>
      <c r="AL1151" s="42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</row>
    <row r="1152" ht="15.75" hidden="1" customHeight="1">
      <c r="A1152" s="44">
        <f>A1096+A1066</f>
        <v>43925</v>
      </c>
      <c r="B1152" s="45" t="str">
        <f t="shared" ref="B1152:F1152" si="2328">IF(B1096="","",B1096)</f>
        <v/>
      </c>
      <c r="C1152" s="46" t="str">
        <f t="shared" si="2328"/>
        <v/>
      </c>
      <c r="D1152" s="47" t="str">
        <f t="shared" si="2328"/>
        <v/>
      </c>
      <c r="E1152" s="48" t="str">
        <f t="shared" si="2328"/>
        <v/>
      </c>
      <c r="F1152" s="49" t="str">
        <f t="shared" si="2328"/>
        <v/>
      </c>
      <c r="G1152" s="50" t="str">
        <f t="shared" si="2329"/>
        <v/>
      </c>
      <c r="H1152" s="51"/>
      <c r="I1152" s="51"/>
      <c r="J1152" s="52"/>
      <c r="K1152" s="50" t="str">
        <f t="shared" si="2330"/>
        <v/>
      </c>
      <c r="L1152" s="51"/>
      <c r="M1152" s="51"/>
      <c r="N1152" s="52"/>
      <c r="O1152" s="50" t="str">
        <f t="shared" si="2331"/>
        <v/>
      </c>
      <c r="P1152" s="51"/>
      <c r="Q1152" s="51"/>
      <c r="R1152" s="52"/>
      <c r="S1152" s="50" t="str">
        <f t="shared" si="2332"/>
        <v/>
      </c>
      <c r="T1152" s="51"/>
      <c r="U1152" s="51"/>
      <c r="V1152" s="52"/>
      <c r="W1152" s="50" t="str">
        <f t="shared" si="2333"/>
        <v/>
      </c>
      <c r="X1152" s="51"/>
      <c r="Y1152" s="51"/>
      <c r="Z1152" s="52"/>
      <c r="AA1152" s="50" t="str">
        <f t="shared" si="2334"/>
        <v/>
      </c>
      <c r="AB1152" s="51"/>
      <c r="AC1152" s="51"/>
      <c r="AD1152" s="52"/>
      <c r="AE1152" s="53">
        <f t="shared" si="2335"/>
        <v>0</v>
      </c>
      <c r="AF1152" s="54">
        <f t="shared" si="2278"/>
        <v>0</v>
      </c>
      <c r="AG1152" s="75">
        <f t="shared" si="2336"/>
        <v>0</v>
      </c>
      <c r="AH1152" s="76" t="str">
        <f t="shared" si="2337"/>
        <v/>
      </c>
      <c r="AI1152" s="77">
        <f> ( IF(ISNUMBER(G1152), VLOOKUP(G1152/$AH1152,F!$A1:$B101,2,1)*G1152*$H1152*$I1152,0)+IF(ISNUMBER(K1152), VLOOKUP(K1152/$AH1152,F!$A1:$B101,2,1)*K1152*$L1152*$M1152,0)+IF(ISNUMBER(O1152), VLOOKUP(O1152/$AH1152,F!$A1:$B101,2,1)*O1152*$P1152*$Q1152,0)+IF(ISNUMBER(S1152), VLOOKUP(S1152/$AH1152,F!$A1:$B101,2,1)*S1152*$T1152*$U1152,0)+IF(ISNUMBER(W1152), VLOOKUP(W1152/$AH1152,F!$A1:$B101,2,1)*W1152*$X1152*$Y1152,0)+IF(ISNUMBER(AA1152), VLOOKUP(AA1152/$AH1152,F!$A1:$B101,2,1)*AA1152*$AB1152*$AC1152,0))*IF(ISNUMBER(F1152),F1152,1)*IF(ISNUMBER(E1152),E1152,1)</f>
        <v>0</v>
      </c>
      <c r="AJ1152" s="57">
        <f t="shared" si="2338"/>
        <v>0</v>
      </c>
      <c r="AK1152" s="58">
        <f t="array" ref="AK1152">IFERROR(I1152*INDEX(F!$P$21:$AB$33, MATCH(G1152/$AH1152, F!$O$21:$O$33,1), MATCH(E1152, F!$P$20:$AB$20,1)), 0 ) +IFERROR( M1152*INDEX(F!$P$21:$AB$33, MATCH(K1152/$AH1152, F!$O$21:$O$33,1), MATCH(E1152, F!$P$20:$AB$20,1)),0) +  IFERROR( Q1152*INDEX(F!$P$21:$AB$33, MATCH(O1152/$AH1152, F!$O$21:$O$33,1), MATCH(E1152, F!$P$20:$AB$20,1)), 0) + IFERROR( U1152*INDEX(F!$P$21:$AB$33, MATCH(S1152/$AH1152, F!$O$21:$O$33,1), MATCH(E1152, F!$P$20:$AB$20,1)),0)  + IFERROR(Y1152*INDEX(F!$P$21:$AB$33, MATCH(W1152/$AH1152, F!$O$21:$O$33,1), MATCH(E1152, F!$P$20:$AB$20,1)),0)  + IFERROR( AC1152*INDEX(F!$P$21:$AB$33, MATCH(AA1152/$AH1152, F!$O$21:$O$33,1), MATCH(E1152, F!$P$20:$AB$20,1)),)</f>
        <v>0</v>
      </c>
      <c r="AL1152" s="59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</row>
    <row r="1153" ht="15.75" hidden="1" customHeight="1">
      <c r="A1153" s="59"/>
      <c r="B1153" s="60" t="str">
        <f t="shared" ref="B1153:F1153" si="2339">IF(B1097="","",B1097)</f>
        <v/>
      </c>
      <c r="C1153" s="61" t="str">
        <f t="shared" si="2339"/>
        <v/>
      </c>
      <c r="D1153" s="62" t="str">
        <f t="shared" si="2339"/>
        <v/>
      </c>
      <c r="E1153" s="48" t="str">
        <f t="shared" si="2339"/>
        <v/>
      </c>
      <c r="F1153" s="63" t="str">
        <f t="shared" si="2339"/>
        <v/>
      </c>
      <c r="G1153" s="64" t="str">
        <f t="shared" si="2329"/>
        <v/>
      </c>
      <c r="H1153" s="34"/>
      <c r="I1153" s="34"/>
      <c r="J1153" s="65"/>
      <c r="K1153" s="64" t="str">
        <f t="shared" si="2330"/>
        <v/>
      </c>
      <c r="L1153" s="34"/>
      <c r="M1153" s="34"/>
      <c r="N1153" s="65"/>
      <c r="O1153" s="64" t="str">
        <f t="shared" si="2331"/>
        <v/>
      </c>
      <c r="P1153" s="34"/>
      <c r="Q1153" s="34"/>
      <c r="R1153" s="65"/>
      <c r="S1153" s="64" t="str">
        <f t="shared" si="2332"/>
        <v/>
      </c>
      <c r="T1153" s="34"/>
      <c r="U1153" s="34"/>
      <c r="V1153" s="65"/>
      <c r="W1153" s="64" t="str">
        <f t="shared" si="2333"/>
        <v/>
      </c>
      <c r="X1153" s="34"/>
      <c r="Y1153" s="34"/>
      <c r="Z1153" s="65"/>
      <c r="AA1153" s="64" t="str">
        <f t="shared" si="2334"/>
        <v/>
      </c>
      <c r="AB1153" s="34"/>
      <c r="AC1153" s="34"/>
      <c r="AD1153" s="65"/>
      <c r="AE1153" s="66">
        <f t="shared" si="2335"/>
        <v>0</v>
      </c>
      <c r="AF1153" s="67">
        <f t="shared" si="2278"/>
        <v>0</v>
      </c>
      <c r="AG1153" s="68">
        <f t="shared" si="2336"/>
        <v>0</v>
      </c>
      <c r="AH1153" s="76" t="str">
        <f t="shared" si="2337"/>
        <v/>
      </c>
      <c r="AI1153" s="70">
        <f> ( IF(ISNUMBER(G1153), VLOOKUP(G1153/$AH1153,F!$A1:$B101,2,1)*G1153*$H1153*$I1153,0)+IF(ISNUMBER(K1153), VLOOKUP(K1153/$AH1153,F!$A1:$B101,2,1)*K1153*$L1153*$M1153,0)+IF(ISNUMBER(O1153), VLOOKUP(O1153/$AH1153,F!$A1:$B101,2,1)*O1153*$P1153*$Q1153,0)+IF(ISNUMBER(S1153), VLOOKUP(S1153/$AH1153,F!$A1:$B101,2,1)*S1153*$T1153*$U1153,0)+IF(ISNUMBER(W1153), VLOOKUP(W1153/$AH1153,F!$A1:$B101,2,1)*W1153*$X1153*$Y1153,0)+IF(ISNUMBER(AA1153), VLOOKUP(AA1153/$AH1153,F!$A1:$B101,2,1)*AA1153*$AB1153*$AC1153,0))*IF(ISNUMBER(F1153),F1153,1)*IF(ISNUMBER(E1153),E1153,1)</f>
        <v>0</v>
      </c>
      <c r="AJ1153" s="71">
        <f t="shared" si="2338"/>
        <v>0</v>
      </c>
      <c r="AK1153" s="72">
        <f t="array" ref="AK1153">IFERROR(I1153*INDEX(F!$P$21:$AB$33, MATCH(G1153/$AH1153, F!$O$21:$O$33,1), MATCH(E1153, F!$P$20:$AB$20,1)), 0 ) +IFERROR( M1153*INDEX(F!$P$21:$AB$33, MATCH(K1153/$AH1153, F!$O$21:$O$33,1), MATCH(E1153, F!$P$20:$AB$20,1)),0) +  IFERROR( Q1153*INDEX(F!$P$21:$AB$33, MATCH(O1153/$AH1153, F!$O$21:$O$33,1), MATCH(E1153, F!$P$20:$AB$20,1)), 0) + IFERROR( U1153*INDEX(F!$P$21:$AB$33, MATCH(S1153/$AH1153, F!$O$21:$O$33,1), MATCH(E1153, F!$P$20:$AB$20,1)),0)  + IFERROR(Y1153*INDEX(F!$P$21:$AB$33, MATCH(W1153/$AH1153, F!$O$21:$O$33,1), MATCH(E1153, F!$P$20:$AB$20,1)),0)  + IFERROR( AC1153*INDEX(F!$P$21:$AB$33, MATCH(AA1153/$AH1153, F!$O$21:$O$33,1), MATCH(E1153, F!$P$20:$AB$20,1)),)</f>
        <v>0</v>
      </c>
      <c r="AL1153" s="59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</row>
    <row r="1154" ht="15.75" hidden="1" customHeight="1">
      <c r="A1154" s="59"/>
      <c r="B1154" s="215" t="str">
        <f t="shared" ref="B1154:F1154" si="2340">IF(B1098="","",B1098)</f>
        <v/>
      </c>
      <c r="C1154" s="73" t="str">
        <f t="shared" si="2340"/>
        <v/>
      </c>
      <c r="D1154" s="47" t="str">
        <f t="shared" si="2340"/>
        <v/>
      </c>
      <c r="E1154" s="48" t="str">
        <f t="shared" si="2340"/>
        <v/>
      </c>
      <c r="F1154" s="74" t="str">
        <f t="shared" si="2340"/>
        <v/>
      </c>
      <c r="G1154" s="50" t="str">
        <f t="shared" si="2329"/>
        <v/>
      </c>
      <c r="H1154" s="51"/>
      <c r="I1154" s="51"/>
      <c r="J1154" s="52"/>
      <c r="K1154" s="50" t="str">
        <f t="shared" si="2330"/>
        <v/>
      </c>
      <c r="L1154" s="51"/>
      <c r="M1154" s="51"/>
      <c r="N1154" s="52"/>
      <c r="O1154" s="50" t="str">
        <f t="shared" si="2331"/>
        <v/>
      </c>
      <c r="P1154" s="51"/>
      <c r="Q1154" s="51"/>
      <c r="R1154" s="52"/>
      <c r="S1154" s="50" t="str">
        <f t="shared" si="2332"/>
        <v/>
      </c>
      <c r="T1154" s="51"/>
      <c r="U1154" s="51"/>
      <c r="V1154" s="52"/>
      <c r="W1154" s="50" t="str">
        <f t="shared" si="2333"/>
        <v/>
      </c>
      <c r="X1154" s="51"/>
      <c r="Y1154" s="51"/>
      <c r="Z1154" s="52"/>
      <c r="AA1154" s="50" t="str">
        <f t="shared" si="2334"/>
        <v/>
      </c>
      <c r="AB1154" s="51"/>
      <c r="AC1154" s="51"/>
      <c r="AD1154" s="52"/>
      <c r="AE1154" s="53">
        <f t="shared" si="2335"/>
        <v>0</v>
      </c>
      <c r="AF1154" s="54">
        <f t="shared" si="2278"/>
        <v>0</v>
      </c>
      <c r="AG1154" s="75">
        <f t="shared" si="2336"/>
        <v>0</v>
      </c>
      <c r="AH1154" s="76" t="str">
        <f t="shared" si="2337"/>
        <v/>
      </c>
      <c r="AI1154" s="77">
        <f> ( IF(ISNUMBER(G1154), VLOOKUP(G1154/$AH1154,F!$A1:$B101,2,1)*G1154*$H1154*$I1154,0)+IF(ISNUMBER(K1154), VLOOKUP(K1154/$AH1154,F!$A1:$B101,2,1)*K1154*$L1154*$M1154,0)+IF(ISNUMBER(O1154), VLOOKUP(O1154/$AH1154,F!$A1:$B101,2,1)*O1154*$P1154*$Q1154,0)+IF(ISNUMBER(S1154), VLOOKUP(S1154/$AH1154,F!$A1:$B101,2,1)*S1154*$T1154*$U1154,0)+IF(ISNUMBER(W1154), VLOOKUP(W1154/$AH1154,F!$A1:$B101,2,1)*W1154*$X1154*$Y1154,0)+IF(ISNUMBER(AA1154), VLOOKUP(AA1154/$AH1154,F!$A1:$B101,2,1)*AA1154*$AB1154*$AC1154,0))*IF(ISNUMBER(F1154),F1154,1)*IF(ISNUMBER(E1154),E1154,1)</f>
        <v>0</v>
      </c>
      <c r="AJ1154" s="57">
        <f t="shared" si="2338"/>
        <v>0</v>
      </c>
      <c r="AK1154" s="58">
        <f t="array" ref="AK1154">IFERROR(I1154*INDEX(F!$P$21:$AB$33, MATCH(G1154/$AH1154, F!$O$21:$O$33,1), MATCH(E1154, F!$P$20:$AB$20,1)), 0 ) +IFERROR( M1154*INDEX(F!$P$21:$AB$33, MATCH(K1154/$AH1154, F!$O$21:$O$33,1), MATCH(E1154, F!$P$20:$AB$20,1)),0) +  IFERROR( Q1154*INDEX(F!$P$21:$AB$33, MATCH(O1154/$AH1154, F!$O$21:$O$33,1), MATCH(E1154, F!$P$20:$AB$20,1)), 0) + IFERROR( U1154*INDEX(F!$P$21:$AB$33, MATCH(S1154/$AH1154, F!$O$21:$O$33,1), MATCH(E1154, F!$P$20:$AB$20,1)),0)  + IFERROR(Y1154*INDEX(F!$P$21:$AB$33, MATCH(W1154/$AH1154, F!$O$21:$O$33,1), MATCH(E1154, F!$P$20:$AB$20,1)),0)  + IFERROR( AC1154*INDEX(F!$P$21:$AB$33, MATCH(AA1154/$AH1154, F!$O$21:$O$33,1), MATCH(E1154, F!$P$20:$AB$20,1)),)</f>
        <v>0</v>
      </c>
      <c r="AL1154" s="59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</row>
    <row r="1155" ht="15.75" hidden="1" customHeight="1">
      <c r="A1155" s="59"/>
      <c r="B1155" s="216" t="str">
        <f t="shared" ref="B1155:F1155" si="2341">IF(B1099="","",B1099)</f>
        <v/>
      </c>
      <c r="C1155" s="78" t="str">
        <f t="shared" si="2341"/>
        <v/>
      </c>
      <c r="D1155" s="62" t="str">
        <f t="shared" si="2341"/>
        <v/>
      </c>
      <c r="E1155" s="48" t="str">
        <f t="shared" si="2341"/>
        <v/>
      </c>
      <c r="F1155" s="79" t="str">
        <f t="shared" si="2341"/>
        <v/>
      </c>
      <c r="G1155" s="64" t="str">
        <f t="shared" si="2329"/>
        <v/>
      </c>
      <c r="H1155" s="34"/>
      <c r="I1155" s="34"/>
      <c r="J1155" s="65"/>
      <c r="K1155" s="64" t="str">
        <f t="shared" si="2330"/>
        <v/>
      </c>
      <c r="L1155" s="34"/>
      <c r="M1155" s="34"/>
      <c r="N1155" s="65"/>
      <c r="O1155" s="64" t="str">
        <f t="shared" si="2331"/>
        <v/>
      </c>
      <c r="P1155" s="34"/>
      <c r="Q1155" s="34"/>
      <c r="R1155" s="65"/>
      <c r="S1155" s="64" t="str">
        <f t="shared" si="2332"/>
        <v/>
      </c>
      <c r="T1155" s="34"/>
      <c r="U1155" s="34"/>
      <c r="V1155" s="65"/>
      <c r="W1155" s="64" t="str">
        <f t="shared" si="2333"/>
        <v/>
      </c>
      <c r="X1155" s="34"/>
      <c r="Y1155" s="34"/>
      <c r="Z1155" s="65"/>
      <c r="AA1155" s="64" t="str">
        <f t="shared" si="2334"/>
        <v/>
      </c>
      <c r="AB1155" s="34"/>
      <c r="AC1155" s="34"/>
      <c r="AD1155" s="65"/>
      <c r="AE1155" s="66">
        <f t="shared" si="2335"/>
        <v>0</v>
      </c>
      <c r="AF1155" s="67">
        <f t="shared" si="2278"/>
        <v>0</v>
      </c>
      <c r="AG1155" s="68">
        <f t="shared" si="2336"/>
        <v>0</v>
      </c>
      <c r="AH1155" s="76" t="str">
        <f t="shared" si="2337"/>
        <v/>
      </c>
      <c r="AI1155" s="70">
        <f> ( IF(ISNUMBER(G1155), VLOOKUP(G1155/$AH1155,F!$A1:$B101,2,1)*G1155*$H1155*$I1155,0)+IF(ISNUMBER(K1155), VLOOKUP(K1155/$AH1155,F!$A1:$B101,2,1)*K1155*$L1155*$M1155,0)+IF(ISNUMBER(O1155), VLOOKUP(O1155/$AH1155,F!$A1:$B101,2,1)*O1155*$P1155*$Q1155,0)+IF(ISNUMBER(S1155), VLOOKUP(S1155/$AH1155,F!$A1:$B101,2,1)*S1155*$T1155*$U1155,0)+IF(ISNUMBER(W1155), VLOOKUP(W1155/$AH1155,F!$A1:$B101,2,1)*W1155*$X1155*$Y1155,0)+IF(ISNUMBER(AA1155), VLOOKUP(AA1155/$AH1155,F!$A1:$B101,2,1)*AA1155*$AB1155*$AC1155,0))*IF(ISNUMBER(F1155),F1155,1)*IF(ISNUMBER(E1155),E1155,1)</f>
        <v>0</v>
      </c>
      <c r="AJ1155" s="71">
        <f t="shared" si="2338"/>
        <v>0</v>
      </c>
      <c r="AK1155" s="72">
        <f t="array" ref="AK1155">IFERROR(I1155*INDEX(F!$P$21:$AB$33, MATCH(G1155/$AH1155, F!$O$21:$O$33,1), MATCH(E1155, F!$P$20:$AB$20,1)), 0 ) +IFERROR( M1155*INDEX(F!$P$21:$AB$33, MATCH(K1155/$AH1155, F!$O$21:$O$33,1), MATCH(E1155, F!$P$20:$AB$20,1)),0) +  IFERROR( Q1155*INDEX(F!$P$21:$AB$33, MATCH(O1155/$AH1155, F!$O$21:$O$33,1), MATCH(E1155, F!$P$20:$AB$20,1)), 0) + IFERROR( U1155*INDEX(F!$P$21:$AB$33, MATCH(S1155/$AH1155, F!$O$21:$O$33,1), MATCH(E1155, F!$P$20:$AB$20,1)),0)  + IFERROR(Y1155*INDEX(F!$P$21:$AB$33, MATCH(W1155/$AH1155, F!$O$21:$O$33,1), MATCH(E1155, F!$P$20:$AB$20,1)),0)  + IFERROR( AC1155*INDEX(F!$P$21:$AB$33, MATCH(AA1155/$AH1155, F!$O$21:$O$33,1), MATCH(E1155, F!$P$20:$AB$20,1)),)</f>
        <v>0</v>
      </c>
      <c r="AL1155" s="59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</row>
    <row r="1156" ht="15.75" hidden="1" customHeight="1">
      <c r="A1156" s="59"/>
      <c r="B1156" s="45" t="str">
        <f t="shared" ref="B1156:F1156" si="2342">IF(B1100="","",B1100)</f>
        <v/>
      </c>
      <c r="C1156" s="46" t="str">
        <f t="shared" si="2342"/>
        <v/>
      </c>
      <c r="D1156" s="197" t="str">
        <f t="shared" si="2342"/>
        <v/>
      </c>
      <c r="E1156" s="48" t="str">
        <f t="shared" si="2342"/>
        <v/>
      </c>
      <c r="F1156" s="83" t="str">
        <f t="shared" si="2342"/>
        <v/>
      </c>
      <c r="G1156" s="50" t="str">
        <f t="shared" si="2329"/>
        <v/>
      </c>
      <c r="H1156" s="51"/>
      <c r="I1156" s="51"/>
      <c r="J1156" s="52"/>
      <c r="K1156" s="50" t="str">
        <f t="shared" si="2330"/>
        <v/>
      </c>
      <c r="L1156" s="51"/>
      <c r="M1156" s="51"/>
      <c r="N1156" s="52"/>
      <c r="O1156" s="50" t="str">
        <f t="shared" si="2331"/>
        <v/>
      </c>
      <c r="P1156" s="51"/>
      <c r="Q1156" s="51"/>
      <c r="R1156" s="52"/>
      <c r="S1156" s="50" t="str">
        <f t="shared" si="2332"/>
        <v/>
      </c>
      <c r="T1156" s="51"/>
      <c r="U1156" s="51"/>
      <c r="V1156" s="52"/>
      <c r="W1156" s="50" t="str">
        <f t="shared" si="2333"/>
        <v/>
      </c>
      <c r="X1156" s="51"/>
      <c r="Y1156" s="51"/>
      <c r="Z1156" s="52"/>
      <c r="AA1156" s="50" t="str">
        <f t="shared" si="2334"/>
        <v/>
      </c>
      <c r="AB1156" s="51"/>
      <c r="AC1156" s="51"/>
      <c r="AD1156" s="52"/>
      <c r="AE1156" s="53">
        <f t="shared" si="2335"/>
        <v>0</v>
      </c>
      <c r="AF1156" s="54">
        <f t="shared" si="2278"/>
        <v>0</v>
      </c>
      <c r="AG1156" s="75">
        <f t="shared" si="2336"/>
        <v>0</v>
      </c>
      <c r="AH1156" s="76" t="str">
        <f t="shared" si="2337"/>
        <v/>
      </c>
      <c r="AI1156" s="77">
        <f> ( IF(ISNUMBER(G1156), VLOOKUP(G1156/$AH1156,F!$A1:$B101,2,1)*G1156*$H1156*$I1156,0)+IF(ISNUMBER(K1156), VLOOKUP(K1156/$AH1156,F!$A1:$B101,2,1)*K1156*$L1156*$M1156,0)+IF(ISNUMBER(O1156), VLOOKUP(O1156/$AH1156,F!$A1:$B101,2,1)*O1156*$P1156*$Q1156,0)+IF(ISNUMBER(S1156), VLOOKUP(S1156/$AH1156,F!$A1:$B101,2,1)*S1156*$T1156*$U1156,0)+IF(ISNUMBER(W1156), VLOOKUP(W1156/$AH1156,F!$A1:$B101,2,1)*W1156*$X1156*$Y1156,0)+IF(ISNUMBER(AA1156), VLOOKUP(AA1156/$AH1156,F!$A1:$B101,2,1)*AA1156*$AB1156*$AC1156,0))*IF(ISNUMBER(F1156),F1156,1)*IF(ISNUMBER(E1156),E1156,1)</f>
        <v>0</v>
      </c>
      <c r="AJ1156" s="86">
        <f t="shared" si="2338"/>
        <v>0</v>
      </c>
      <c r="AK1156" s="58">
        <f t="array" ref="AK1156">IFERROR(I1156*INDEX(F!$P$21:$AB$33, MATCH(G1156/$AH1156, F!$O$21:$O$33,1), MATCH(E1156, F!$P$20:$AB$20,1)), 0 ) +IFERROR( M1156*INDEX(F!$P$21:$AB$33, MATCH(K1156/$AH1156, F!$O$21:$O$33,1), MATCH(E1156, F!$P$20:$AB$20,1)),0) +  IFERROR( Q1156*INDEX(F!$P$21:$AB$33, MATCH(O1156/$AH1156, F!$O$21:$O$33,1), MATCH(E1156, F!$P$20:$AB$20,1)), 0) + IFERROR( U1156*INDEX(F!$P$21:$AB$33, MATCH(S1156/$AH1156, F!$O$21:$O$33,1), MATCH(E1156, F!$P$20:$AB$20,1)),0)  + IFERROR(Y1156*INDEX(F!$P$21:$AB$33, MATCH(W1156/$AH1156, F!$O$21:$O$33,1), MATCH(E1156, F!$P$20:$AB$20,1)),0)  + IFERROR( AC1156*INDEX(F!$P$21:$AB$33, MATCH(AA1156/$AH1156, F!$O$21:$O$33,1), MATCH(E1156, F!$P$20:$AB$20,1)),)</f>
        <v>0</v>
      </c>
      <c r="AL1156" s="59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</row>
    <row r="1157" ht="15.75" hidden="1" customHeight="1">
      <c r="A1157" s="59"/>
      <c r="B1157" s="60" t="str">
        <f t="shared" ref="B1157:F1157" si="2343">IF(B1101="","",B1101)</f>
        <v/>
      </c>
      <c r="C1157" s="61" t="str">
        <f t="shared" si="2343"/>
        <v/>
      </c>
      <c r="D1157" s="198" t="str">
        <f t="shared" si="2343"/>
        <v/>
      </c>
      <c r="E1157" s="48" t="str">
        <f t="shared" si="2343"/>
        <v/>
      </c>
      <c r="F1157" s="79" t="str">
        <f t="shared" si="2343"/>
        <v/>
      </c>
      <c r="G1157" s="64" t="str">
        <f t="shared" si="2329"/>
        <v/>
      </c>
      <c r="H1157" s="34"/>
      <c r="I1157" s="34"/>
      <c r="J1157" s="65"/>
      <c r="K1157" s="64" t="str">
        <f t="shared" si="2330"/>
        <v/>
      </c>
      <c r="L1157" s="34"/>
      <c r="M1157" s="34"/>
      <c r="N1157" s="65"/>
      <c r="O1157" s="64" t="str">
        <f t="shared" si="2331"/>
        <v/>
      </c>
      <c r="P1157" s="34"/>
      <c r="Q1157" s="34"/>
      <c r="R1157" s="65"/>
      <c r="S1157" s="64" t="str">
        <f t="shared" si="2332"/>
        <v/>
      </c>
      <c r="T1157" s="34"/>
      <c r="U1157" s="34"/>
      <c r="V1157" s="65"/>
      <c r="W1157" s="64" t="str">
        <f t="shared" si="2333"/>
        <v/>
      </c>
      <c r="X1157" s="34"/>
      <c r="Y1157" s="34"/>
      <c r="Z1157" s="65"/>
      <c r="AA1157" s="64" t="str">
        <f t="shared" si="2334"/>
        <v/>
      </c>
      <c r="AB1157" s="34"/>
      <c r="AC1157" s="34"/>
      <c r="AD1157" s="65"/>
      <c r="AE1157" s="66">
        <f t="shared" si="2335"/>
        <v>0</v>
      </c>
      <c r="AF1157" s="67">
        <f t="shared" si="2278"/>
        <v>0</v>
      </c>
      <c r="AG1157" s="68">
        <f t="shared" si="2336"/>
        <v>0</v>
      </c>
      <c r="AH1157" s="76" t="str">
        <f t="shared" si="2337"/>
        <v/>
      </c>
      <c r="AI1157" s="90">
        <f> ( IF(ISNUMBER(G1157), VLOOKUP(G1157/$AH1157,F!$A1:$B101,2,1)*G1157*$H1157*$I1157,0)+IF(ISNUMBER(K1157), VLOOKUP(K1157/$AH1157,F!$A1:$B101,2,1)*K1157*$L1157*$M1157,0)+IF(ISNUMBER(O1157), VLOOKUP(O1157/$AH1157,F!$A1:$B101,2,1)*O1157*$P1157*$Q1157,0)+IF(ISNUMBER(S1157), VLOOKUP(S1157/$AH1157,F!$A1:$B101,2,1)*S1157*$T1157*$U1157,0)+IF(ISNUMBER(W1157), VLOOKUP(W1157/$AH1157,F!$A1:$B101,2,1)*W1157*$X1157*$Y1157,0)+IF(ISNUMBER(AA1157), VLOOKUP(AA1157/$AH1157,F!$A1:$B101,2,1)*AA1157*$AB1157*$AC1157,0))*IF(ISNUMBER(F1157),F1157,1)*IF(ISNUMBER(E1157),E1157,1)</f>
        <v>0</v>
      </c>
      <c r="AJ1157" s="34">
        <f t="shared" si="2338"/>
        <v>0</v>
      </c>
      <c r="AK1157" s="91">
        <f t="array" ref="AK1157">IFERROR(I1157*INDEX(F!$P$21:$AB$33, MATCH(G1157/$AH1157, F!$O$21:$O$33,1), MATCH(E1157, F!$P$20:$AB$20,1)), 0 ) +IFERROR( M1157*INDEX(F!$P$21:$AB$33, MATCH(K1157/$AH1157, F!$O$21:$O$33,1), MATCH(E1157, F!$P$20:$AB$20,1)),0) +  IFERROR( Q1157*INDEX(F!$P$21:$AB$33, MATCH(O1157/$AH1157, F!$O$21:$O$33,1), MATCH(E1157, F!$P$20:$AB$20,1)), 0) + IFERROR( U1157*INDEX(F!$P$21:$AB$33, MATCH(S1157/$AH1157, F!$O$21:$O$33,1), MATCH(E1157, F!$P$20:$AB$20,1)),0)  + IFERROR(Y1157*INDEX(F!$P$21:$AB$33, MATCH(W1157/$AH1157, F!$O$21:$O$33,1), MATCH(E1157, F!$P$20:$AB$20,1)),0)  + IFERROR( AC1157*INDEX(F!$P$21:$AB$33, MATCH(AA1157/$AH1157, F!$O$21:$O$33,1), MATCH(E1157, F!$P$20:$AB$20,1)),)</f>
        <v>0</v>
      </c>
      <c r="AL1157" s="59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</row>
    <row r="1158" ht="15.75" hidden="1" customHeight="1">
      <c r="A1158" s="59"/>
      <c r="B1158" s="45" t="str">
        <f t="shared" ref="B1158:F1158" si="2344">IF(B1102="","",B1102)</f>
        <v/>
      </c>
      <c r="C1158" s="46" t="str">
        <f t="shared" si="2344"/>
        <v/>
      </c>
      <c r="D1158" s="92" t="str">
        <f t="shared" si="2344"/>
        <v/>
      </c>
      <c r="E1158" s="48" t="str">
        <f t="shared" si="2344"/>
        <v/>
      </c>
      <c r="F1158" s="74" t="str">
        <f t="shared" si="2344"/>
        <v/>
      </c>
      <c r="G1158" s="50" t="str">
        <f t="shared" si="2329"/>
        <v/>
      </c>
      <c r="H1158" s="51"/>
      <c r="I1158" s="51"/>
      <c r="J1158" s="52"/>
      <c r="K1158" s="50" t="str">
        <f t="shared" si="2330"/>
        <v/>
      </c>
      <c r="L1158" s="51"/>
      <c r="M1158" s="51"/>
      <c r="N1158" s="52"/>
      <c r="O1158" s="50" t="str">
        <f t="shared" si="2331"/>
        <v/>
      </c>
      <c r="P1158" s="51"/>
      <c r="Q1158" s="51"/>
      <c r="R1158" s="52"/>
      <c r="S1158" s="50" t="str">
        <f t="shared" si="2332"/>
        <v/>
      </c>
      <c r="T1158" s="51"/>
      <c r="U1158" s="51"/>
      <c r="V1158" s="52"/>
      <c r="W1158" s="50" t="str">
        <f t="shared" si="2333"/>
        <v/>
      </c>
      <c r="X1158" s="51"/>
      <c r="Y1158" s="51"/>
      <c r="Z1158" s="52"/>
      <c r="AA1158" s="50" t="str">
        <f t="shared" si="2334"/>
        <v/>
      </c>
      <c r="AB1158" s="51"/>
      <c r="AC1158" s="51"/>
      <c r="AD1158" s="52"/>
      <c r="AE1158" s="53">
        <f t="shared" si="2335"/>
        <v>0</v>
      </c>
      <c r="AF1158" s="93">
        <f t="shared" si="2278"/>
        <v>0</v>
      </c>
      <c r="AG1158" s="94">
        <f t="shared" si="2336"/>
        <v>0</v>
      </c>
      <c r="AH1158" s="76" t="str">
        <f t="shared" si="2337"/>
        <v/>
      </c>
      <c r="AI1158" s="95">
        <f> ( IF(ISNUMBER(G1158), VLOOKUP(G1158/$AH1158,F!$A1:$B101,2,1)*G1158*$H1158*$I1158,0)+IF(ISNUMBER(K1158), VLOOKUP(K1158/$AH1158,F!$A1:$B101,2,1)*K1158*$L1158*$M1158,0)+IF(ISNUMBER(O1158), VLOOKUP(O1158/$AH1158,F!$A1:$B101,2,1)*O1158*$P1158*$Q1158,0)+IF(ISNUMBER(S1158), VLOOKUP(S1158/$AH1158,F!$A1:$B101,2,1)*S1158*$T1158*$U1158,0)+IF(ISNUMBER(W1158), VLOOKUP(W1158/$AH1158,F!$A1:$B101,2,1)*W1158*$X1158*$Y1158,0)+IF(ISNUMBER(AA1158), VLOOKUP(AA1158/$AH1158,F!$A1:$B101,2,1)*AA1158*$AB1158*$AC1158,0))*IF(ISNUMBER(F1158),F1158,1)*IF(ISNUMBER(E1158),E1158,1)</f>
        <v>0</v>
      </c>
      <c r="AJ1158" s="96">
        <f t="shared" si="2338"/>
        <v>0</v>
      </c>
      <c r="AK1158" s="97">
        <f t="array" ref="AK1158">IFERROR(I1158*INDEX(F!$P$21:$AB$33, MATCH(G1158/$AH1158, F!$O$21:$O$33,1), MATCH(E1158, F!$P$20:$AB$20,1)), 0 ) +IFERROR( M1158*INDEX(F!$P$21:$AB$33, MATCH(K1158/$AH1158, F!$O$21:$O$33,1), MATCH(E1158, F!$P$20:$AB$20,1)),0) +  IFERROR( Q1158*INDEX(F!$P$21:$AB$33, MATCH(O1158/$AH1158, F!$O$21:$O$33,1), MATCH(E1158, F!$P$20:$AB$20,1)), 0) + IFERROR( U1158*INDEX(F!$P$21:$AB$33, MATCH(S1158/$AH1158, F!$O$21:$O$33,1), MATCH(E1158, F!$P$20:$AB$20,1)),0)  + IFERROR(Y1158*INDEX(F!$P$21:$AB$33, MATCH(W1158/$AH1158, F!$O$21:$O$33,1), MATCH(E1158, F!$P$20:$AB$20,1)),0)  + IFERROR( AC1158*INDEX(F!$P$21:$AB$33, MATCH(AA1158/$AH1158, F!$O$21:$O$33,1), MATCH(E1158, F!$P$20:$AB$20,1)),)</f>
        <v>0</v>
      </c>
      <c r="AL1158" s="59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</row>
    <row r="1159" ht="15.75" hidden="1" customHeight="1">
      <c r="A1159" s="98"/>
      <c r="B1159" s="99"/>
      <c r="C1159" s="100"/>
      <c r="D1159" s="101"/>
      <c r="E1159" s="102">
        <f>ROUND(IFERROR(SUMPRODUCT(AJ1151:AJ1158,E1151:E1158)/AJ1159,0),3)</f>
        <v>0</v>
      </c>
      <c r="F1159" s="199"/>
      <c r="G1159" s="104"/>
      <c r="H1159" s="105"/>
      <c r="I1159" s="105"/>
      <c r="J1159" s="106"/>
      <c r="K1159" s="104"/>
      <c r="L1159" s="105"/>
      <c r="M1159" s="105"/>
      <c r="N1159" s="106"/>
      <c r="O1159" s="104"/>
      <c r="P1159" s="105"/>
      <c r="Q1159" s="105"/>
      <c r="R1159" s="106"/>
      <c r="S1159" s="104"/>
      <c r="T1159" s="105"/>
      <c r="U1159" s="105"/>
      <c r="V1159" s="106"/>
      <c r="W1159" s="104"/>
      <c r="X1159" s="105"/>
      <c r="Y1159" s="105"/>
      <c r="Z1159" s="106"/>
      <c r="AA1159" s="104"/>
      <c r="AB1159" s="105"/>
      <c r="AC1159" s="105"/>
      <c r="AD1159" s="106"/>
      <c r="AE1159" s="107">
        <f>SUM(AE1151:AE1158)</f>
        <v>0</v>
      </c>
      <c r="AF1159" s="108">
        <f t="shared" si="2278"/>
        <v>0</v>
      </c>
      <c r="AG1159" s="109">
        <f>IFERROR(  SUMPRODUCT(AG1151:AG1158,AJ1151:AJ1158)/AJ1159,0)</f>
        <v>0</v>
      </c>
      <c r="AH1159" s="157"/>
      <c r="AI1159" s="111">
        <f t="shared" ref="AI1159:AJ1159" si="2345">SUM(AI1151:AI1158)</f>
        <v>0</v>
      </c>
      <c r="AJ1159" s="111">
        <f t="shared" si="2345"/>
        <v>0</v>
      </c>
      <c r="AK1159" s="112">
        <f>IF(SUM(AK1151:AK1158)=0,TIME(,0,),TIME(,SUM(AK1151:AK1158)+F!$V$37,))</f>
        <v>0</v>
      </c>
      <c r="AL1159" s="98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</row>
    <row r="1160" ht="15.75" hidden="1" customHeight="1">
      <c r="A1160" s="113">
        <f>A1161</f>
        <v>43926</v>
      </c>
      <c r="B1160" s="114" t="str">
        <f t="shared" ref="B1160:F1160" si="2346">IF(B1104="","",B1104)</f>
        <v/>
      </c>
      <c r="C1160" s="115" t="str">
        <f t="shared" si="2346"/>
        <v/>
      </c>
      <c r="D1160" s="116" t="str">
        <f t="shared" si="2346"/>
        <v/>
      </c>
      <c r="E1160" s="29" t="str">
        <f t="shared" si="2346"/>
        <v/>
      </c>
      <c r="F1160" s="117" t="str">
        <f t="shared" si="2346"/>
        <v/>
      </c>
      <c r="G1160" s="118" t="str">
        <f t="shared" ref="G1160:G1167" si="2348">IF(J1160&lt;&gt;0, IFERROR(IF( $F1160=2,  MROUND($AH1160*J1160,1),    IF( OR($F1160="",$F1160=1),   MROUND($AH1160*J1160,2.5),  MROUND($AH1160*J1160, 0.1))), "" ), "")</f>
        <v/>
      </c>
      <c r="H1160" s="119"/>
      <c r="I1160" s="119"/>
      <c r="J1160" s="120"/>
      <c r="K1160" s="118" t="str">
        <f t="shared" ref="K1160:K1167" si="2349">IF(N1160&lt;&gt;0, IFERROR(IF( $F1160=2,  MROUND($AH1160*N1160,1),    IF( OR($F1160="",$F1160=1),   MROUND($AH1160*N1160,2.5),  MROUND($AH1160*N1160, 0.1))), "" ), "")</f>
        <v/>
      </c>
      <c r="L1160" s="119"/>
      <c r="M1160" s="119"/>
      <c r="N1160" s="120"/>
      <c r="O1160" s="118" t="str">
        <f t="shared" ref="O1160:O1167" si="2350">IF(R1160&lt;&gt;0, IFERROR(IF( $F1160=2,  MROUND($AH1160*R1160,1),    IF( OR($F1160="",$F1160=1),   MROUND($AH1160*R1160,2.5),  MROUND($AH1160*R1160, 0.1))), "" ), "")</f>
        <v/>
      </c>
      <c r="P1160" s="119"/>
      <c r="Q1160" s="119"/>
      <c r="R1160" s="120"/>
      <c r="S1160" s="118" t="str">
        <f t="shared" ref="S1160:S1167" si="2351">IF(V1160&lt;&gt;0, IFERROR(IF( $F1160=2,  MROUND($AH1160*V1160,1),    IF( OR($F1160="",$F1160=1),   MROUND($AH1160*V1160,2.5),  MROUND($AH1160*V1160, 0.1))), "" ), "")</f>
        <v/>
      </c>
      <c r="T1160" s="119"/>
      <c r="U1160" s="119"/>
      <c r="V1160" s="120"/>
      <c r="W1160" s="118" t="str">
        <f t="shared" ref="W1160:W1167" si="2352">IF(Z1160&lt;&gt;0, IFERROR(IF( $F1160=2,  MROUND($AH1160*Z1160,1),    IF( OR($F1160="",$F1160=1),   MROUND($AH1160*Z1160,2.5),  MROUND($AH1160*Z1160, 0.1))), "" ), "")</f>
        <v/>
      </c>
      <c r="X1160" s="119"/>
      <c r="Y1160" s="119"/>
      <c r="Z1160" s="120"/>
      <c r="AA1160" s="118" t="str">
        <f t="shared" ref="AA1160:AA1167" si="2353">IF(AD1160&lt;&gt;0, IFERROR(IF( $F1160=2,  MROUND($AH1160*AD1160,1),    IF( OR($F1160="",$F1160=1),   MROUND($AH1160*AD1160,2.5),  MROUND($AH1160*AD1160, 0.1))), "" ), "")</f>
        <v/>
      </c>
      <c r="AB1160" s="119"/>
      <c r="AC1160" s="119"/>
      <c r="AD1160" s="120"/>
      <c r="AE1160" s="121">
        <f t="shared" ref="AE1160:AE1167" si="2354">(IF(ISNUMBER(G1160),G1160,0)*H1160*I1160+IF(ISNUMBER(K1160),K1160,1)*L1160*M1160+IF(ISNUMBER(O1160),O1160,1)*P1160*Q1160+IF(ISNUMBER(S1160),S1160,1)*T1160*U1160+IF(ISNUMBER(W1160),W1160,1)*X1160*Y1160+IF(ISNUMBER(AA1160),AA1160,1)*AB1160*AC1160)*IF(ISNUMBER(F1160),F1160,1)</f>
        <v>0</v>
      </c>
      <c r="AF1160" s="122">
        <f t="shared" si="2278"/>
        <v>0</v>
      </c>
      <c r="AG1160" s="200">
        <f t="shared" ref="AG1160:AG1167" si="2355">IFERROR((AF1160/(AH1160*IF(ISNUMBER(F1160),F1160,1))),0)</f>
        <v>0</v>
      </c>
      <c r="AH1160" s="169" t="str">
        <f t="shared" ref="AH1160:AH1167" si="2356">IF(ISNUMBER(AH1104), AH1104+(AH1104*$AH$1122),"")</f>
        <v/>
      </c>
      <c r="AI1160" s="122">
        <f> ( IF(ISNUMBER(G1160), VLOOKUP(G1160/$AH1160,F!$A1:$B101,2,1)*G1160*$H1160*$I1160,0)+IF(ISNUMBER(K1160), VLOOKUP(K1160/$AH1160,F!$A1:$B101,2,1)*K1160*$L1160*$M1160,0)+IF(ISNUMBER(O1160), VLOOKUP(O1160/$AH1160,F!$A1:$B101,2,1)*O1160*$P1160*$Q1160,0)+IF(ISNUMBER(S1160), VLOOKUP(S1160/$AH1160,F!$A1:$B101,2,1)*S1160*$T1160*$U1160,0)+IF(ISNUMBER(W1160), VLOOKUP(W1160/$AH1160,F!$A1:$B101,2,1)*W1160*$X1160*$Y1160,0)+IF(ISNUMBER(AA1160), VLOOKUP(AA1160/$AH1160,F!$A1:$B101,2,1)*AA1160*$AB1160*$AC1160,0))*IF(ISNUMBER(F1160),F1160,1)*IF(ISNUMBER(E1160),E1160,1)</f>
        <v>0</v>
      </c>
      <c r="AJ1160" s="119">
        <f t="shared" ref="AJ1160:AJ1167" si="2357">H1160*I1160+L1160*M1160+P1160*Q1160+T1160*U1160+X1160*Y1160+AB1160*AC1160</f>
        <v>0</v>
      </c>
      <c r="AK1160" s="125">
        <f t="array" ref="AK1160">IFERROR(I1160*INDEX(F!$P$21:$AB$33, MATCH(G1160/$AH1160, F!$O$21:$O$33,1), MATCH(E1160, F!$P$20:$AB$20,1)), 0 ) +IFERROR( M1160*INDEX(F!$P$21:$AB$33, MATCH(K1160/$AH1160, F!$O$21:$O$33,1), MATCH(E1160, F!$P$20:$AB$20,1)),0) +  IFERROR( Q1160*INDEX(F!$P$21:$AB$33, MATCH(O1160/$AH1160, F!$O$21:$O$33,1), MATCH(E1160, F!$P$20:$AB$20,1)), 0) + IFERROR( U1160*INDEX(F!$P$21:$AB$33, MATCH(S1160/$AH1160, F!$O$21:$O$33,1), MATCH(E1160, F!$P$20:$AB$20,1)),0)  + IFERROR(Y1160*INDEX(F!$P$21:$AB$33, MATCH(W1160/$AH1160, F!$O$21:$O$33,1), MATCH(E1160, F!$P$20:$AB$20,1)),0)  + IFERROR( AC1160*INDEX(F!$P$21:$AB$33, MATCH(AA1160/$AH1160, F!$O$21:$O$33,1), MATCH(E1160, F!$P$20:$AB$20,1)),)</f>
        <v>0</v>
      </c>
      <c r="AL1160" s="42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</row>
    <row r="1161" ht="15.75" hidden="1" customHeight="1">
      <c r="A1161" s="44">
        <f>A1105+A1066</f>
        <v>43926</v>
      </c>
      <c r="B1161" s="126" t="str">
        <f t="shared" ref="B1161:F1161" si="2347">IF(B1105="","",B1105)</f>
        <v/>
      </c>
      <c r="C1161" s="127" t="str">
        <f t="shared" si="2347"/>
        <v/>
      </c>
      <c r="D1161" s="128" t="str">
        <f t="shared" si="2347"/>
        <v/>
      </c>
      <c r="E1161" s="48" t="str">
        <f t="shared" si="2347"/>
        <v/>
      </c>
      <c r="F1161" s="129" t="str">
        <f t="shared" si="2347"/>
        <v/>
      </c>
      <c r="G1161" s="130" t="str">
        <f t="shared" si="2348"/>
        <v/>
      </c>
      <c r="H1161" s="34"/>
      <c r="I1161" s="34"/>
      <c r="J1161" s="65"/>
      <c r="K1161" s="130" t="str">
        <f t="shared" si="2349"/>
        <v/>
      </c>
      <c r="L1161" s="34"/>
      <c r="M1161" s="34"/>
      <c r="N1161" s="65"/>
      <c r="O1161" s="130" t="str">
        <f t="shared" si="2350"/>
        <v/>
      </c>
      <c r="P1161" s="34"/>
      <c r="Q1161" s="34"/>
      <c r="R1161" s="65"/>
      <c r="S1161" s="130" t="str">
        <f t="shared" si="2351"/>
        <v/>
      </c>
      <c r="T1161" s="34"/>
      <c r="U1161" s="34"/>
      <c r="V1161" s="65"/>
      <c r="W1161" s="130" t="str">
        <f t="shared" si="2352"/>
        <v/>
      </c>
      <c r="X1161" s="34"/>
      <c r="Y1161" s="34"/>
      <c r="Z1161" s="65"/>
      <c r="AA1161" s="130" t="str">
        <f t="shared" si="2353"/>
        <v/>
      </c>
      <c r="AB1161" s="34"/>
      <c r="AC1161" s="34"/>
      <c r="AD1161" s="65"/>
      <c r="AE1161" s="131">
        <f t="shared" si="2354"/>
        <v>0</v>
      </c>
      <c r="AF1161" s="132">
        <f t="shared" si="2278"/>
        <v>0</v>
      </c>
      <c r="AG1161" s="133">
        <f t="shared" si="2355"/>
        <v>0</v>
      </c>
      <c r="AH1161" s="76" t="str">
        <f t="shared" si="2356"/>
        <v/>
      </c>
      <c r="AI1161" s="132">
        <f> ( IF(ISNUMBER(G1161), VLOOKUP(G1161/$AH1161,F!$A1:$B101,2,1)*G1161*$H1161*$I1161,0)+IF(ISNUMBER(K1161), VLOOKUP(K1161/$AH1161,F!$A1:$B101,2,1)*K1161*$L1161*$M1161,0)+IF(ISNUMBER(O1161), VLOOKUP(O1161/$AH1161,F!$A1:$B101,2,1)*O1161*$P1161*$Q1161,0)+IF(ISNUMBER(S1161), VLOOKUP(S1161/$AH1161,F!$A1:$B101,2,1)*S1161*$T1161*$U1161,0)+IF(ISNUMBER(W1161), VLOOKUP(W1161/$AH1161,F!$A1:$B101,2,1)*W1161*$X1161*$Y1161,0)+IF(ISNUMBER(AA1161), VLOOKUP(AA1161/$AH1161,F!$A1:$B101,2,1)*AA1161*$AB1161*$AC1161,0))*IF(ISNUMBER(F1161),F1161,1)*IF(ISNUMBER(E1161),E1161,1)</f>
        <v>0</v>
      </c>
      <c r="AJ1161" s="34">
        <f t="shared" si="2357"/>
        <v>0</v>
      </c>
      <c r="AK1161" s="134">
        <f t="array" ref="AK1161">IFERROR(I1161*INDEX(F!$P$21:$AB$33, MATCH(G1161/$AH1161, F!$O$21:$O$33,1), MATCH(E1161, F!$P$20:$AB$20,1)), 0 ) +IFERROR( M1161*INDEX(F!$P$21:$AB$33, MATCH(K1161/$AH1161, F!$O$21:$O$33,1), MATCH(E1161, F!$P$20:$AB$20,1)),0) +  IFERROR( Q1161*INDEX(F!$P$21:$AB$33, MATCH(O1161/$AH1161, F!$O$21:$O$33,1), MATCH(E1161, F!$P$20:$AB$20,1)), 0) + IFERROR( U1161*INDEX(F!$P$21:$AB$33, MATCH(S1161/$AH1161, F!$O$21:$O$33,1), MATCH(E1161, F!$P$20:$AB$20,1)),0)  + IFERROR(Y1161*INDEX(F!$P$21:$AB$33, MATCH(W1161/$AH1161, F!$O$21:$O$33,1), MATCH(E1161, F!$P$20:$AB$20,1)),0)  + IFERROR( AC1161*INDEX(F!$P$21:$AB$33, MATCH(AA1161/$AH1161, F!$O$21:$O$33,1), MATCH(E1161, F!$P$20:$AB$20,1)),)</f>
        <v>0</v>
      </c>
      <c r="AL1161" s="59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</row>
    <row r="1162" ht="15.75" hidden="1" customHeight="1">
      <c r="A1162" s="59"/>
      <c r="B1162" s="135" t="str">
        <f t="shared" ref="B1162:F1162" si="2358">IF(B1106="","",B1106)</f>
        <v/>
      </c>
      <c r="C1162" s="136" t="str">
        <f t="shared" si="2358"/>
        <v/>
      </c>
      <c r="D1162" s="137" t="str">
        <f t="shared" si="2358"/>
        <v/>
      </c>
      <c r="E1162" s="48" t="str">
        <f t="shared" si="2358"/>
        <v/>
      </c>
      <c r="F1162" s="138" t="str">
        <f t="shared" si="2358"/>
        <v/>
      </c>
      <c r="G1162" s="139" t="str">
        <f t="shared" si="2348"/>
        <v/>
      </c>
      <c r="H1162" s="140"/>
      <c r="I1162" s="140"/>
      <c r="J1162" s="141"/>
      <c r="K1162" s="139" t="str">
        <f t="shared" si="2349"/>
        <v/>
      </c>
      <c r="L1162" s="140"/>
      <c r="M1162" s="140"/>
      <c r="N1162" s="141"/>
      <c r="O1162" s="139" t="str">
        <f t="shared" si="2350"/>
        <v/>
      </c>
      <c r="P1162" s="140"/>
      <c r="Q1162" s="140"/>
      <c r="R1162" s="141"/>
      <c r="S1162" s="139" t="str">
        <f t="shared" si="2351"/>
        <v/>
      </c>
      <c r="T1162" s="140"/>
      <c r="U1162" s="140"/>
      <c r="V1162" s="141"/>
      <c r="W1162" s="139" t="str">
        <f t="shared" si="2352"/>
        <v/>
      </c>
      <c r="X1162" s="140"/>
      <c r="Y1162" s="140"/>
      <c r="Z1162" s="141"/>
      <c r="AA1162" s="139" t="str">
        <f t="shared" si="2353"/>
        <v/>
      </c>
      <c r="AB1162" s="140"/>
      <c r="AC1162" s="140"/>
      <c r="AD1162" s="141"/>
      <c r="AE1162" s="142">
        <f t="shared" si="2354"/>
        <v>0</v>
      </c>
      <c r="AF1162" s="143">
        <f t="shared" si="2278"/>
        <v>0</v>
      </c>
      <c r="AG1162" s="144">
        <f t="shared" si="2355"/>
        <v>0</v>
      </c>
      <c r="AH1162" s="76" t="str">
        <f t="shared" si="2356"/>
        <v/>
      </c>
      <c r="AI1162" s="143">
        <f> ( IF(ISNUMBER(G1162), VLOOKUP(G1162/$AH1162,F!$A1:$B101,2,1)*G1162*$H1162*$I1162,0)+IF(ISNUMBER(K1162), VLOOKUP(K1162/$AH1162,F!$A1:$B101,2,1)*K1162*$L1162*$M1162,0)+IF(ISNUMBER(O1162), VLOOKUP(O1162/$AH1162,F!$A1:$B101,2,1)*O1162*$P1162*$Q1162,0)+IF(ISNUMBER(S1162), VLOOKUP(S1162/$AH1162,F!$A1:$B101,2,1)*S1162*$T1162*$U1162,0)+IF(ISNUMBER(W1162), VLOOKUP(W1162/$AH1162,F!$A1:$B101,2,1)*W1162*$X1162*$Y1162,0)+IF(ISNUMBER(AA1162), VLOOKUP(AA1162/$AH1162,F!$A1:$B101,2,1)*AA1162*$AB1162*$AC1162,0))*IF(ISNUMBER(F1162),F1162,1)*IF(ISNUMBER(E1162),E1162,1)</f>
        <v>0</v>
      </c>
      <c r="AJ1162" s="140">
        <f t="shared" si="2357"/>
        <v>0</v>
      </c>
      <c r="AK1162" s="145">
        <f t="array" ref="AK1162">IFERROR(I1162*INDEX(F!$P$21:$AB$33, MATCH(G1162/$AH1162, F!$O$21:$O$33,1), MATCH(E1162, F!$P$20:$AB$20,1)), 0 ) +IFERROR( M1162*INDEX(F!$P$21:$AB$33, MATCH(K1162/$AH1162, F!$O$21:$O$33,1), MATCH(E1162, F!$P$20:$AB$20,1)),0) +  IFERROR( Q1162*INDEX(F!$P$21:$AB$33, MATCH(O1162/$AH1162, F!$O$21:$O$33,1), MATCH(E1162, F!$P$20:$AB$20,1)), 0) + IFERROR( U1162*INDEX(F!$P$21:$AB$33, MATCH(S1162/$AH1162, F!$O$21:$O$33,1), MATCH(E1162, F!$P$20:$AB$20,1)),0)  + IFERROR(Y1162*INDEX(F!$P$21:$AB$33, MATCH(W1162/$AH1162, F!$O$21:$O$33,1), MATCH(E1162, F!$P$20:$AB$20,1)),0)  + IFERROR( AC1162*INDEX(F!$P$21:$AB$33, MATCH(AA1162/$AH1162, F!$O$21:$O$33,1), MATCH(E1162, F!$P$20:$AB$20,1)),)</f>
        <v>0</v>
      </c>
      <c r="AL1162" s="59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</row>
    <row r="1163" ht="15.75" hidden="1" customHeight="1">
      <c r="A1163" s="59"/>
      <c r="B1163" s="126" t="str">
        <f t="shared" ref="B1163:F1163" si="2359">IF(B1107="","",B1107)</f>
        <v/>
      </c>
      <c r="C1163" s="127" t="str">
        <f t="shared" si="2359"/>
        <v/>
      </c>
      <c r="D1163" s="128" t="str">
        <f t="shared" si="2359"/>
        <v/>
      </c>
      <c r="E1163" s="48" t="str">
        <f t="shared" si="2359"/>
        <v/>
      </c>
      <c r="F1163" s="129" t="str">
        <f t="shared" si="2359"/>
        <v/>
      </c>
      <c r="G1163" s="130" t="str">
        <f t="shared" si="2348"/>
        <v/>
      </c>
      <c r="H1163" s="34"/>
      <c r="I1163" s="34"/>
      <c r="J1163" s="65"/>
      <c r="K1163" s="130" t="str">
        <f t="shared" si="2349"/>
        <v/>
      </c>
      <c r="L1163" s="34"/>
      <c r="M1163" s="34"/>
      <c r="N1163" s="65"/>
      <c r="O1163" s="130" t="str">
        <f t="shared" si="2350"/>
        <v/>
      </c>
      <c r="P1163" s="34"/>
      <c r="Q1163" s="34"/>
      <c r="R1163" s="65"/>
      <c r="S1163" s="130" t="str">
        <f t="shared" si="2351"/>
        <v/>
      </c>
      <c r="T1163" s="34"/>
      <c r="U1163" s="34"/>
      <c r="V1163" s="65"/>
      <c r="W1163" s="130" t="str">
        <f t="shared" si="2352"/>
        <v/>
      </c>
      <c r="X1163" s="34"/>
      <c r="Y1163" s="34"/>
      <c r="Z1163" s="65"/>
      <c r="AA1163" s="130" t="str">
        <f t="shared" si="2353"/>
        <v/>
      </c>
      <c r="AB1163" s="34"/>
      <c r="AC1163" s="34"/>
      <c r="AD1163" s="65"/>
      <c r="AE1163" s="131">
        <f t="shared" si="2354"/>
        <v>0</v>
      </c>
      <c r="AF1163" s="132">
        <f t="shared" si="2278"/>
        <v>0</v>
      </c>
      <c r="AG1163" s="133">
        <f t="shared" si="2355"/>
        <v>0</v>
      </c>
      <c r="AH1163" s="76" t="str">
        <f t="shared" si="2356"/>
        <v/>
      </c>
      <c r="AI1163" s="132">
        <f> ( IF(ISNUMBER(G1163), VLOOKUP(G1163/$AH1163,F!$A1:$B101,2,1)*G1163*$H1163*$I1163,0)+IF(ISNUMBER(K1163), VLOOKUP(K1163/$AH1163,F!$A1:$B101,2,1)*K1163*$L1163*$M1163,0)+IF(ISNUMBER(O1163), VLOOKUP(O1163/$AH1163,F!$A1:$B101,2,1)*O1163*$P1163*$Q1163,0)+IF(ISNUMBER(S1163), VLOOKUP(S1163/$AH1163,F!$A1:$B101,2,1)*S1163*$T1163*$U1163,0)+IF(ISNUMBER(W1163), VLOOKUP(W1163/$AH1163,F!$A1:$B101,2,1)*W1163*$X1163*$Y1163,0)+IF(ISNUMBER(AA1163), VLOOKUP(AA1163/$AH1163,F!$A1:$B101,2,1)*AA1163*$AB1163*$AC1163,0))*IF(ISNUMBER(F1163),F1163,1)*IF(ISNUMBER(E1163),E1163,1)</f>
        <v>0</v>
      </c>
      <c r="AJ1163" s="34">
        <f t="shared" si="2357"/>
        <v>0</v>
      </c>
      <c r="AK1163" s="134">
        <f t="array" ref="AK1163">IFERROR(I1163*INDEX(F!$P$21:$AB$33, MATCH(G1163/$AH1163, F!$O$21:$O$33,1), MATCH(E1163, F!$P$20:$AB$20,1)), 0 ) +IFERROR( M1163*INDEX(F!$P$21:$AB$33, MATCH(K1163/$AH1163, F!$O$21:$O$33,1), MATCH(E1163, F!$P$20:$AB$20,1)),0) +  IFERROR( Q1163*INDEX(F!$P$21:$AB$33, MATCH(O1163/$AH1163, F!$O$21:$O$33,1), MATCH(E1163, F!$P$20:$AB$20,1)), 0) + IFERROR( U1163*INDEX(F!$P$21:$AB$33, MATCH(S1163/$AH1163, F!$O$21:$O$33,1), MATCH(E1163, F!$P$20:$AB$20,1)),0)  + IFERROR(Y1163*INDEX(F!$P$21:$AB$33, MATCH(W1163/$AH1163, F!$O$21:$O$33,1), MATCH(E1163, F!$P$20:$AB$20,1)),0)  + IFERROR( AC1163*INDEX(F!$P$21:$AB$33, MATCH(AA1163/$AH1163, F!$O$21:$O$33,1), MATCH(E1163, F!$P$20:$AB$20,1)),)</f>
        <v>0</v>
      </c>
      <c r="AL1163" s="59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</row>
    <row r="1164" ht="15.75" hidden="1" customHeight="1">
      <c r="A1164" s="59"/>
      <c r="B1164" s="135" t="str">
        <f t="shared" ref="B1164:F1164" si="2360">IF(B1108="","",B1108)</f>
        <v/>
      </c>
      <c r="C1164" s="136" t="str">
        <f t="shared" si="2360"/>
        <v/>
      </c>
      <c r="D1164" s="137" t="str">
        <f t="shared" si="2360"/>
        <v/>
      </c>
      <c r="E1164" s="48" t="str">
        <f t="shared" si="2360"/>
        <v/>
      </c>
      <c r="F1164" s="138" t="str">
        <f t="shared" si="2360"/>
        <v/>
      </c>
      <c r="G1164" s="139" t="str">
        <f t="shared" si="2348"/>
        <v/>
      </c>
      <c r="H1164" s="140"/>
      <c r="I1164" s="140"/>
      <c r="J1164" s="141"/>
      <c r="K1164" s="139" t="str">
        <f t="shared" si="2349"/>
        <v/>
      </c>
      <c r="L1164" s="140"/>
      <c r="M1164" s="140"/>
      <c r="N1164" s="141"/>
      <c r="O1164" s="139" t="str">
        <f t="shared" si="2350"/>
        <v/>
      </c>
      <c r="P1164" s="140"/>
      <c r="Q1164" s="140"/>
      <c r="R1164" s="141"/>
      <c r="S1164" s="139" t="str">
        <f t="shared" si="2351"/>
        <v/>
      </c>
      <c r="T1164" s="140"/>
      <c r="U1164" s="140"/>
      <c r="V1164" s="141"/>
      <c r="W1164" s="139" t="str">
        <f t="shared" si="2352"/>
        <v/>
      </c>
      <c r="X1164" s="140"/>
      <c r="Y1164" s="140"/>
      <c r="Z1164" s="141"/>
      <c r="AA1164" s="139" t="str">
        <f t="shared" si="2353"/>
        <v/>
      </c>
      <c r="AB1164" s="140"/>
      <c r="AC1164" s="140"/>
      <c r="AD1164" s="141"/>
      <c r="AE1164" s="142">
        <f t="shared" si="2354"/>
        <v>0</v>
      </c>
      <c r="AF1164" s="143">
        <f t="shared" si="2278"/>
        <v>0</v>
      </c>
      <c r="AG1164" s="144">
        <f t="shared" si="2355"/>
        <v>0</v>
      </c>
      <c r="AH1164" s="76" t="str">
        <f t="shared" si="2356"/>
        <v/>
      </c>
      <c r="AI1164" s="143">
        <f> ( IF(ISNUMBER(G1164), VLOOKUP(G1164/$AH1164,F!$A1:$B101,2,1)*G1164*$H1164*$I1164,0)+IF(ISNUMBER(K1164), VLOOKUP(K1164/$AH1164,F!$A1:$B101,2,1)*K1164*$L1164*$M1164,0)+IF(ISNUMBER(O1164), VLOOKUP(O1164/$AH1164,F!$A1:$B101,2,1)*O1164*$P1164*$Q1164,0)+IF(ISNUMBER(S1164), VLOOKUP(S1164/$AH1164,F!$A1:$B101,2,1)*S1164*$T1164*$U1164,0)+IF(ISNUMBER(W1164), VLOOKUP(W1164/$AH1164,F!$A1:$B101,2,1)*W1164*$X1164*$Y1164,0)+IF(ISNUMBER(AA1164), VLOOKUP(AA1164/$AH1164,F!$A1:$B101,2,1)*AA1164*$AB1164*$AC1164,0))*IF(ISNUMBER(F1164),F1164,1)*IF(ISNUMBER(E1164),E1164,1)</f>
        <v>0</v>
      </c>
      <c r="AJ1164" s="140">
        <f t="shared" si="2357"/>
        <v>0</v>
      </c>
      <c r="AK1164" s="145">
        <f t="array" ref="AK1164">IFERROR(I1164*INDEX(F!$P$21:$AB$33, MATCH(G1164/$AH1164, F!$O$21:$O$33,1), MATCH(E1164, F!$P$20:$AB$20,1)), 0 ) +IFERROR( M1164*INDEX(F!$P$21:$AB$33, MATCH(K1164/$AH1164, F!$O$21:$O$33,1), MATCH(E1164, F!$P$20:$AB$20,1)),0) +  IFERROR( Q1164*INDEX(F!$P$21:$AB$33, MATCH(O1164/$AH1164, F!$O$21:$O$33,1), MATCH(E1164, F!$P$20:$AB$20,1)), 0) + IFERROR( U1164*INDEX(F!$P$21:$AB$33, MATCH(S1164/$AH1164, F!$O$21:$O$33,1), MATCH(E1164, F!$P$20:$AB$20,1)),0)  + IFERROR(Y1164*INDEX(F!$P$21:$AB$33, MATCH(W1164/$AH1164, F!$O$21:$O$33,1), MATCH(E1164, F!$P$20:$AB$20,1)),0)  + IFERROR( AC1164*INDEX(F!$P$21:$AB$33, MATCH(AA1164/$AH1164, F!$O$21:$O$33,1), MATCH(E1164, F!$P$20:$AB$20,1)),)</f>
        <v>0</v>
      </c>
      <c r="AL1164" s="59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</row>
    <row r="1165" ht="15.75" hidden="1" customHeight="1">
      <c r="A1165" s="59"/>
      <c r="B1165" s="126" t="str">
        <f t="shared" ref="B1165:F1165" si="2361">IF(B1109="","",B1109)</f>
        <v/>
      </c>
      <c r="C1165" s="127" t="str">
        <f t="shared" si="2361"/>
        <v/>
      </c>
      <c r="D1165" s="128" t="str">
        <f t="shared" si="2361"/>
        <v/>
      </c>
      <c r="E1165" s="48" t="str">
        <f t="shared" si="2361"/>
        <v/>
      </c>
      <c r="F1165" s="129" t="str">
        <f t="shared" si="2361"/>
        <v/>
      </c>
      <c r="G1165" s="130" t="str">
        <f t="shared" si="2348"/>
        <v/>
      </c>
      <c r="H1165" s="34"/>
      <c r="I1165" s="34"/>
      <c r="J1165" s="65"/>
      <c r="K1165" s="130" t="str">
        <f t="shared" si="2349"/>
        <v/>
      </c>
      <c r="L1165" s="34"/>
      <c r="M1165" s="34"/>
      <c r="N1165" s="65"/>
      <c r="O1165" s="130" t="str">
        <f t="shared" si="2350"/>
        <v/>
      </c>
      <c r="P1165" s="34"/>
      <c r="Q1165" s="34"/>
      <c r="R1165" s="65"/>
      <c r="S1165" s="130" t="str">
        <f t="shared" si="2351"/>
        <v/>
      </c>
      <c r="T1165" s="34"/>
      <c r="U1165" s="34"/>
      <c r="V1165" s="65"/>
      <c r="W1165" s="130" t="str">
        <f t="shared" si="2352"/>
        <v/>
      </c>
      <c r="X1165" s="34"/>
      <c r="Y1165" s="34"/>
      <c r="Z1165" s="65"/>
      <c r="AA1165" s="130" t="str">
        <f t="shared" si="2353"/>
        <v/>
      </c>
      <c r="AB1165" s="34"/>
      <c r="AC1165" s="34"/>
      <c r="AD1165" s="65"/>
      <c r="AE1165" s="131">
        <f t="shared" si="2354"/>
        <v>0</v>
      </c>
      <c r="AF1165" s="132">
        <f t="shared" si="2278"/>
        <v>0</v>
      </c>
      <c r="AG1165" s="133">
        <f t="shared" si="2355"/>
        <v>0</v>
      </c>
      <c r="AH1165" s="76" t="str">
        <f t="shared" si="2356"/>
        <v/>
      </c>
      <c r="AI1165" s="132">
        <f> ( IF(ISNUMBER(G1165), VLOOKUP(G1165/$AH1165,F!$A1:$B101,2,1)*G1165*$H1165*$I1165,0)+IF(ISNUMBER(K1165), VLOOKUP(K1165/$AH1165,F!$A1:$B101,2,1)*K1165*$L1165*$M1165,0)+IF(ISNUMBER(O1165), VLOOKUP(O1165/$AH1165,F!$A1:$B101,2,1)*O1165*$P1165*$Q1165,0)+IF(ISNUMBER(S1165), VLOOKUP(S1165/$AH1165,F!$A1:$B101,2,1)*S1165*$T1165*$U1165,0)+IF(ISNUMBER(W1165), VLOOKUP(W1165/$AH1165,F!$A1:$B101,2,1)*W1165*$X1165*$Y1165,0)+IF(ISNUMBER(AA1165), VLOOKUP(AA1165/$AH1165,F!$A1:$B101,2,1)*AA1165*$AB1165*$AC1165,0))*IF(ISNUMBER(F1165),F1165,1)*IF(ISNUMBER(E1165),E1165,1)</f>
        <v>0</v>
      </c>
      <c r="AJ1165" s="34">
        <f t="shared" si="2357"/>
        <v>0</v>
      </c>
      <c r="AK1165" s="134">
        <f t="array" ref="AK1165">IFERROR(I1165*INDEX(F!$P$21:$AB$33, MATCH(G1165/$AH1165, F!$O$21:$O$33,1), MATCH(E1165, F!$P$20:$AB$20,1)), 0 ) +IFERROR( M1165*INDEX(F!$P$21:$AB$33, MATCH(K1165/$AH1165, F!$O$21:$O$33,1), MATCH(E1165, F!$P$20:$AB$20,1)),0) +  IFERROR( Q1165*INDEX(F!$P$21:$AB$33, MATCH(O1165/$AH1165, F!$O$21:$O$33,1), MATCH(E1165, F!$P$20:$AB$20,1)), 0) + IFERROR( U1165*INDEX(F!$P$21:$AB$33, MATCH(S1165/$AH1165, F!$O$21:$O$33,1), MATCH(E1165, F!$P$20:$AB$20,1)),0)  + IFERROR(Y1165*INDEX(F!$P$21:$AB$33, MATCH(W1165/$AH1165, F!$O$21:$O$33,1), MATCH(E1165, F!$P$20:$AB$20,1)),0)  + IFERROR( AC1165*INDEX(F!$P$21:$AB$33, MATCH(AA1165/$AH1165, F!$O$21:$O$33,1), MATCH(E1165, F!$P$20:$AB$20,1)),)</f>
        <v>0</v>
      </c>
      <c r="AL1165" s="59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</row>
    <row r="1166" ht="15.75" hidden="1" customHeight="1">
      <c r="A1166" s="59"/>
      <c r="B1166" s="135" t="str">
        <f t="shared" ref="B1166:F1166" si="2362">IF(B1110="","",B1110)</f>
        <v/>
      </c>
      <c r="C1166" s="136" t="str">
        <f t="shared" si="2362"/>
        <v/>
      </c>
      <c r="D1166" s="137" t="str">
        <f t="shared" si="2362"/>
        <v/>
      </c>
      <c r="E1166" s="48" t="str">
        <f t="shared" si="2362"/>
        <v/>
      </c>
      <c r="F1166" s="138" t="str">
        <f t="shared" si="2362"/>
        <v/>
      </c>
      <c r="G1166" s="139" t="str">
        <f t="shared" si="2348"/>
        <v/>
      </c>
      <c r="H1166" s="140"/>
      <c r="I1166" s="140"/>
      <c r="J1166" s="141"/>
      <c r="K1166" s="139" t="str">
        <f t="shared" si="2349"/>
        <v/>
      </c>
      <c r="L1166" s="140"/>
      <c r="M1166" s="140"/>
      <c r="N1166" s="141"/>
      <c r="O1166" s="139" t="str">
        <f t="shared" si="2350"/>
        <v/>
      </c>
      <c r="P1166" s="140"/>
      <c r="Q1166" s="140"/>
      <c r="R1166" s="141"/>
      <c r="S1166" s="139" t="str">
        <f t="shared" si="2351"/>
        <v/>
      </c>
      <c r="T1166" s="140"/>
      <c r="U1166" s="140"/>
      <c r="V1166" s="141"/>
      <c r="W1166" s="139" t="str">
        <f t="shared" si="2352"/>
        <v/>
      </c>
      <c r="X1166" s="140"/>
      <c r="Y1166" s="140"/>
      <c r="Z1166" s="141"/>
      <c r="AA1166" s="139" t="str">
        <f t="shared" si="2353"/>
        <v/>
      </c>
      <c r="AB1166" s="140"/>
      <c r="AC1166" s="140"/>
      <c r="AD1166" s="141"/>
      <c r="AE1166" s="142">
        <f t="shared" si="2354"/>
        <v>0</v>
      </c>
      <c r="AF1166" s="143">
        <f t="shared" si="2278"/>
        <v>0</v>
      </c>
      <c r="AG1166" s="144">
        <f t="shared" si="2355"/>
        <v>0</v>
      </c>
      <c r="AH1166" s="76" t="str">
        <f t="shared" si="2356"/>
        <v/>
      </c>
      <c r="AI1166" s="143">
        <f> ( IF(ISNUMBER(G1166), VLOOKUP(G1166/$AH1166,F!$A1:$B101,2,1)*G1166*$H1166*$I1166,0)+IF(ISNUMBER(K1166), VLOOKUP(K1166/$AH1166,F!$A1:$B101,2,1)*K1166*$L1166*$M1166,0)+IF(ISNUMBER(O1166), VLOOKUP(O1166/$AH1166,F!$A1:$B101,2,1)*O1166*$P1166*$Q1166,0)+IF(ISNUMBER(S1166), VLOOKUP(S1166/$AH1166,F!$A1:$B101,2,1)*S1166*$T1166*$U1166,0)+IF(ISNUMBER(W1166), VLOOKUP(W1166/$AH1166,F!$A1:$B101,2,1)*W1166*$X1166*$Y1166,0)+IF(ISNUMBER(AA1166), VLOOKUP(AA1166/$AH1166,F!$A1:$B101,2,1)*AA1166*$AB1166*$AC1166,0))*IF(ISNUMBER(F1166),F1166,1)*IF(ISNUMBER(E1166),E1166,1)</f>
        <v>0</v>
      </c>
      <c r="AJ1166" s="140">
        <f t="shared" si="2357"/>
        <v>0</v>
      </c>
      <c r="AK1166" s="145">
        <f t="array" ref="AK1166">IFERROR(I1166*INDEX(F!$P$21:$AB$33, MATCH(G1166/$AH1166, F!$O$21:$O$33,1), MATCH(E1166, F!$P$20:$AB$20,1)), 0 ) +IFERROR( M1166*INDEX(F!$P$21:$AB$33, MATCH(K1166/$AH1166, F!$O$21:$O$33,1), MATCH(E1166, F!$P$20:$AB$20,1)),0) +  IFERROR( Q1166*INDEX(F!$P$21:$AB$33, MATCH(O1166/$AH1166, F!$O$21:$O$33,1), MATCH(E1166, F!$P$20:$AB$20,1)), 0) + IFERROR( U1166*INDEX(F!$P$21:$AB$33, MATCH(S1166/$AH1166, F!$O$21:$O$33,1), MATCH(E1166, F!$P$20:$AB$20,1)),0)  + IFERROR(Y1166*INDEX(F!$P$21:$AB$33, MATCH(W1166/$AH1166, F!$O$21:$O$33,1), MATCH(E1166, F!$P$20:$AB$20,1)),0)  + IFERROR( AC1166*INDEX(F!$P$21:$AB$33, MATCH(AA1166/$AH1166, F!$O$21:$O$33,1), MATCH(E1166, F!$P$20:$AB$20,1)),)</f>
        <v>0</v>
      </c>
      <c r="AL1166" s="59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</row>
    <row r="1167" ht="15.75" hidden="1" customHeight="1">
      <c r="A1167" s="59"/>
      <c r="B1167" s="126" t="str">
        <f t="shared" ref="B1167:F1167" si="2363">IF(B1111="","",B1111)</f>
        <v/>
      </c>
      <c r="C1167" s="127" t="str">
        <f t="shared" si="2363"/>
        <v/>
      </c>
      <c r="D1167" s="128" t="str">
        <f t="shared" si="2363"/>
        <v/>
      </c>
      <c r="E1167" s="48" t="str">
        <f t="shared" si="2363"/>
        <v/>
      </c>
      <c r="F1167" s="129" t="str">
        <f t="shared" si="2363"/>
        <v/>
      </c>
      <c r="G1167" s="130" t="str">
        <f t="shared" si="2348"/>
        <v/>
      </c>
      <c r="H1167" s="34"/>
      <c r="I1167" s="34"/>
      <c r="J1167" s="65"/>
      <c r="K1167" s="130" t="str">
        <f t="shared" si="2349"/>
        <v/>
      </c>
      <c r="L1167" s="34"/>
      <c r="M1167" s="34"/>
      <c r="N1167" s="65"/>
      <c r="O1167" s="130" t="str">
        <f t="shared" si="2350"/>
        <v/>
      </c>
      <c r="P1167" s="34"/>
      <c r="Q1167" s="34"/>
      <c r="R1167" s="65"/>
      <c r="S1167" s="130" t="str">
        <f t="shared" si="2351"/>
        <v/>
      </c>
      <c r="T1167" s="34"/>
      <c r="U1167" s="34"/>
      <c r="V1167" s="65"/>
      <c r="W1167" s="130" t="str">
        <f t="shared" si="2352"/>
        <v/>
      </c>
      <c r="X1167" s="34"/>
      <c r="Y1167" s="34"/>
      <c r="Z1167" s="65"/>
      <c r="AA1167" s="130" t="str">
        <f t="shared" si="2353"/>
        <v/>
      </c>
      <c r="AB1167" s="34"/>
      <c r="AC1167" s="34"/>
      <c r="AD1167" s="65"/>
      <c r="AE1167" s="131">
        <f t="shared" si="2354"/>
        <v>0</v>
      </c>
      <c r="AF1167" s="132">
        <f t="shared" si="2278"/>
        <v>0</v>
      </c>
      <c r="AG1167" s="133">
        <f t="shared" si="2355"/>
        <v>0</v>
      </c>
      <c r="AH1167" s="76" t="str">
        <f t="shared" si="2356"/>
        <v/>
      </c>
      <c r="AI1167" s="132">
        <f> ( IF(ISNUMBER(G1167), VLOOKUP(G1167/$AH1167,F!$A1:$B101,2,1)*G1167*$H1167*$I1167,0)+IF(ISNUMBER(K1167), VLOOKUP(K1167/$AH1167,F!$A1:$B101,2,1)*K1167*$L1167*$M1167,0)+IF(ISNUMBER(O1167), VLOOKUP(O1167/$AH1167,F!$A1:$B101,2,1)*O1167*$P1167*$Q1167,0)+IF(ISNUMBER(S1167), VLOOKUP(S1167/$AH1167,F!$A1:$B101,2,1)*S1167*$T1167*$U1167,0)+IF(ISNUMBER(W1167), VLOOKUP(W1167/$AH1167,F!$A1:$B101,2,1)*W1167*$X1167*$Y1167,0)+IF(ISNUMBER(AA1167), VLOOKUP(AA1167/$AH1167,F!$A1:$B101,2,1)*AA1167*$AB1167*$AC1167,0))*IF(ISNUMBER(F1167),F1167,1)*IF(ISNUMBER(E1167),E1167,1)</f>
        <v>0</v>
      </c>
      <c r="AJ1167" s="34">
        <f t="shared" si="2357"/>
        <v>0</v>
      </c>
      <c r="AK1167" s="134">
        <f t="array" ref="AK1167">IFERROR(I1167*INDEX(F!$P$21:$AB$33, MATCH(G1167/$AH1167, F!$O$21:$O$33,1), MATCH(E1167, F!$P$20:$AB$20,1)), 0 ) +IFERROR( M1167*INDEX(F!$P$21:$AB$33, MATCH(K1167/$AH1167, F!$O$21:$O$33,1), MATCH(E1167, F!$P$20:$AB$20,1)),0) +  IFERROR( Q1167*INDEX(F!$P$21:$AB$33, MATCH(O1167/$AH1167, F!$O$21:$O$33,1), MATCH(E1167, F!$P$20:$AB$20,1)), 0) + IFERROR( U1167*INDEX(F!$P$21:$AB$33, MATCH(S1167/$AH1167, F!$O$21:$O$33,1), MATCH(E1167, F!$P$20:$AB$20,1)),0)  + IFERROR(Y1167*INDEX(F!$P$21:$AB$33, MATCH(W1167/$AH1167, F!$O$21:$O$33,1), MATCH(E1167, F!$P$20:$AB$20,1)),0)  + IFERROR( AC1167*INDEX(F!$P$21:$AB$33, MATCH(AA1167/$AH1167, F!$O$21:$O$33,1), MATCH(E1167, F!$P$20:$AB$20,1)),)</f>
        <v>0</v>
      </c>
      <c r="AL1167" s="59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</row>
    <row r="1168" ht="15.75" hidden="1" customHeight="1">
      <c r="A1168" s="98"/>
      <c r="B1168" s="150"/>
      <c r="C1168" s="151"/>
      <c r="D1168" s="152"/>
      <c r="E1168" s="102">
        <f>ROUND(IFERROR(SUMPRODUCT(AJ1160:AJ1167,E1160:E1167)/AJ1168,0),3)</f>
        <v>0</v>
      </c>
      <c r="F1168" s="153"/>
      <c r="G1168" s="154"/>
      <c r="H1168" s="155"/>
      <c r="I1168" s="155"/>
      <c r="J1168" s="156"/>
      <c r="K1168" s="154"/>
      <c r="L1168" s="155"/>
      <c r="M1168" s="155"/>
      <c r="N1168" s="156"/>
      <c r="O1168" s="154"/>
      <c r="P1168" s="155"/>
      <c r="Q1168" s="155"/>
      <c r="R1168" s="156"/>
      <c r="S1168" s="154"/>
      <c r="T1168" s="155"/>
      <c r="U1168" s="155"/>
      <c r="V1168" s="156"/>
      <c r="W1168" s="154"/>
      <c r="X1168" s="155"/>
      <c r="Y1168" s="155"/>
      <c r="Z1168" s="156"/>
      <c r="AA1168" s="154"/>
      <c r="AB1168" s="155"/>
      <c r="AC1168" s="155"/>
      <c r="AD1168" s="156"/>
      <c r="AE1168" s="107">
        <f>SUM(AE1160:AE1167)</f>
        <v>0</v>
      </c>
      <c r="AF1168" s="108">
        <f t="shared" si="2278"/>
        <v>0</v>
      </c>
      <c r="AG1168" s="109">
        <f>IFERROR(  SUMPRODUCT(AG1160:AG1167,AJ1160:AJ1167)/AJ1168,0)</f>
        <v>0</v>
      </c>
      <c r="AH1168" s="157"/>
      <c r="AI1168" s="111">
        <f t="shared" ref="AI1168:AJ1168" si="2364">SUM(AI1160:AI1167)</f>
        <v>0</v>
      </c>
      <c r="AJ1168" s="111">
        <f t="shared" si="2364"/>
        <v>0</v>
      </c>
      <c r="AK1168" s="112">
        <f>IF(SUM(AK1160:AK1167)=0,TIME(,0,),TIME(,SUM(AK1160:AK1167)+F!$V$37,))</f>
        <v>0</v>
      </c>
      <c r="AL1168" s="98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</row>
    <row r="1169" ht="15.75" hidden="1" customHeight="1">
      <c r="A1169" s="158">
        <f>A1170</f>
        <v>43927</v>
      </c>
      <c r="B1169" s="159" t="str">
        <f t="shared" ref="B1169:F1169" si="2365">IF(B1113="","",B1113)</f>
        <v/>
      </c>
      <c r="C1169" s="160" t="str">
        <f t="shared" si="2365"/>
        <v/>
      </c>
      <c r="D1169" s="161" t="str">
        <f t="shared" si="2365"/>
        <v/>
      </c>
      <c r="E1169" s="29" t="str">
        <f t="shared" si="2365"/>
        <v/>
      </c>
      <c r="F1169" s="162" t="str">
        <f t="shared" si="2365"/>
        <v/>
      </c>
      <c r="G1169" s="163" t="str">
        <f t="shared" ref="G1169:G1176" si="2367">IF(J1169&lt;&gt;0, IFERROR(IF( $F1169=2,  MROUND($AH1169*J1169,1),    IF( OR($F1169="",$F1169=1),   MROUND($AH1169*J1169,2.5),  MROUND($AH1169*J1169, 0.1))), "" ), "")</f>
        <v/>
      </c>
      <c r="H1169" s="164"/>
      <c r="I1169" s="164"/>
      <c r="J1169" s="165"/>
      <c r="K1169" s="163" t="str">
        <f t="shared" ref="K1169:K1176" si="2368">IF(N1169&lt;&gt;0, IFERROR(IF( $F1169=2,  MROUND($AH1169*N1169,1),    IF( OR($F1169="",$F1169=1),   MROUND($AH1169*N1169,2.5),  MROUND($AH1169*N1169, 0.1))), "" ), "")</f>
        <v/>
      </c>
      <c r="L1169" s="164"/>
      <c r="M1169" s="164"/>
      <c r="N1169" s="165"/>
      <c r="O1169" s="163" t="str">
        <f t="shared" ref="O1169:O1176" si="2369">IF(R1169&lt;&gt;0, IFERROR(IF( $F1169=2,  MROUND($AH1169*R1169,1),    IF( OR($F1169="",$F1169=1),   MROUND($AH1169*R1169,2.5),  MROUND($AH1169*R1169, 0.1))), "" ), "")</f>
        <v/>
      </c>
      <c r="P1169" s="164"/>
      <c r="Q1169" s="164"/>
      <c r="R1169" s="165"/>
      <c r="S1169" s="163" t="str">
        <f t="shared" ref="S1169:S1176" si="2370">IF(V1169&lt;&gt;0, IFERROR(IF( $F1169=2,  MROUND($AH1169*V1169,1),    IF( OR($F1169="",$F1169=1),   MROUND($AH1169*V1169,2.5),  MROUND($AH1169*V1169, 0.1))), "" ), "")</f>
        <v/>
      </c>
      <c r="T1169" s="164"/>
      <c r="U1169" s="164"/>
      <c r="V1169" s="165"/>
      <c r="W1169" s="163" t="str">
        <f t="shared" ref="W1169:W1176" si="2371">IF(Z1169&lt;&gt;0, IFERROR(IF( $F1169=2,  MROUND($AH1169*Z1169,1),    IF( OR($F1169="",$F1169=1),   MROUND($AH1169*Z1169,2.5),  MROUND($AH1169*Z1169, 0.1))), "" ), "")</f>
        <v/>
      </c>
      <c r="X1169" s="164"/>
      <c r="Y1169" s="164"/>
      <c r="Z1169" s="165"/>
      <c r="AA1169" s="163" t="str">
        <f t="shared" ref="AA1169:AA1176" si="2372">IF(AD1169&lt;&gt;0, IFERROR(IF( $F1169=2,  MROUND($AH1169*AD1169,1),    IF( OR($F1169="",$F1169=1),   MROUND($AH1169*AD1169,2.5),  MROUND($AH1169*AD1169, 0.1))), "" ), "")</f>
        <v/>
      </c>
      <c r="AB1169" s="164"/>
      <c r="AC1169" s="164"/>
      <c r="AD1169" s="165"/>
      <c r="AE1169" s="166">
        <f t="shared" ref="AE1169:AE1176" si="2373">(IF(ISNUMBER(G1169),G1169,0)*H1169*I1169+IF(ISNUMBER(K1169),K1169,1)*L1169*M1169+IF(ISNUMBER(O1169),O1169,1)*P1169*Q1169+IF(ISNUMBER(S1169),S1169,1)*T1169*U1169+IF(ISNUMBER(W1169),W1169,1)*X1169*Y1169+IF(ISNUMBER(AA1169),AA1169,1)*AB1169*AC1169)*IF(ISNUMBER(F1169),F1169,1)</f>
        <v>0</v>
      </c>
      <c r="AF1169" s="167">
        <f t="shared" si="2278"/>
        <v>0</v>
      </c>
      <c r="AG1169" s="168">
        <f t="shared" ref="AG1169:AG1176" si="2374">IFERROR((AF1169/(AH1169*IF(ISNUMBER(F1169),F1169,1))),0)</f>
        <v>0</v>
      </c>
      <c r="AH1169" s="169" t="str">
        <f t="shared" ref="AH1169:AH1176" si="2375">IF(ISNUMBER(AH1113), AH1113+(AH1113*$AH$1122),"")</f>
        <v/>
      </c>
      <c r="AI1169" s="167">
        <f> ( IF(ISNUMBER(G1169), VLOOKUP(G1169/$AH1169,F!$A1:$B101,2,1)*G1169*$H1169*$I1169,0)+IF(ISNUMBER(K1169), VLOOKUP(K1169/$AH1169,F!$A1:$B101,2,1)*K1169*$L1169*$M1169,0)+IF(ISNUMBER(O1169), VLOOKUP(O1169/$AH1169,F!$A1:$B101,2,1)*O1169*$P1169*$Q1169,0)+IF(ISNUMBER(S1169), VLOOKUP(S1169/$AH1169,F!$A1:$B101,2,1)*S1169*$T1169*$U1169,0)+IF(ISNUMBER(W1169), VLOOKUP(W1169/$AH1169,F!$A1:$B101,2,1)*W1169*$X1169*$Y1169,0)+IF(ISNUMBER(AA1169), VLOOKUP(AA1169/$AH1169,F!$A1:$B101,2,1)*AA1169*$AB1169*$AC1169,0))*IF(ISNUMBER(F1169),F1169,1)*IF(ISNUMBER(E1169),E1169,1)</f>
        <v>0</v>
      </c>
      <c r="AJ1169" s="164">
        <f t="shared" ref="AJ1169:AJ1176" si="2376">H1169*I1169+L1169*M1169+P1169*Q1169+T1169*U1169+X1169*Y1169+AB1169*AC1169</f>
        <v>0</v>
      </c>
      <c r="AK1169" s="170">
        <f t="array" ref="AK1169">IFERROR(I1169*INDEX(F!$P$21:$AB$33, MATCH(G1169/$AH1169, F!$O$21:$O$33,1), MATCH(E1169, F!$P$20:$AB$20,1)), 0 ) +IFERROR( M1169*INDEX(F!$P$21:$AB$33, MATCH(K1169/$AH1169, F!$O$21:$O$33,1), MATCH(E1169, F!$P$20:$AB$20,1)),0) +  IFERROR( Q1169*INDEX(F!$P$21:$AB$33, MATCH(O1169/$AH1169, F!$O$21:$O$33,1), MATCH(E1169, F!$P$20:$AB$20,1)), 0) + IFERROR( U1169*INDEX(F!$P$21:$AB$33, MATCH(S1169/$AH1169, F!$O$21:$O$33,1), MATCH(E1169, F!$P$20:$AB$20,1)),0)  + IFERROR(Y1169*INDEX(F!$P$21:$AB$33, MATCH(W1169/$AH1169, F!$O$21:$O$33,1), MATCH(E1169, F!$P$20:$AB$20,1)),0)  + IFERROR( AC1169*INDEX(F!$P$21:$AB$33, MATCH(AA1169/$AH1169, F!$O$21:$O$33,1), MATCH(E1169, F!$P$20:$AB$20,1)),)</f>
        <v>0</v>
      </c>
      <c r="AL1169" s="42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</row>
    <row r="1170" ht="15.75" hidden="1" customHeight="1">
      <c r="A1170" s="44">
        <f>A1114+A1066</f>
        <v>43927</v>
      </c>
      <c r="B1170" s="135" t="str">
        <f t="shared" ref="B1170:F1170" si="2366">IF(B1114="","",B1114)</f>
        <v/>
      </c>
      <c r="C1170" s="136" t="str">
        <f t="shared" si="2366"/>
        <v/>
      </c>
      <c r="D1170" s="137" t="str">
        <f t="shared" si="2366"/>
        <v/>
      </c>
      <c r="E1170" s="48" t="str">
        <f t="shared" si="2366"/>
        <v/>
      </c>
      <c r="F1170" s="138" t="str">
        <f t="shared" si="2366"/>
        <v/>
      </c>
      <c r="G1170" s="139" t="str">
        <f t="shared" si="2367"/>
        <v/>
      </c>
      <c r="H1170" s="140"/>
      <c r="I1170" s="140"/>
      <c r="J1170" s="141"/>
      <c r="K1170" s="139" t="str">
        <f t="shared" si="2368"/>
        <v/>
      </c>
      <c r="L1170" s="140"/>
      <c r="M1170" s="140"/>
      <c r="N1170" s="141"/>
      <c r="O1170" s="139" t="str">
        <f t="shared" si="2369"/>
        <v/>
      </c>
      <c r="P1170" s="140"/>
      <c r="Q1170" s="140"/>
      <c r="R1170" s="141"/>
      <c r="S1170" s="139" t="str">
        <f t="shared" si="2370"/>
        <v/>
      </c>
      <c r="T1170" s="140"/>
      <c r="U1170" s="140"/>
      <c r="V1170" s="141"/>
      <c r="W1170" s="139" t="str">
        <f t="shared" si="2371"/>
        <v/>
      </c>
      <c r="X1170" s="140"/>
      <c r="Y1170" s="140"/>
      <c r="Z1170" s="141"/>
      <c r="AA1170" s="139" t="str">
        <f t="shared" si="2372"/>
        <v/>
      </c>
      <c r="AB1170" s="140"/>
      <c r="AC1170" s="140"/>
      <c r="AD1170" s="141"/>
      <c r="AE1170" s="142">
        <f t="shared" si="2373"/>
        <v>0</v>
      </c>
      <c r="AF1170" s="143">
        <f t="shared" si="2278"/>
        <v>0</v>
      </c>
      <c r="AG1170" s="144">
        <f t="shared" si="2374"/>
        <v>0</v>
      </c>
      <c r="AH1170" s="76" t="str">
        <f t="shared" si="2375"/>
        <v/>
      </c>
      <c r="AI1170" s="143">
        <f> ( IF(ISNUMBER(G1170), VLOOKUP(G1170/$AH1170,F!$A1:$B101,2,1)*G1170*$H1170*$I1170,0)+IF(ISNUMBER(K1170), VLOOKUP(K1170/$AH1170,F!$A1:$B101,2,1)*K1170*$L1170*$M1170,0)+IF(ISNUMBER(O1170), VLOOKUP(O1170/$AH1170,F!$A1:$B101,2,1)*O1170*$P1170*$Q1170,0)+IF(ISNUMBER(S1170), VLOOKUP(S1170/$AH1170,F!$A1:$B101,2,1)*S1170*$T1170*$U1170,0)+IF(ISNUMBER(W1170), VLOOKUP(W1170/$AH1170,F!$A1:$B101,2,1)*W1170*$X1170*$Y1170,0)+IF(ISNUMBER(AA1170), VLOOKUP(AA1170/$AH1170,F!$A1:$B101,2,1)*AA1170*$AB1170*$AC1170,0))*IF(ISNUMBER(F1170),F1170,1)*IF(ISNUMBER(E1170),E1170,1)</f>
        <v>0</v>
      </c>
      <c r="AJ1170" s="140">
        <f t="shared" si="2376"/>
        <v>0</v>
      </c>
      <c r="AK1170" s="145">
        <f t="array" ref="AK1170">IFERROR(I1170*INDEX(F!$P$21:$AB$33, MATCH(G1170/$AH1170, F!$O$21:$O$33,1), MATCH(E1170, F!$P$20:$AB$20,1)), 0 ) +IFERROR( M1170*INDEX(F!$P$21:$AB$33, MATCH(K1170/$AH1170, F!$O$21:$O$33,1), MATCH(E1170, F!$P$20:$AB$20,1)),0) +  IFERROR( Q1170*INDEX(F!$P$21:$AB$33, MATCH(O1170/$AH1170, F!$O$21:$O$33,1), MATCH(E1170, F!$P$20:$AB$20,1)), 0) + IFERROR( U1170*INDEX(F!$P$21:$AB$33, MATCH(S1170/$AH1170, F!$O$21:$O$33,1), MATCH(E1170, F!$P$20:$AB$20,1)),0)  + IFERROR(Y1170*INDEX(F!$P$21:$AB$33, MATCH(W1170/$AH1170, F!$O$21:$O$33,1), MATCH(E1170, F!$P$20:$AB$20,1)),0)  + IFERROR( AC1170*INDEX(F!$P$21:$AB$33, MATCH(AA1170/$AH1170, F!$O$21:$O$33,1), MATCH(E1170, F!$P$20:$AB$20,1)),)</f>
        <v>0</v>
      </c>
      <c r="AL1170" s="59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</row>
    <row r="1171" ht="15.75" hidden="1" customHeight="1">
      <c r="A1171" s="59"/>
      <c r="B1171" s="173" t="str">
        <f t="shared" ref="B1171:F1171" si="2377">IF(B1115="","",B1115)</f>
        <v/>
      </c>
      <c r="C1171" s="174" t="str">
        <f t="shared" si="2377"/>
        <v/>
      </c>
      <c r="D1171" s="175" t="str">
        <f t="shared" si="2377"/>
        <v/>
      </c>
      <c r="E1171" s="48" t="str">
        <f t="shared" si="2377"/>
        <v/>
      </c>
      <c r="F1171" s="176" t="str">
        <f t="shared" si="2377"/>
        <v/>
      </c>
      <c r="G1171" s="177" t="str">
        <f t="shared" si="2367"/>
        <v/>
      </c>
      <c r="H1171" s="178"/>
      <c r="I1171" s="178"/>
      <c r="J1171" s="179"/>
      <c r="K1171" s="177" t="str">
        <f t="shared" si="2368"/>
        <v/>
      </c>
      <c r="L1171" s="178"/>
      <c r="M1171" s="178"/>
      <c r="N1171" s="179"/>
      <c r="O1171" s="177" t="str">
        <f t="shared" si="2369"/>
        <v/>
      </c>
      <c r="P1171" s="178"/>
      <c r="Q1171" s="178"/>
      <c r="R1171" s="179"/>
      <c r="S1171" s="177" t="str">
        <f t="shared" si="2370"/>
        <v/>
      </c>
      <c r="T1171" s="178"/>
      <c r="U1171" s="178"/>
      <c r="V1171" s="179"/>
      <c r="W1171" s="177" t="str">
        <f t="shared" si="2371"/>
        <v/>
      </c>
      <c r="X1171" s="178"/>
      <c r="Y1171" s="178"/>
      <c r="Z1171" s="179"/>
      <c r="AA1171" s="177" t="str">
        <f t="shared" si="2372"/>
        <v/>
      </c>
      <c r="AB1171" s="178"/>
      <c r="AC1171" s="178"/>
      <c r="AD1171" s="179"/>
      <c r="AE1171" s="180">
        <f t="shared" si="2373"/>
        <v>0</v>
      </c>
      <c r="AF1171" s="181">
        <f t="shared" si="2278"/>
        <v>0</v>
      </c>
      <c r="AG1171" s="182">
        <f t="shared" si="2374"/>
        <v>0</v>
      </c>
      <c r="AH1171" s="76" t="str">
        <f t="shared" si="2375"/>
        <v/>
      </c>
      <c r="AI1171" s="181">
        <f> ( IF(ISNUMBER(G1171), VLOOKUP(G1171/$AH1171,F!$A1:$B101,2,1)*G1171*$H1171*$I1171,0)+IF(ISNUMBER(K1171), VLOOKUP(K1171/$AH1171,F!$A1:$B101,2,1)*K1171*$L1171*$M1171,0)+IF(ISNUMBER(O1171), VLOOKUP(O1171/$AH1171,F!$A1:$B101,2,1)*O1171*$P1171*$Q1171,0)+IF(ISNUMBER(S1171), VLOOKUP(S1171/$AH1171,F!$A1:$B101,2,1)*S1171*$T1171*$U1171,0)+IF(ISNUMBER(W1171), VLOOKUP(W1171/$AH1171,F!$A1:$B101,2,1)*W1171*$X1171*$Y1171,0)+IF(ISNUMBER(AA1171), VLOOKUP(AA1171/$AH1171,F!$A1:$B101,2,1)*AA1171*$AB1171*$AC1171,0))*IF(ISNUMBER(F1171),F1171,1)*IF(ISNUMBER(E1171),E1171,1)</f>
        <v>0</v>
      </c>
      <c r="AJ1171" s="178">
        <f t="shared" si="2376"/>
        <v>0</v>
      </c>
      <c r="AK1171" s="183">
        <f t="array" ref="AK1171">IFERROR(I1171*INDEX(F!$P$21:$AB$33, MATCH(G1171/$AH1171, F!$O$21:$O$33,1), MATCH(E1171, F!$P$20:$AB$20,1)), 0 ) +IFERROR( M1171*INDEX(F!$P$21:$AB$33, MATCH(K1171/$AH1171, F!$O$21:$O$33,1), MATCH(E1171, F!$P$20:$AB$20,1)),0) +  IFERROR( Q1171*INDEX(F!$P$21:$AB$33, MATCH(O1171/$AH1171, F!$O$21:$O$33,1), MATCH(E1171, F!$P$20:$AB$20,1)), 0) + IFERROR( U1171*INDEX(F!$P$21:$AB$33, MATCH(S1171/$AH1171, F!$O$21:$O$33,1), MATCH(E1171, F!$P$20:$AB$20,1)),0)  + IFERROR(Y1171*INDEX(F!$P$21:$AB$33, MATCH(W1171/$AH1171, F!$O$21:$O$33,1), MATCH(E1171, F!$P$20:$AB$20,1)),0)  + IFERROR( AC1171*INDEX(F!$P$21:$AB$33, MATCH(AA1171/$AH1171, F!$O$21:$O$33,1), MATCH(E1171, F!$P$20:$AB$20,1)),)</f>
        <v>0</v>
      </c>
      <c r="AL1171" s="59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</row>
    <row r="1172" ht="15.75" hidden="1" customHeight="1">
      <c r="A1172" s="59"/>
      <c r="B1172" s="135" t="str">
        <f t="shared" ref="B1172:F1172" si="2378">IF(B1116="","",B1116)</f>
        <v/>
      </c>
      <c r="C1172" s="136" t="str">
        <f t="shared" si="2378"/>
        <v/>
      </c>
      <c r="D1172" s="137" t="str">
        <f t="shared" si="2378"/>
        <v/>
      </c>
      <c r="E1172" s="48" t="str">
        <f t="shared" si="2378"/>
        <v/>
      </c>
      <c r="F1172" s="138" t="str">
        <f t="shared" si="2378"/>
        <v/>
      </c>
      <c r="G1172" s="139" t="str">
        <f t="shared" si="2367"/>
        <v/>
      </c>
      <c r="H1172" s="140"/>
      <c r="I1172" s="140"/>
      <c r="J1172" s="141"/>
      <c r="K1172" s="139" t="str">
        <f t="shared" si="2368"/>
        <v/>
      </c>
      <c r="L1172" s="140"/>
      <c r="M1172" s="140"/>
      <c r="N1172" s="141"/>
      <c r="O1172" s="139" t="str">
        <f t="shared" si="2369"/>
        <v/>
      </c>
      <c r="P1172" s="140"/>
      <c r="Q1172" s="140"/>
      <c r="R1172" s="141"/>
      <c r="S1172" s="139" t="str">
        <f t="shared" si="2370"/>
        <v/>
      </c>
      <c r="T1172" s="140"/>
      <c r="U1172" s="140"/>
      <c r="V1172" s="141"/>
      <c r="W1172" s="139" t="str">
        <f t="shared" si="2371"/>
        <v/>
      </c>
      <c r="X1172" s="140"/>
      <c r="Y1172" s="140"/>
      <c r="Z1172" s="141"/>
      <c r="AA1172" s="139" t="str">
        <f t="shared" si="2372"/>
        <v/>
      </c>
      <c r="AB1172" s="140"/>
      <c r="AC1172" s="140"/>
      <c r="AD1172" s="141"/>
      <c r="AE1172" s="142">
        <f t="shared" si="2373"/>
        <v>0</v>
      </c>
      <c r="AF1172" s="143">
        <f t="shared" si="2278"/>
        <v>0</v>
      </c>
      <c r="AG1172" s="144">
        <f t="shared" si="2374"/>
        <v>0</v>
      </c>
      <c r="AH1172" s="76" t="str">
        <f t="shared" si="2375"/>
        <v/>
      </c>
      <c r="AI1172" s="143">
        <f> ( IF(ISNUMBER(G1172), VLOOKUP(G1172/$AH1172,F!$A1:$B101,2,1)*G1172*$H1172*$I1172,0)+IF(ISNUMBER(K1172), VLOOKUP(K1172/$AH1172,F!$A1:$B101,2,1)*K1172*$L1172*$M1172,0)+IF(ISNUMBER(O1172), VLOOKUP(O1172/$AH1172,F!$A1:$B101,2,1)*O1172*$P1172*$Q1172,0)+IF(ISNUMBER(S1172), VLOOKUP(S1172/$AH1172,F!$A1:$B101,2,1)*S1172*$T1172*$U1172,0)+IF(ISNUMBER(W1172), VLOOKUP(W1172/$AH1172,F!$A1:$B101,2,1)*W1172*$X1172*$Y1172,0)+IF(ISNUMBER(AA1172), VLOOKUP(AA1172/$AH1172,F!$A1:$B101,2,1)*AA1172*$AB1172*$AC1172,0))*IF(ISNUMBER(F1172),F1172,1)*IF(ISNUMBER(E1172),E1172,1)</f>
        <v>0</v>
      </c>
      <c r="AJ1172" s="140">
        <f t="shared" si="2376"/>
        <v>0</v>
      </c>
      <c r="AK1172" s="145">
        <f t="array" ref="AK1172">IFERROR(I1172*INDEX(F!$P$21:$AB$33, MATCH(G1172/$AH1172, F!$O$21:$O$33,1), MATCH(E1172, F!$P$20:$AB$20,1)), 0 ) +IFERROR( M1172*INDEX(F!$P$21:$AB$33, MATCH(K1172/$AH1172, F!$O$21:$O$33,1), MATCH(E1172, F!$P$20:$AB$20,1)),0) +  IFERROR( Q1172*INDEX(F!$P$21:$AB$33, MATCH(O1172/$AH1172, F!$O$21:$O$33,1), MATCH(E1172, F!$P$20:$AB$20,1)), 0) + IFERROR( U1172*INDEX(F!$P$21:$AB$33, MATCH(S1172/$AH1172, F!$O$21:$O$33,1), MATCH(E1172, F!$P$20:$AB$20,1)),0)  + IFERROR(Y1172*INDEX(F!$P$21:$AB$33, MATCH(W1172/$AH1172, F!$O$21:$O$33,1), MATCH(E1172, F!$P$20:$AB$20,1)),0)  + IFERROR( AC1172*INDEX(F!$P$21:$AB$33, MATCH(AA1172/$AH1172, F!$O$21:$O$33,1), MATCH(E1172, F!$P$20:$AB$20,1)),)</f>
        <v>0</v>
      </c>
      <c r="AL1172" s="59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</row>
    <row r="1173" ht="15.75" hidden="1" customHeight="1">
      <c r="A1173" s="59"/>
      <c r="B1173" s="173" t="str">
        <f t="shared" ref="B1173:F1173" si="2379">IF(B1117="","",B1117)</f>
        <v/>
      </c>
      <c r="C1173" s="174" t="str">
        <f t="shared" si="2379"/>
        <v/>
      </c>
      <c r="D1173" s="175" t="str">
        <f t="shared" si="2379"/>
        <v/>
      </c>
      <c r="E1173" s="48" t="str">
        <f t="shared" si="2379"/>
        <v/>
      </c>
      <c r="F1173" s="176" t="str">
        <f t="shared" si="2379"/>
        <v/>
      </c>
      <c r="G1173" s="177" t="str">
        <f t="shared" si="2367"/>
        <v/>
      </c>
      <c r="H1173" s="178"/>
      <c r="I1173" s="178"/>
      <c r="J1173" s="179"/>
      <c r="K1173" s="177" t="str">
        <f t="shared" si="2368"/>
        <v/>
      </c>
      <c r="L1173" s="178"/>
      <c r="M1173" s="178"/>
      <c r="N1173" s="179"/>
      <c r="O1173" s="177" t="str">
        <f t="shared" si="2369"/>
        <v/>
      </c>
      <c r="P1173" s="178"/>
      <c r="Q1173" s="178"/>
      <c r="R1173" s="179"/>
      <c r="S1173" s="177" t="str">
        <f t="shared" si="2370"/>
        <v/>
      </c>
      <c r="T1173" s="178"/>
      <c r="U1173" s="178"/>
      <c r="V1173" s="179"/>
      <c r="W1173" s="177" t="str">
        <f t="shared" si="2371"/>
        <v/>
      </c>
      <c r="X1173" s="178"/>
      <c r="Y1173" s="178"/>
      <c r="Z1173" s="179"/>
      <c r="AA1173" s="177" t="str">
        <f t="shared" si="2372"/>
        <v/>
      </c>
      <c r="AB1173" s="178"/>
      <c r="AC1173" s="178"/>
      <c r="AD1173" s="179"/>
      <c r="AE1173" s="180">
        <f t="shared" si="2373"/>
        <v>0</v>
      </c>
      <c r="AF1173" s="181">
        <f t="shared" si="2278"/>
        <v>0</v>
      </c>
      <c r="AG1173" s="182">
        <f t="shared" si="2374"/>
        <v>0</v>
      </c>
      <c r="AH1173" s="76" t="str">
        <f t="shared" si="2375"/>
        <v/>
      </c>
      <c r="AI1173" s="181">
        <f> ( IF(ISNUMBER(G1173), VLOOKUP(G1173/$AH1173,F!$A1:$B101,2,1)*G1173*$H1173*$I1173,0)+IF(ISNUMBER(K1173), VLOOKUP(K1173/$AH1173,F!$A1:$B101,2,1)*K1173*$L1173*$M1173,0)+IF(ISNUMBER(O1173), VLOOKUP(O1173/$AH1173,F!$A1:$B101,2,1)*O1173*$P1173*$Q1173,0)+IF(ISNUMBER(S1173), VLOOKUP(S1173/$AH1173,F!$A1:$B101,2,1)*S1173*$T1173*$U1173,0)+IF(ISNUMBER(W1173), VLOOKUP(W1173/$AH1173,F!$A1:$B101,2,1)*W1173*$X1173*$Y1173,0)+IF(ISNUMBER(AA1173), VLOOKUP(AA1173/$AH1173,F!$A1:$B101,2,1)*AA1173*$AB1173*$AC1173,0))*IF(ISNUMBER(F1173),F1173,1)*IF(ISNUMBER(E1173),E1173,1)</f>
        <v>0</v>
      </c>
      <c r="AJ1173" s="178">
        <f t="shared" si="2376"/>
        <v>0</v>
      </c>
      <c r="AK1173" s="183">
        <f t="array" ref="AK1173">IFERROR(I1173*INDEX(F!$P$21:$AB$33, MATCH(G1173/$AH1173, F!$O$21:$O$33,1), MATCH(E1173, F!$P$20:$AB$20,1)), 0 ) +IFERROR( M1173*INDEX(F!$P$21:$AB$33, MATCH(K1173/$AH1173, F!$O$21:$O$33,1), MATCH(E1173, F!$P$20:$AB$20,1)),0) +  IFERROR( Q1173*INDEX(F!$P$21:$AB$33, MATCH(O1173/$AH1173, F!$O$21:$O$33,1), MATCH(E1173, F!$P$20:$AB$20,1)), 0) + IFERROR( U1173*INDEX(F!$P$21:$AB$33, MATCH(S1173/$AH1173, F!$O$21:$O$33,1), MATCH(E1173, F!$P$20:$AB$20,1)),0)  + IFERROR(Y1173*INDEX(F!$P$21:$AB$33, MATCH(W1173/$AH1173, F!$O$21:$O$33,1), MATCH(E1173, F!$P$20:$AB$20,1)),0)  + IFERROR( AC1173*INDEX(F!$P$21:$AB$33, MATCH(AA1173/$AH1173, F!$O$21:$O$33,1), MATCH(E1173, F!$P$20:$AB$20,1)),)</f>
        <v>0</v>
      </c>
      <c r="AL1173" s="59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</row>
    <row r="1174" ht="15.75" hidden="1" customHeight="1">
      <c r="A1174" s="59"/>
      <c r="B1174" s="135" t="str">
        <f t="shared" ref="B1174:F1174" si="2380">IF(B1118="","",B1118)</f>
        <v/>
      </c>
      <c r="C1174" s="136" t="str">
        <f t="shared" si="2380"/>
        <v/>
      </c>
      <c r="D1174" s="137" t="str">
        <f t="shared" si="2380"/>
        <v/>
      </c>
      <c r="E1174" s="48" t="str">
        <f t="shared" si="2380"/>
        <v/>
      </c>
      <c r="F1174" s="138" t="str">
        <f t="shared" si="2380"/>
        <v/>
      </c>
      <c r="G1174" s="139" t="str">
        <f t="shared" si="2367"/>
        <v/>
      </c>
      <c r="H1174" s="140"/>
      <c r="I1174" s="140"/>
      <c r="J1174" s="141"/>
      <c r="K1174" s="139" t="str">
        <f t="shared" si="2368"/>
        <v/>
      </c>
      <c r="L1174" s="140"/>
      <c r="M1174" s="140"/>
      <c r="N1174" s="141"/>
      <c r="O1174" s="139" t="str">
        <f t="shared" si="2369"/>
        <v/>
      </c>
      <c r="P1174" s="140"/>
      <c r="Q1174" s="140"/>
      <c r="R1174" s="141"/>
      <c r="S1174" s="139" t="str">
        <f t="shared" si="2370"/>
        <v/>
      </c>
      <c r="T1174" s="140"/>
      <c r="U1174" s="140"/>
      <c r="V1174" s="141"/>
      <c r="W1174" s="139" t="str">
        <f t="shared" si="2371"/>
        <v/>
      </c>
      <c r="X1174" s="140"/>
      <c r="Y1174" s="140"/>
      <c r="Z1174" s="141"/>
      <c r="AA1174" s="139" t="str">
        <f t="shared" si="2372"/>
        <v/>
      </c>
      <c r="AB1174" s="140"/>
      <c r="AC1174" s="140"/>
      <c r="AD1174" s="141"/>
      <c r="AE1174" s="142">
        <f t="shared" si="2373"/>
        <v>0</v>
      </c>
      <c r="AF1174" s="143">
        <f t="shared" si="2278"/>
        <v>0</v>
      </c>
      <c r="AG1174" s="144">
        <f t="shared" si="2374"/>
        <v>0</v>
      </c>
      <c r="AH1174" s="76" t="str">
        <f t="shared" si="2375"/>
        <v/>
      </c>
      <c r="AI1174" s="143">
        <f> ( IF(ISNUMBER(G1174), VLOOKUP(G1174/$AH1174,F!$A1:$B101,2,1)*G1174*$H1174*$I1174,0)+IF(ISNUMBER(K1174), VLOOKUP(K1174/$AH1174,F!$A1:$B101,2,1)*K1174*$L1174*$M1174,0)+IF(ISNUMBER(O1174), VLOOKUP(O1174/$AH1174,F!$A1:$B101,2,1)*O1174*$P1174*$Q1174,0)+IF(ISNUMBER(S1174), VLOOKUP(S1174/$AH1174,F!$A1:$B101,2,1)*S1174*$T1174*$U1174,0)+IF(ISNUMBER(W1174), VLOOKUP(W1174/$AH1174,F!$A1:$B101,2,1)*W1174*$X1174*$Y1174,0)+IF(ISNUMBER(AA1174), VLOOKUP(AA1174/$AH1174,F!$A1:$B101,2,1)*AA1174*$AB1174*$AC1174,0))*IF(ISNUMBER(F1174),F1174,1)*IF(ISNUMBER(E1174),E1174,1)</f>
        <v>0</v>
      </c>
      <c r="AJ1174" s="140">
        <f t="shared" si="2376"/>
        <v>0</v>
      </c>
      <c r="AK1174" s="145">
        <f t="array" ref="AK1174">IFERROR(I1174*INDEX(F!$P$21:$AB$33, MATCH(G1174/$AH1174, F!$O$21:$O$33,1), MATCH(E1174, F!$P$20:$AB$20,1)), 0 ) +IFERROR( M1174*INDEX(F!$P$21:$AB$33, MATCH(K1174/$AH1174, F!$O$21:$O$33,1), MATCH(E1174, F!$P$20:$AB$20,1)),0) +  IFERROR( Q1174*INDEX(F!$P$21:$AB$33, MATCH(O1174/$AH1174, F!$O$21:$O$33,1), MATCH(E1174, F!$P$20:$AB$20,1)), 0) + IFERROR( U1174*INDEX(F!$P$21:$AB$33, MATCH(S1174/$AH1174, F!$O$21:$O$33,1), MATCH(E1174, F!$P$20:$AB$20,1)),0)  + IFERROR(Y1174*INDEX(F!$P$21:$AB$33, MATCH(W1174/$AH1174, F!$O$21:$O$33,1), MATCH(E1174, F!$P$20:$AB$20,1)),0)  + IFERROR( AC1174*INDEX(F!$P$21:$AB$33, MATCH(AA1174/$AH1174, F!$O$21:$O$33,1), MATCH(E1174, F!$P$20:$AB$20,1)),)</f>
        <v>0</v>
      </c>
      <c r="AL1174" s="59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</row>
    <row r="1175" ht="15.75" hidden="1" customHeight="1">
      <c r="A1175" s="59"/>
      <c r="B1175" s="173" t="str">
        <f t="shared" ref="B1175:F1175" si="2381">IF(B1119="","",B1119)</f>
        <v/>
      </c>
      <c r="C1175" s="174" t="str">
        <f t="shared" si="2381"/>
        <v/>
      </c>
      <c r="D1175" s="175" t="str">
        <f t="shared" si="2381"/>
        <v/>
      </c>
      <c r="E1175" s="48" t="str">
        <f t="shared" si="2381"/>
        <v/>
      </c>
      <c r="F1175" s="176" t="str">
        <f t="shared" si="2381"/>
        <v/>
      </c>
      <c r="G1175" s="177" t="str">
        <f t="shared" si="2367"/>
        <v/>
      </c>
      <c r="H1175" s="178"/>
      <c r="I1175" s="178"/>
      <c r="J1175" s="179"/>
      <c r="K1175" s="177" t="str">
        <f t="shared" si="2368"/>
        <v/>
      </c>
      <c r="L1175" s="178"/>
      <c r="M1175" s="178"/>
      <c r="N1175" s="179"/>
      <c r="O1175" s="177" t="str">
        <f t="shared" si="2369"/>
        <v/>
      </c>
      <c r="P1175" s="178"/>
      <c r="Q1175" s="178"/>
      <c r="R1175" s="179"/>
      <c r="S1175" s="177" t="str">
        <f t="shared" si="2370"/>
        <v/>
      </c>
      <c r="T1175" s="178"/>
      <c r="U1175" s="178"/>
      <c r="V1175" s="179"/>
      <c r="W1175" s="177" t="str">
        <f t="shared" si="2371"/>
        <v/>
      </c>
      <c r="X1175" s="178"/>
      <c r="Y1175" s="178"/>
      <c r="Z1175" s="179"/>
      <c r="AA1175" s="177" t="str">
        <f t="shared" si="2372"/>
        <v/>
      </c>
      <c r="AB1175" s="178"/>
      <c r="AC1175" s="178"/>
      <c r="AD1175" s="179"/>
      <c r="AE1175" s="180">
        <f t="shared" si="2373"/>
        <v>0</v>
      </c>
      <c r="AF1175" s="181">
        <f t="shared" si="2278"/>
        <v>0</v>
      </c>
      <c r="AG1175" s="182">
        <f t="shared" si="2374"/>
        <v>0</v>
      </c>
      <c r="AH1175" s="76" t="str">
        <f t="shared" si="2375"/>
        <v/>
      </c>
      <c r="AI1175" s="181">
        <f> ( IF(ISNUMBER(G1175), VLOOKUP(G1175/$AH1175,F!$A1:$B101,2,1)*G1175*$H1175*$I1175,0)+IF(ISNUMBER(K1175), VLOOKUP(K1175/$AH1175,F!$A1:$B101,2,1)*K1175*$L1175*$M1175,0)+IF(ISNUMBER(O1175), VLOOKUP(O1175/$AH1175,F!$A1:$B101,2,1)*O1175*$P1175*$Q1175,0)+IF(ISNUMBER(S1175), VLOOKUP(S1175/$AH1175,F!$A1:$B101,2,1)*S1175*$T1175*$U1175,0)+IF(ISNUMBER(W1175), VLOOKUP(W1175/$AH1175,F!$A1:$B101,2,1)*W1175*$X1175*$Y1175,0)+IF(ISNUMBER(AA1175), VLOOKUP(AA1175/$AH1175,F!$A1:$B101,2,1)*AA1175*$AB1175*$AC1175,0))*IF(ISNUMBER(F1175),F1175,1)*IF(ISNUMBER(E1175),E1175,1)</f>
        <v>0</v>
      </c>
      <c r="AJ1175" s="178">
        <f t="shared" si="2376"/>
        <v>0</v>
      </c>
      <c r="AK1175" s="183">
        <f t="array" ref="AK1175">IFERROR(I1175*INDEX(F!$P$21:$AB$33, MATCH(G1175/$AH1175, F!$O$21:$O$33,1), MATCH(E1175, F!$P$20:$AB$20,1)), 0 ) +IFERROR( M1175*INDEX(F!$P$21:$AB$33, MATCH(K1175/$AH1175, F!$O$21:$O$33,1), MATCH(E1175, F!$P$20:$AB$20,1)),0) +  IFERROR( Q1175*INDEX(F!$P$21:$AB$33, MATCH(O1175/$AH1175, F!$O$21:$O$33,1), MATCH(E1175, F!$P$20:$AB$20,1)), 0) + IFERROR( U1175*INDEX(F!$P$21:$AB$33, MATCH(S1175/$AH1175, F!$O$21:$O$33,1), MATCH(E1175, F!$P$20:$AB$20,1)),0)  + IFERROR(Y1175*INDEX(F!$P$21:$AB$33, MATCH(W1175/$AH1175, F!$O$21:$O$33,1), MATCH(E1175, F!$P$20:$AB$20,1)),0)  + IFERROR( AC1175*INDEX(F!$P$21:$AB$33, MATCH(AA1175/$AH1175, F!$O$21:$O$33,1), MATCH(E1175, F!$P$20:$AB$20,1)),)</f>
        <v>0</v>
      </c>
      <c r="AL1175" s="59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</row>
    <row r="1176" ht="15.75" hidden="1" customHeight="1">
      <c r="A1176" s="59"/>
      <c r="B1176" s="135" t="str">
        <f t="shared" ref="B1176:F1176" si="2382">IF(B1120="","",B1120)</f>
        <v/>
      </c>
      <c r="C1176" s="136" t="str">
        <f t="shared" si="2382"/>
        <v/>
      </c>
      <c r="D1176" s="137" t="str">
        <f t="shared" si="2382"/>
        <v/>
      </c>
      <c r="E1176" s="48" t="str">
        <f t="shared" si="2382"/>
        <v/>
      </c>
      <c r="F1176" s="138" t="str">
        <f t="shared" si="2382"/>
        <v/>
      </c>
      <c r="G1176" s="139" t="str">
        <f t="shared" si="2367"/>
        <v/>
      </c>
      <c r="H1176" s="140"/>
      <c r="I1176" s="140"/>
      <c r="J1176" s="141"/>
      <c r="K1176" s="139" t="str">
        <f t="shared" si="2368"/>
        <v/>
      </c>
      <c r="L1176" s="140"/>
      <c r="M1176" s="140"/>
      <c r="N1176" s="141"/>
      <c r="O1176" s="139" t="str">
        <f t="shared" si="2369"/>
        <v/>
      </c>
      <c r="P1176" s="140"/>
      <c r="Q1176" s="140"/>
      <c r="R1176" s="141"/>
      <c r="S1176" s="139" t="str">
        <f t="shared" si="2370"/>
        <v/>
      </c>
      <c r="T1176" s="140"/>
      <c r="U1176" s="140"/>
      <c r="V1176" s="141"/>
      <c r="W1176" s="139" t="str">
        <f t="shared" si="2371"/>
        <v/>
      </c>
      <c r="X1176" s="140"/>
      <c r="Y1176" s="140"/>
      <c r="Z1176" s="141"/>
      <c r="AA1176" s="139" t="str">
        <f t="shared" si="2372"/>
        <v/>
      </c>
      <c r="AB1176" s="140"/>
      <c r="AC1176" s="140"/>
      <c r="AD1176" s="141"/>
      <c r="AE1176" s="142">
        <f t="shared" si="2373"/>
        <v>0</v>
      </c>
      <c r="AF1176" s="143">
        <f t="shared" si="2278"/>
        <v>0</v>
      </c>
      <c r="AG1176" s="144">
        <f t="shared" si="2374"/>
        <v>0</v>
      </c>
      <c r="AH1176" s="76" t="str">
        <f t="shared" si="2375"/>
        <v/>
      </c>
      <c r="AI1176" s="143">
        <f> ( IF(ISNUMBER(G1176), VLOOKUP(G1176/$AH1176,F!$A1:$B101,2,1)*G1176*$H1176*$I1176,0)+IF(ISNUMBER(K1176), VLOOKUP(K1176/$AH1176,F!$A1:$B101,2,1)*K1176*$L1176*$M1176,0)+IF(ISNUMBER(O1176), VLOOKUP(O1176/$AH1176,F!$A1:$B101,2,1)*O1176*$P1176*$Q1176,0)+IF(ISNUMBER(S1176), VLOOKUP(S1176/$AH1176,F!$A1:$B101,2,1)*S1176*$T1176*$U1176,0)+IF(ISNUMBER(W1176), VLOOKUP(W1176/$AH1176,F!$A1:$B101,2,1)*W1176*$X1176*$Y1176,0)+IF(ISNUMBER(AA1176), VLOOKUP(AA1176/$AH1176,F!$A1:$B101,2,1)*AA1176*$AB1176*$AC1176,0))*IF(ISNUMBER(F1176),F1176,1)*IF(ISNUMBER(E1176),E1176,1)</f>
        <v>0</v>
      </c>
      <c r="AJ1176" s="140">
        <f t="shared" si="2376"/>
        <v>0</v>
      </c>
      <c r="AK1176" s="145">
        <f t="array" ref="AK1176">IFERROR(I1176*INDEX(F!$P$21:$AB$33, MATCH(G1176/$AH1176, F!$O$21:$O$33,1), MATCH(E1176, F!$P$20:$AB$20,1)), 0 ) +IFERROR( M1176*INDEX(F!$P$21:$AB$33, MATCH(K1176/$AH1176, F!$O$21:$O$33,1), MATCH(E1176, F!$P$20:$AB$20,1)),0) +  IFERROR( Q1176*INDEX(F!$P$21:$AB$33, MATCH(O1176/$AH1176, F!$O$21:$O$33,1), MATCH(E1176, F!$P$20:$AB$20,1)), 0) + IFERROR( U1176*INDEX(F!$P$21:$AB$33, MATCH(S1176/$AH1176, F!$O$21:$O$33,1), MATCH(E1176, F!$P$20:$AB$20,1)),0)  + IFERROR(Y1176*INDEX(F!$P$21:$AB$33, MATCH(W1176/$AH1176, F!$O$21:$O$33,1), MATCH(E1176, F!$P$20:$AB$20,1)),0)  + IFERROR( AC1176*INDEX(F!$P$21:$AB$33, MATCH(AA1176/$AH1176, F!$O$21:$O$33,1), MATCH(E1176, F!$P$20:$AB$20,1)),)</f>
        <v>0</v>
      </c>
      <c r="AL1176" s="59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</row>
    <row r="1177" ht="15.75" hidden="1" customHeight="1">
      <c r="A1177" s="98"/>
      <c r="B1177" s="188"/>
      <c r="C1177" s="189"/>
      <c r="D1177" s="190"/>
      <c r="E1177" s="102">
        <f>ROUND(IFERROR(SUMPRODUCT(AJ1169:AJ1176,E1169:E1176)/AJ1177,0),3)</f>
        <v>0</v>
      </c>
      <c r="F1177" s="191"/>
      <c r="G1177" s="201"/>
      <c r="H1177" s="193"/>
      <c r="I1177" s="193"/>
      <c r="J1177" s="194"/>
      <c r="K1177" s="201"/>
      <c r="L1177" s="193"/>
      <c r="M1177" s="193"/>
      <c r="N1177" s="194"/>
      <c r="O1177" s="201"/>
      <c r="P1177" s="193"/>
      <c r="Q1177" s="193"/>
      <c r="R1177" s="194"/>
      <c r="S1177" s="201"/>
      <c r="T1177" s="193"/>
      <c r="U1177" s="193"/>
      <c r="V1177" s="194"/>
      <c r="W1177" s="201"/>
      <c r="X1177" s="193"/>
      <c r="Y1177" s="193"/>
      <c r="Z1177" s="194"/>
      <c r="AA1177" s="201"/>
      <c r="AB1177" s="193"/>
      <c r="AC1177" s="193"/>
      <c r="AD1177" s="194"/>
      <c r="AE1177" s="107">
        <f>SUM(AE1169:AE1176)</f>
        <v>0</v>
      </c>
      <c r="AF1177" s="108">
        <f t="shared" si="2278"/>
        <v>0</v>
      </c>
      <c r="AG1177" s="109">
        <f>IFERROR(  SUMPRODUCT(AG1169:AG1176,AJ1169:AJ1176)/AJ1177,0)</f>
        <v>0</v>
      </c>
      <c r="AH1177" s="157"/>
      <c r="AI1177" s="111">
        <f t="shared" ref="AI1177:AJ1177" si="2383">SUM(AI1169:AI1176)</f>
        <v>0</v>
      </c>
      <c r="AJ1177" s="111">
        <f t="shared" si="2383"/>
        <v>0</v>
      </c>
      <c r="AK1177" s="112">
        <f>IF(SUM(AK1169:AK1176)=0,TIME(,0,),TIME(,SUM(AK1169:AK1176)+F!$V$37,))</f>
        <v>0</v>
      </c>
      <c r="AL1177" s="98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</row>
    <row r="1178" ht="15.75" hidden="1" customHeight="1">
      <c r="A1178" s="204">
        <f>A1122</f>
        <v>7</v>
      </c>
      <c r="B1178" s="205"/>
      <c r="C1178" s="205"/>
      <c r="D1178" s="205"/>
      <c r="E1178" s="7">
        <f>IF(AJ1178=0,0,(E1188*AJ1188 + E1197*AJ1197 + E1206*AJ1206 + E1215*AJ1215 + E1224*AJ1224 + E1233*AJ1233   ) /AJ1178 )</f>
        <v>0</v>
      </c>
      <c r="F1178" s="206" t="s">
        <v>0</v>
      </c>
      <c r="G1178" s="9"/>
      <c r="H1178" s="9"/>
      <c r="I1178" s="9"/>
      <c r="J1178" s="9"/>
      <c r="K1178" s="9"/>
      <c r="L1178" s="9"/>
      <c r="M1178" s="10"/>
      <c r="N1178" s="221">
        <f>N1122+1</f>
        <v>22</v>
      </c>
      <c r="O1178" s="222"/>
      <c r="P1178" s="222"/>
      <c r="Q1178" s="222"/>
      <c r="R1178" s="222"/>
      <c r="S1178" s="222"/>
      <c r="T1178" s="222"/>
      <c r="U1178" s="222"/>
      <c r="V1178" s="222"/>
      <c r="W1178" s="222"/>
      <c r="X1178" s="222"/>
      <c r="Y1178" s="222"/>
      <c r="Z1178" s="222"/>
      <c r="AA1178" s="222"/>
      <c r="AB1178" s="222"/>
      <c r="AC1178" s="222"/>
      <c r="AD1178" s="223"/>
      <c r="AE1178" s="224">
        <f>AE1188+AE1197+AE1206+AE1215+AE1224+AE1233</f>
        <v>0</v>
      </c>
      <c r="AF1178" s="225">
        <f t="shared" si="2278"/>
        <v>0</v>
      </c>
      <c r="AG1178" s="226">
        <f>IF(AJ1178=0,0,(AG1188*AJ1188 + AG1197*AJ1197 + AG1206*AJ1206 + AG1215*AJ1215 + AG1224*AJ1224 + AG1233*AJ1233   ) /AJ1178 )</f>
        <v>0</v>
      </c>
      <c r="AH1178" s="210">
        <f>AH1122</f>
        <v>0.02</v>
      </c>
      <c r="AI1178" s="224">
        <f t="shared" ref="AI1178:AK1178" si="2384">AI1188+AI1197+AI1206+AI1215+AI1224+AI1233</f>
        <v>0</v>
      </c>
      <c r="AJ1178" s="224">
        <f t="shared" si="2384"/>
        <v>0</v>
      </c>
      <c r="AK1178" s="227">
        <f t="shared" si="2384"/>
        <v>0</v>
      </c>
      <c r="AL1178" s="212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</row>
    <row r="1179" ht="15.75" hidden="1" customHeight="1">
      <c r="A1179" s="19" t="s">
        <v>1</v>
      </c>
      <c r="B1179" s="20" t="s">
        <v>2</v>
      </c>
      <c r="C1179" s="20" t="s">
        <v>3</v>
      </c>
      <c r="D1179" s="20" t="s">
        <v>4</v>
      </c>
      <c r="E1179" s="20" t="s">
        <v>5</v>
      </c>
      <c r="F1179" s="20" t="s">
        <v>6</v>
      </c>
      <c r="G1179" s="20" t="s">
        <v>7</v>
      </c>
      <c r="H1179" s="20" t="s">
        <v>8</v>
      </c>
      <c r="I1179" s="20" t="s">
        <v>9</v>
      </c>
      <c r="J1179" s="20" t="s">
        <v>10</v>
      </c>
      <c r="K1179" s="20" t="s">
        <v>7</v>
      </c>
      <c r="L1179" s="20" t="s">
        <v>8</v>
      </c>
      <c r="M1179" s="20" t="s">
        <v>9</v>
      </c>
      <c r="N1179" s="20" t="s">
        <v>10</v>
      </c>
      <c r="O1179" s="20" t="s">
        <v>7</v>
      </c>
      <c r="P1179" s="20" t="s">
        <v>8</v>
      </c>
      <c r="Q1179" s="20" t="s">
        <v>9</v>
      </c>
      <c r="R1179" s="20" t="s">
        <v>10</v>
      </c>
      <c r="S1179" s="20" t="s">
        <v>7</v>
      </c>
      <c r="T1179" s="20" t="s">
        <v>8</v>
      </c>
      <c r="U1179" s="20" t="s">
        <v>9</v>
      </c>
      <c r="V1179" s="20" t="s">
        <v>10</v>
      </c>
      <c r="W1179" s="20" t="s">
        <v>7</v>
      </c>
      <c r="X1179" s="20" t="s">
        <v>8</v>
      </c>
      <c r="Y1179" s="20" t="s">
        <v>9</v>
      </c>
      <c r="Z1179" s="20" t="s">
        <v>10</v>
      </c>
      <c r="AA1179" s="20" t="s">
        <v>7</v>
      </c>
      <c r="AB1179" s="20" t="s">
        <v>8</v>
      </c>
      <c r="AC1179" s="20" t="s">
        <v>9</v>
      </c>
      <c r="AD1179" s="21" t="s">
        <v>10</v>
      </c>
      <c r="AE1179" s="20" t="s">
        <v>11</v>
      </c>
      <c r="AF1179" s="20" t="s">
        <v>12</v>
      </c>
      <c r="AG1179" s="20" t="s">
        <v>13</v>
      </c>
      <c r="AH1179" s="213" t="s">
        <v>14</v>
      </c>
      <c r="AI1179" s="23" t="s">
        <v>15</v>
      </c>
      <c r="AJ1179" s="20" t="s">
        <v>16</v>
      </c>
      <c r="AK1179" s="21" t="s">
        <v>17</v>
      </c>
      <c r="AL1179" s="214" t="s">
        <v>18</v>
      </c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</row>
    <row r="1180" ht="15.75" hidden="1" customHeight="1">
      <c r="A1180" s="25">
        <f>A1181</f>
        <v>43927</v>
      </c>
      <c r="B1180" s="26" t="str">
        <f t="shared" ref="B1180:F1180" si="2385">IF(B1124="","",B1124)</f>
        <v>Средняя</v>
      </c>
      <c r="C1180" s="27" t="str">
        <f t="shared" si="2385"/>
        <v>ПР</v>
      </c>
      <c r="D1180" s="28" t="str">
        <f t="shared" si="2385"/>
        <v>Присед</v>
      </c>
      <c r="E1180" s="29">
        <f t="shared" si="2385"/>
        <v>1.2</v>
      </c>
      <c r="F1180" s="30" t="str">
        <f t="shared" si="2385"/>
        <v/>
      </c>
      <c r="G1180" s="31" t="str">
        <f t="shared" ref="G1180:G1187" si="2387">IF(J1180&lt;&gt;0, IFERROR(IF( $F1180=2,  MROUND($AH1180*J1180,1),    IF( OR($F1180="",$F1180=1),   MROUND($AH1180*J1180,2.5),  MROUND($AH1180*J1180, 0.1))), "" ), "")</f>
        <v/>
      </c>
      <c r="H1180" s="32"/>
      <c r="I1180" s="32"/>
      <c r="J1180" s="33"/>
      <c r="K1180" s="31" t="str">
        <f t="shared" ref="K1180:K1187" si="2388">IF(N1180&lt;&gt;0, IFERROR(IF( $F1180=2,  MROUND($AH1180*N1180,1),    IF( OR($F1180="",$F1180=1),   MROUND($AH1180*N1180,2.5),  MROUND($AH1180*N1180, 0.1))), "" ), "")</f>
        <v/>
      </c>
      <c r="L1180" s="32"/>
      <c r="M1180" s="32"/>
      <c r="N1180" s="33"/>
      <c r="O1180" s="31" t="str">
        <f t="shared" ref="O1180:O1187" si="2389">IF(R1180&lt;&gt;0, IFERROR(IF( $F1180=2,  MROUND($AH1180*R1180,1),    IF( OR($F1180="",$F1180=1),   MROUND($AH1180*R1180,2.5),  MROUND($AH1180*R1180, 0.1))), "" ), "")</f>
        <v/>
      </c>
      <c r="P1180" s="32"/>
      <c r="Q1180" s="32"/>
      <c r="R1180" s="33"/>
      <c r="S1180" s="31" t="str">
        <f t="shared" ref="S1180:S1187" si="2390">IF(V1180&lt;&gt;0, IFERROR(IF( $F1180=2,  MROUND($AH1180*V1180,1),    IF( OR($F1180="",$F1180=1),   MROUND($AH1180*V1180,2.5),  MROUND($AH1180*V1180, 0.1))), "" ), "")</f>
        <v/>
      </c>
      <c r="T1180" s="32"/>
      <c r="U1180" s="32"/>
      <c r="V1180" s="33"/>
      <c r="W1180" s="31" t="str">
        <f t="shared" ref="W1180:W1187" si="2391">IF(Z1180&lt;&gt;0, IFERROR(IF( $F1180=2,  MROUND($AH1180*Z1180,1),    IF( OR($F1180="",$F1180=1),   MROUND($AH1180*Z1180,2.5),  MROUND($AH1180*Z1180, 0.1))), "" ), "")</f>
        <v/>
      </c>
      <c r="X1180" s="32"/>
      <c r="Y1180" s="32"/>
      <c r="Z1180" s="33"/>
      <c r="AA1180" s="31" t="str">
        <f t="shared" ref="AA1180:AA1187" si="2392">IF(AD1180&lt;&gt;0, IFERROR(IF( $F1180=2,  MROUND($AH1180*AD1180,1),    IF( OR($F1180="",$F1180=1),   MROUND($AH1180*AD1180,2.5),  MROUND($AH1180*AD1180, 0.1))), "" ), "")</f>
        <v/>
      </c>
      <c r="AB1180" s="32"/>
      <c r="AC1180" s="32"/>
      <c r="AD1180" s="33"/>
      <c r="AE1180" s="35">
        <f t="shared" ref="AE1180:AE1187" si="2393">(IF(ISNUMBER(G1180),G1180,0)*H1180*I1180+IF(ISNUMBER(K1180),K1180,1)*L1180*M1180+IF(ISNUMBER(O1180),O1180,1)*P1180*Q1180+IF(ISNUMBER(S1180),S1180,1)*T1180*U1180+IF(ISNUMBER(W1180),W1180,1)*X1180*Y1180+IF(ISNUMBER(AA1180),AA1180,1)*AB1180*AC1180)*IF(ISNUMBER(F1180),F1180,1)</f>
        <v>0</v>
      </c>
      <c r="AF1180" s="36">
        <f t="shared" ref="AF1180:AF1234" si="2394">IFERROR(AE1180/AJ1180,0)</f>
        <v>0</v>
      </c>
      <c r="AG1180" s="195">
        <f t="shared" ref="AG1180:AG1187" si="2395">IFERROR((AF1180/(AH1180*IF(ISNUMBER(F1180),F1180,1))),0)</f>
        <v>0</v>
      </c>
      <c r="AH1180" s="169">
        <f t="shared" ref="AH1180:AH1187" si="2396">IF(ISNUMBER(AH1124), AH1124+(AH1124*$AH$1178),"")</f>
        <v>204.6149564</v>
      </c>
      <c r="AI1180" s="70">
        <f> ( IF(ISNUMBER(G1180), VLOOKUP(G1180/$AH1180,F!$A1:$B101,2,1)*G1180*$H1180*$I1180,0)+IF(ISNUMBER(K1180), VLOOKUP(K1180/$AH1180,F!$A1:$B101,2,1)*K1180*$L1180*$M1180,0)+IF(ISNUMBER(O1180), VLOOKUP(O1180/$AH1180,F!$A1:$B101,2,1)*O1180*$P1180*$Q1180,0)+IF(ISNUMBER(S1180), VLOOKUP(S1180/$AH1180,F!$A1:$B101,2,1)*S1180*$T1180*$U1180,0)+IF(ISNUMBER(W1180), VLOOKUP(W1180/$AH1180,F!$A1:$B101,2,1)*W1180*$X1180*$Y1180,0)+IF(ISNUMBER(AA1180), VLOOKUP(AA1180/$AH1180,F!$A1:$B101,2,1)*AA1180*$AB1180*$AC1180,0))*IF(ISNUMBER(F1180),F1180,1)*IF(ISNUMBER(E1180),E1180,1)</f>
        <v>0</v>
      </c>
      <c r="AJ1180" s="40">
        <f t="shared" ref="AJ1180:AJ1187" si="2397">H1180*I1180+L1180*M1180+P1180*Q1180+T1180*U1180+X1180*Y1180+AB1180*AC1180</f>
        <v>0</v>
      </c>
      <c r="AK1180" s="41">
        <f t="array" ref="AK1180">IFERROR(I1180*INDEX(F!$P$21:$AB$33, MATCH(G1180/$AH1180, F!$O$21:$O$33,1), MATCH(E1180, F!$P$20:$AB$20,1)), 0 ) +IFERROR( M1180*INDEX(F!$P$21:$AB$33, MATCH(K1180/$AH1180, F!$O$21:$O$33,1), MATCH(E1180, F!$P$20:$AB$20,1)),0) +  IFERROR( Q1180*INDEX(F!$P$21:$AB$33, MATCH(O1180/$AH1180, F!$O$21:$O$33,1), MATCH(E1180, F!$P$20:$AB$20,1)), 0) + IFERROR( U1180*INDEX(F!$P$21:$AB$33, MATCH(S1180/$AH1180, F!$O$21:$O$33,1), MATCH(E1180, F!$P$20:$AB$20,1)),0)  + IFERROR(Y1180*INDEX(F!$P$21:$AB$33, MATCH(W1180/$AH1180, F!$O$21:$O$33,1), MATCH(E1180, F!$P$20:$AB$20,1)),0)  + IFERROR( AC1180*INDEX(F!$P$21:$AB$33, MATCH(AA1180/$AH1180, F!$O$21:$O$33,1), MATCH(E1180, F!$P$20:$AB$20,1)),)</f>
        <v>0</v>
      </c>
      <c r="AL1180" s="42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</row>
    <row r="1181" ht="15.75" hidden="1" customHeight="1">
      <c r="A1181" s="44">
        <f>A1125+A1122</f>
        <v>43927</v>
      </c>
      <c r="B1181" s="45" t="str">
        <f t="shared" ref="B1181:F1181" si="2386">IF(B1125="","",B1125)</f>
        <v>Средняя</v>
      </c>
      <c r="C1181" s="46" t="str">
        <f t="shared" si="2386"/>
        <v>ЖМ</v>
      </c>
      <c r="D1181" s="47" t="str">
        <f t="shared" si="2386"/>
        <v>Жим лежа</v>
      </c>
      <c r="E1181" s="48">
        <f t="shared" si="2386"/>
        <v>1</v>
      </c>
      <c r="F1181" s="49" t="str">
        <f t="shared" si="2386"/>
        <v/>
      </c>
      <c r="G1181" s="50" t="str">
        <f t="shared" si="2387"/>
        <v/>
      </c>
      <c r="H1181" s="51"/>
      <c r="I1181" s="51"/>
      <c r="J1181" s="52"/>
      <c r="K1181" s="50" t="str">
        <f t="shared" si="2388"/>
        <v/>
      </c>
      <c r="L1181" s="51"/>
      <c r="M1181" s="51"/>
      <c r="N1181" s="52"/>
      <c r="O1181" s="50" t="str">
        <f t="shared" si="2389"/>
        <v/>
      </c>
      <c r="P1181" s="51"/>
      <c r="Q1181" s="51"/>
      <c r="R1181" s="52"/>
      <c r="S1181" s="50" t="str">
        <f t="shared" si="2390"/>
        <v/>
      </c>
      <c r="T1181" s="51"/>
      <c r="U1181" s="51"/>
      <c r="V1181" s="52"/>
      <c r="W1181" s="50" t="str">
        <f t="shared" si="2391"/>
        <v/>
      </c>
      <c r="X1181" s="51"/>
      <c r="Y1181" s="51"/>
      <c r="Z1181" s="52"/>
      <c r="AA1181" s="50" t="str">
        <f t="shared" si="2392"/>
        <v/>
      </c>
      <c r="AB1181" s="51"/>
      <c r="AC1181" s="51"/>
      <c r="AD1181" s="52"/>
      <c r="AE1181" s="53">
        <f t="shared" si="2393"/>
        <v>0</v>
      </c>
      <c r="AF1181" s="54">
        <f t="shared" si="2394"/>
        <v>0</v>
      </c>
      <c r="AG1181" s="75">
        <f t="shared" si="2395"/>
        <v>0</v>
      </c>
      <c r="AH1181" s="76">
        <f t="shared" si="2396"/>
        <v>143.9883027</v>
      </c>
      <c r="AI1181" s="77">
        <f> ( IF(ISNUMBER(G1181), VLOOKUP(G1181/$AH1181,F!$A1:$B101,2,1)*G1181*$H1181*$I1181,0)+IF(ISNUMBER(K1181), VLOOKUP(K1181/$AH1181,F!$A1:$B101,2,1)*K1181*$L1181*$M1181,0)+IF(ISNUMBER(O1181), VLOOKUP(O1181/$AH1181,F!$A1:$B101,2,1)*O1181*$P1181*$Q1181,0)+IF(ISNUMBER(S1181), VLOOKUP(S1181/$AH1181,F!$A1:$B101,2,1)*S1181*$T1181*$U1181,0)+IF(ISNUMBER(W1181), VLOOKUP(W1181/$AH1181,F!$A1:$B101,2,1)*W1181*$X1181*$Y1181,0)+IF(ISNUMBER(AA1181), VLOOKUP(AA1181/$AH1181,F!$A1:$B101,2,1)*AA1181*$AB1181*$AC1181,0))*IF(ISNUMBER(F1181),F1181,1)*IF(ISNUMBER(E1181),E1181,1)</f>
        <v>0</v>
      </c>
      <c r="AJ1181" s="57">
        <f t="shared" si="2397"/>
        <v>0</v>
      </c>
      <c r="AK1181" s="58">
        <f t="array" ref="AK1181">IFERROR(I1181*INDEX(F!$P$21:$AB$33, MATCH(G1181/$AH1181, F!$O$21:$O$33,1), MATCH(E1181, F!$P$20:$AB$20,1)), 0 ) +IFERROR( M1181*INDEX(F!$P$21:$AB$33, MATCH(K1181/$AH1181, F!$O$21:$O$33,1), MATCH(E1181, F!$P$20:$AB$20,1)),0) +  IFERROR( Q1181*INDEX(F!$P$21:$AB$33, MATCH(O1181/$AH1181, F!$O$21:$O$33,1), MATCH(E1181, F!$P$20:$AB$20,1)), 0) + IFERROR( U1181*INDEX(F!$P$21:$AB$33, MATCH(S1181/$AH1181, F!$O$21:$O$33,1), MATCH(E1181, F!$P$20:$AB$20,1)),0)  + IFERROR(Y1181*INDEX(F!$P$21:$AB$33, MATCH(W1181/$AH1181, F!$O$21:$O$33,1), MATCH(E1181, F!$P$20:$AB$20,1)),0)  + IFERROR( AC1181*INDEX(F!$P$21:$AB$33, MATCH(AA1181/$AH1181, F!$O$21:$O$33,1), MATCH(E1181, F!$P$20:$AB$20,1)),)</f>
        <v>0</v>
      </c>
      <c r="AL1181" s="59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</row>
    <row r="1182" ht="15.75" hidden="1" customHeight="1">
      <c r="A1182" s="59"/>
      <c r="B1182" s="60" t="str">
        <f t="shared" ref="B1182:F1182" si="2398">IF(B1126="","",B1126)</f>
        <v>Тяжелая</v>
      </c>
      <c r="C1182" s="61" t="str">
        <f t="shared" si="2398"/>
        <v>ПР</v>
      </c>
      <c r="D1182" s="62" t="str">
        <f t="shared" si="2398"/>
        <v>Присед</v>
      </c>
      <c r="E1182" s="48">
        <f t="shared" si="2398"/>
        <v>1.2</v>
      </c>
      <c r="F1182" s="63" t="str">
        <f t="shared" si="2398"/>
        <v/>
      </c>
      <c r="G1182" s="64" t="str">
        <f t="shared" si="2387"/>
        <v/>
      </c>
      <c r="H1182" s="34"/>
      <c r="I1182" s="34"/>
      <c r="J1182" s="65"/>
      <c r="K1182" s="64" t="str">
        <f t="shared" si="2388"/>
        <v/>
      </c>
      <c r="L1182" s="34"/>
      <c r="M1182" s="34"/>
      <c r="N1182" s="65"/>
      <c r="O1182" s="64" t="str">
        <f t="shared" si="2389"/>
        <v/>
      </c>
      <c r="P1182" s="34"/>
      <c r="Q1182" s="34"/>
      <c r="R1182" s="65"/>
      <c r="S1182" s="64" t="str">
        <f t="shared" si="2390"/>
        <v/>
      </c>
      <c r="T1182" s="34"/>
      <c r="U1182" s="34"/>
      <c r="V1182" s="65"/>
      <c r="W1182" s="64" t="str">
        <f t="shared" si="2391"/>
        <v/>
      </c>
      <c r="X1182" s="34"/>
      <c r="Y1182" s="34"/>
      <c r="Z1182" s="65"/>
      <c r="AA1182" s="64" t="str">
        <f t="shared" si="2392"/>
        <v/>
      </c>
      <c r="AB1182" s="34"/>
      <c r="AC1182" s="34"/>
      <c r="AD1182" s="65"/>
      <c r="AE1182" s="66">
        <f t="shared" si="2393"/>
        <v>0</v>
      </c>
      <c r="AF1182" s="67">
        <f t="shared" si="2394"/>
        <v>0</v>
      </c>
      <c r="AG1182" s="68">
        <f t="shared" si="2395"/>
        <v>0</v>
      </c>
      <c r="AH1182" s="76">
        <f t="shared" si="2396"/>
        <v>204.6149564</v>
      </c>
      <c r="AI1182" s="70">
        <f> ( IF(ISNUMBER(G1182), VLOOKUP(G1182/$AH1182,F!$A1:$B101,2,1)*G1182*$H1182*$I1182,0)+IF(ISNUMBER(K1182), VLOOKUP(K1182/$AH1182,F!$A1:$B101,2,1)*K1182*$L1182*$M1182,0)+IF(ISNUMBER(O1182), VLOOKUP(O1182/$AH1182,F!$A1:$B101,2,1)*O1182*$P1182*$Q1182,0)+IF(ISNUMBER(S1182), VLOOKUP(S1182/$AH1182,F!$A1:$B101,2,1)*S1182*$T1182*$U1182,0)+IF(ISNUMBER(W1182), VLOOKUP(W1182/$AH1182,F!$A1:$B101,2,1)*W1182*$X1182*$Y1182,0)+IF(ISNUMBER(AA1182), VLOOKUP(AA1182/$AH1182,F!$A1:$B101,2,1)*AA1182*$AB1182*$AC1182,0))*IF(ISNUMBER(F1182),F1182,1)*IF(ISNUMBER(E1182),E1182,1)</f>
        <v>0</v>
      </c>
      <c r="AJ1182" s="71">
        <f t="shared" si="2397"/>
        <v>0</v>
      </c>
      <c r="AK1182" s="72">
        <f t="array" ref="AK1182">IFERROR(I1182*INDEX(F!$P$21:$AB$33, MATCH(G1182/$AH1182, F!$O$21:$O$33,1), MATCH(E1182, F!$P$20:$AB$20,1)), 0 ) +IFERROR( M1182*INDEX(F!$P$21:$AB$33, MATCH(K1182/$AH1182, F!$O$21:$O$33,1), MATCH(E1182, F!$P$20:$AB$20,1)),0) +  IFERROR( Q1182*INDEX(F!$P$21:$AB$33, MATCH(O1182/$AH1182, F!$O$21:$O$33,1), MATCH(E1182, F!$P$20:$AB$20,1)), 0) + IFERROR( U1182*INDEX(F!$P$21:$AB$33, MATCH(S1182/$AH1182, F!$O$21:$O$33,1), MATCH(E1182, F!$P$20:$AB$20,1)),0)  + IFERROR(Y1182*INDEX(F!$P$21:$AB$33, MATCH(W1182/$AH1182, F!$O$21:$O$33,1), MATCH(E1182, F!$P$20:$AB$20,1)),0)  + IFERROR( AC1182*INDEX(F!$P$21:$AB$33, MATCH(AA1182/$AH1182, F!$O$21:$O$33,1), MATCH(E1182, F!$P$20:$AB$20,1)),)</f>
        <v>0</v>
      </c>
      <c r="AL1182" s="59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</row>
    <row r="1183" ht="15.75" hidden="1" customHeight="1">
      <c r="A1183" s="59"/>
      <c r="B1183" s="215" t="str">
        <f t="shared" ref="B1183:F1183" si="2399">IF(B1127="","",B1127)</f>
        <v>Средняя</v>
      </c>
      <c r="C1183" s="73" t="str">
        <f t="shared" si="2399"/>
        <v>ЖМ</v>
      </c>
      <c r="D1183" s="47" t="str">
        <f t="shared" si="2399"/>
        <v>Жим гантелей</v>
      </c>
      <c r="E1183" s="48">
        <f t="shared" si="2399"/>
        <v>1</v>
      </c>
      <c r="F1183" s="74">
        <f t="shared" si="2399"/>
        <v>2</v>
      </c>
      <c r="G1183" s="50" t="str">
        <f t="shared" si="2387"/>
        <v/>
      </c>
      <c r="H1183" s="51"/>
      <c r="I1183" s="51"/>
      <c r="J1183" s="52"/>
      <c r="K1183" s="50" t="str">
        <f t="shared" si="2388"/>
        <v/>
      </c>
      <c r="L1183" s="51"/>
      <c r="M1183" s="51"/>
      <c r="N1183" s="52"/>
      <c r="O1183" s="50" t="str">
        <f t="shared" si="2389"/>
        <v/>
      </c>
      <c r="P1183" s="51"/>
      <c r="Q1183" s="51"/>
      <c r="R1183" s="52"/>
      <c r="S1183" s="50" t="str">
        <f t="shared" si="2390"/>
        <v/>
      </c>
      <c r="T1183" s="51"/>
      <c r="U1183" s="51"/>
      <c r="V1183" s="52"/>
      <c r="W1183" s="50" t="str">
        <f t="shared" si="2391"/>
        <v/>
      </c>
      <c r="X1183" s="51"/>
      <c r="Y1183" s="51"/>
      <c r="Z1183" s="52"/>
      <c r="AA1183" s="50" t="str">
        <f t="shared" si="2392"/>
        <v/>
      </c>
      <c r="AB1183" s="51"/>
      <c r="AC1183" s="51"/>
      <c r="AD1183" s="52"/>
      <c r="AE1183" s="53">
        <f t="shared" si="2393"/>
        <v>0</v>
      </c>
      <c r="AF1183" s="54">
        <f t="shared" si="2394"/>
        <v>0</v>
      </c>
      <c r="AG1183" s="75">
        <f t="shared" si="2395"/>
        <v>0</v>
      </c>
      <c r="AH1183" s="76">
        <f t="shared" si="2396"/>
        <v>46.07625685</v>
      </c>
      <c r="AI1183" s="77">
        <f> ( IF(ISNUMBER(G1183), VLOOKUP(G1183/$AH1183,F!$A1:$B101,2,1)*G1183*$H1183*$I1183,0)+IF(ISNUMBER(K1183), VLOOKUP(K1183/$AH1183,F!$A1:$B101,2,1)*K1183*$L1183*$M1183,0)+IF(ISNUMBER(O1183), VLOOKUP(O1183/$AH1183,F!$A1:$B101,2,1)*O1183*$P1183*$Q1183,0)+IF(ISNUMBER(S1183), VLOOKUP(S1183/$AH1183,F!$A1:$B101,2,1)*S1183*$T1183*$U1183,0)+IF(ISNUMBER(W1183), VLOOKUP(W1183/$AH1183,F!$A1:$B101,2,1)*W1183*$X1183*$Y1183,0)+IF(ISNUMBER(AA1183), VLOOKUP(AA1183/$AH1183,F!$A1:$B101,2,1)*AA1183*$AB1183*$AC1183,0))*IF(ISNUMBER(F1183),F1183,1)*IF(ISNUMBER(E1183),E1183,1)</f>
        <v>0</v>
      </c>
      <c r="AJ1183" s="57">
        <f t="shared" si="2397"/>
        <v>0</v>
      </c>
      <c r="AK1183" s="58">
        <f t="array" ref="AK1183">IFERROR(I1183*INDEX(F!$P$21:$AB$33, MATCH(G1183/$AH1183, F!$O$21:$O$33,1), MATCH(E1183, F!$P$20:$AB$20,1)), 0 ) +IFERROR( M1183*INDEX(F!$P$21:$AB$33, MATCH(K1183/$AH1183, F!$O$21:$O$33,1), MATCH(E1183, F!$P$20:$AB$20,1)),0) +  IFERROR( Q1183*INDEX(F!$P$21:$AB$33, MATCH(O1183/$AH1183, F!$O$21:$O$33,1), MATCH(E1183, F!$P$20:$AB$20,1)), 0) + IFERROR( U1183*INDEX(F!$P$21:$AB$33, MATCH(S1183/$AH1183, F!$O$21:$O$33,1), MATCH(E1183, F!$P$20:$AB$20,1)),0)  + IFERROR(Y1183*INDEX(F!$P$21:$AB$33, MATCH(W1183/$AH1183, F!$O$21:$O$33,1), MATCH(E1183, F!$P$20:$AB$20,1)),0)  + IFERROR( AC1183*INDEX(F!$P$21:$AB$33, MATCH(AA1183/$AH1183, F!$O$21:$O$33,1), MATCH(E1183, F!$P$20:$AB$20,1)),)</f>
        <v>0</v>
      </c>
      <c r="AL1183" s="59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</row>
    <row r="1184" ht="15.75" hidden="1" customHeight="1">
      <c r="A1184" s="59"/>
      <c r="B1184" s="216" t="str">
        <f t="shared" ref="B1184:F1184" si="2400">IF(B1128="","",B1128)</f>
        <v>Средняя</v>
      </c>
      <c r="C1184" s="78" t="str">
        <f t="shared" si="2400"/>
        <v>ОФП</v>
      </c>
      <c r="D1184" s="62" t="str">
        <f t="shared" si="2400"/>
        <v>Французский жим</v>
      </c>
      <c r="E1184" s="48">
        <f t="shared" si="2400"/>
        <v>0.4</v>
      </c>
      <c r="F1184" s="79" t="str">
        <f t="shared" si="2400"/>
        <v/>
      </c>
      <c r="G1184" s="64" t="str">
        <f t="shared" si="2387"/>
        <v/>
      </c>
      <c r="H1184" s="34"/>
      <c r="I1184" s="34"/>
      <c r="J1184" s="65"/>
      <c r="K1184" s="64" t="str">
        <f t="shared" si="2388"/>
        <v/>
      </c>
      <c r="L1184" s="34"/>
      <c r="M1184" s="34"/>
      <c r="N1184" s="65"/>
      <c r="O1184" s="64" t="str">
        <f t="shared" si="2389"/>
        <v/>
      </c>
      <c r="P1184" s="34"/>
      <c r="Q1184" s="34"/>
      <c r="R1184" s="65"/>
      <c r="S1184" s="64" t="str">
        <f t="shared" si="2390"/>
        <v/>
      </c>
      <c r="T1184" s="34"/>
      <c r="U1184" s="34"/>
      <c r="V1184" s="65"/>
      <c r="W1184" s="64" t="str">
        <f t="shared" si="2391"/>
        <v/>
      </c>
      <c r="X1184" s="34"/>
      <c r="Y1184" s="34"/>
      <c r="Z1184" s="65"/>
      <c r="AA1184" s="64" t="str">
        <f t="shared" si="2392"/>
        <v/>
      </c>
      <c r="AB1184" s="34"/>
      <c r="AC1184" s="34"/>
      <c r="AD1184" s="65"/>
      <c r="AE1184" s="66">
        <f t="shared" si="2393"/>
        <v>0</v>
      </c>
      <c r="AF1184" s="67">
        <f t="shared" si="2394"/>
        <v>0</v>
      </c>
      <c r="AG1184" s="68">
        <f t="shared" si="2395"/>
        <v>0</v>
      </c>
      <c r="AH1184" s="76">
        <f t="shared" si="2396"/>
        <v>66.23461923</v>
      </c>
      <c r="AI1184" s="70">
        <f> ( IF(ISNUMBER(G1184), VLOOKUP(G1184/$AH1184,F!$A1:$B101,2,1)*G1184*$H1184*$I1184,0)+IF(ISNUMBER(K1184), VLOOKUP(K1184/$AH1184,F!$A1:$B101,2,1)*K1184*$L1184*$M1184,0)+IF(ISNUMBER(O1184), VLOOKUP(O1184/$AH1184,F!$A1:$B101,2,1)*O1184*$P1184*$Q1184,0)+IF(ISNUMBER(S1184), VLOOKUP(S1184/$AH1184,F!$A1:$B101,2,1)*S1184*$T1184*$U1184,0)+IF(ISNUMBER(W1184), VLOOKUP(W1184/$AH1184,F!$A1:$B101,2,1)*W1184*$X1184*$Y1184,0)+IF(ISNUMBER(AA1184), VLOOKUP(AA1184/$AH1184,F!$A1:$B101,2,1)*AA1184*$AB1184*$AC1184,0))*IF(ISNUMBER(F1184),F1184,1)*IF(ISNUMBER(E1184),E1184,1)</f>
        <v>0</v>
      </c>
      <c r="AJ1184" s="71">
        <f t="shared" si="2397"/>
        <v>0</v>
      </c>
      <c r="AK1184" s="72">
        <f t="array" ref="AK1184">IFERROR(I1184*INDEX(F!$P$21:$AB$33, MATCH(G1184/$AH1184, F!$O$21:$O$33,1), MATCH(E1184, F!$P$20:$AB$20,1)), 0 ) +IFERROR( M1184*INDEX(F!$P$21:$AB$33, MATCH(K1184/$AH1184, F!$O$21:$O$33,1), MATCH(E1184, F!$P$20:$AB$20,1)),0) +  IFERROR( Q1184*INDEX(F!$P$21:$AB$33, MATCH(O1184/$AH1184, F!$O$21:$O$33,1), MATCH(E1184, F!$P$20:$AB$20,1)), 0) + IFERROR( U1184*INDEX(F!$P$21:$AB$33, MATCH(S1184/$AH1184, F!$O$21:$O$33,1), MATCH(E1184, F!$P$20:$AB$20,1)),0)  + IFERROR(Y1184*INDEX(F!$P$21:$AB$33, MATCH(W1184/$AH1184, F!$O$21:$O$33,1), MATCH(E1184, F!$P$20:$AB$20,1)),0)  + IFERROR( AC1184*INDEX(F!$P$21:$AB$33, MATCH(AA1184/$AH1184, F!$O$21:$O$33,1), MATCH(E1184, F!$P$20:$AB$20,1)),)</f>
        <v>0</v>
      </c>
      <c r="AL1184" s="59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</row>
    <row r="1185" ht="15.75" hidden="1" customHeight="1">
      <c r="A1185" s="59"/>
      <c r="B1185" s="45" t="str">
        <f t="shared" ref="B1185:F1185" si="2401">IF(B1129="","",B1129)</f>
        <v/>
      </c>
      <c r="C1185" s="46" t="str">
        <f t="shared" si="2401"/>
        <v/>
      </c>
      <c r="D1185" s="197" t="str">
        <f t="shared" si="2401"/>
        <v/>
      </c>
      <c r="E1185" s="48" t="str">
        <f t="shared" si="2401"/>
        <v/>
      </c>
      <c r="F1185" s="83" t="str">
        <f t="shared" si="2401"/>
        <v/>
      </c>
      <c r="G1185" s="50" t="str">
        <f t="shared" si="2387"/>
        <v/>
      </c>
      <c r="H1185" s="51"/>
      <c r="I1185" s="51"/>
      <c r="J1185" s="52"/>
      <c r="K1185" s="50" t="str">
        <f t="shared" si="2388"/>
        <v/>
      </c>
      <c r="L1185" s="51"/>
      <c r="M1185" s="51"/>
      <c r="N1185" s="52"/>
      <c r="O1185" s="50" t="str">
        <f t="shared" si="2389"/>
        <v/>
      </c>
      <c r="P1185" s="51"/>
      <c r="Q1185" s="51"/>
      <c r="R1185" s="52"/>
      <c r="S1185" s="50" t="str">
        <f t="shared" si="2390"/>
        <v/>
      </c>
      <c r="T1185" s="51"/>
      <c r="U1185" s="51"/>
      <c r="V1185" s="52"/>
      <c r="W1185" s="50" t="str">
        <f t="shared" si="2391"/>
        <v/>
      </c>
      <c r="X1185" s="51"/>
      <c r="Y1185" s="51"/>
      <c r="Z1185" s="52"/>
      <c r="AA1185" s="50" t="str">
        <f t="shared" si="2392"/>
        <v/>
      </c>
      <c r="AB1185" s="51"/>
      <c r="AC1185" s="51"/>
      <c r="AD1185" s="52"/>
      <c r="AE1185" s="53">
        <f t="shared" si="2393"/>
        <v>0</v>
      </c>
      <c r="AF1185" s="54">
        <f t="shared" si="2394"/>
        <v>0</v>
      </c>
      <c r="AG1185" s="75">
        <f t="shared" si="2395"/>
        <v>0</v>
      </c>
      <c r="AH1185" s="76" t="str">
        <f t="shared" si="2396"/>
        <v/>
      </c>
      <c r="AI1185" s="77">
        <f> ( IF(ISNUMBER(G1185), VLOOKUP(G1185/$AH1185,F!$A1:$B101,2,1)*G1185*$H1185*$I1185,0)+IF(ISNUMBER(K1185), VLOOKUP(K1185/$AH1185,F!$A1:$B101,2,1)*K1185*$L1185*$M1185,0)+IF(ISNUMBER(O1185), VLOOKUP(O1185/$AH1185,F!$A1:$B101,2,1)*O1185*$P1185*$Q1185,0)+IF(ISNUMBER(S1185), VLOOKUP(S1185/$AH1185,F!$A1:$B101,2,1)*S1185*$T1185*$U1185,0)+IF(ISNUMBER(W1185), VLOOKUP(W1185/$AH1185,F!$A1:$B101,2,1)*W1185*$X1185*$Y1185,0)+IF(ISNUMBER(AA1185), VLOOKUP(AA1185/$AH1185,F!$A1:$B101,2,1)*AA1185*$AB1185*$AC1185,0))*IF(ISNUMBER(F1185),F1185,1)*IF(ISNUMBER(E1185),E1185,1)</f>
        <v>0</v>
      </c>
      <c r="AJ1185" s="86">
        <f t="shared" si="2397"/>
        <v>0</v>
      </c>
      <c r="AK1185" s="58">
        <f t="array" ref="AK1185">IFERROR(I1185*INDEX(F!$P$21:$AB$33, MATCH(G1185/$AH1185, F!$O$21:$O$33,1), MATCH(E1185, F!$P$20:$AB$20,1)), 0 ) +IFERROR( M1185*INDEX(F!$P$21:$AB$33, MATCH(K1185/$AH1185, F!$O$21:$O$33,1), MATCH(E1185, F!$P$20:$AB$20,1)),0) +  IFERROR( Q1185*INDEX(F!$P$21:$AB$33, MATCH(O1185/$AH1185, F!$O$21:$O$33,1), MATCH(E1185, F!$P$20:$AB$20,1)), 0) + IFERROR( U1185*INDEX(F!$P$21:$AB$33, MATCH(S1185/$AH1185, F!$O$21:$O$33,1), MATCH(E1185, F!$P$20:$AB$20,1)),0)  + IFERROR(Y1185*INDEX(F!$P$21:$AB$33, MATCH(W1185/$AH1185, F!$O$21:$O$33,1), MATCH(E1185, F!$P$20:$AB$20,1)),0)  + IFERROR( AC1185*INDEX(F!$P$21:$AB$33, MATCH(AA1185/$AH1185, F!$O$21:$O$33,1), MATCH(E1185, F!$P$20:$AB$20,1)),)</f>
        <v>0</v>
      </c>
      <c r="AL1185" s="59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</row>
    <row r="1186" ht="15.0" hidden="1" customHeight="1">
      <c r="A1186" s="59"/>
      <c r="B1186" s="60" t="str">
        <f t="shared" ref="B1186:F1186" si="2402">IF(B1130="","",B1130)</f>
        <v/>
      </c>
      <c r="C1186" s="61" t="str">
        <f t="shared" si="2402"/>
        <v/>
      </c>
      <c r="D1186" s="198" t="str">
        <f t="shared" si="2402"/>
        <v/>
      </c>
      <c r="E1186" s="48" t="str">
        <f t="shared" si="2402"/>
        <v/>
      </c>
      <c r="F1186" s="79" t="str">
        <f t="shared" si="2402"/>
        <v/>
      </c>
      <c r="G1186" s="64" t="str">
        <f t="shared" si="2387"/>
        <v/>
      </c>
      <c r="H1186" s="34"/>
      <c r="I1186" s="34"/>
      <c r="J1186" s="65"/>
      <c r="K1186" s="64" t="str">
        <f t="shared" si="2388"/>
        <v/>
      </c>
      <c r="L1186" s="34"/>
      <c r="M1186" s="34"/>
      <c r="N1186" s="65"/>
      <c r="O1186" s="64" t="str">
        <f t="shared" si="2389"/>
        <v/>
      </c>
      <c r="P1186" s="34"/>
      <c r="Q1186" s="34"/>
      <c r="R1186" s="65"/>
      <c r="S1186" s="64" t="str">
        <f t="shared" si="2390"/>
        <v/>
      </c>
      <c r="T1186" s="34"/>
      <c r="U1186" s="34"/>
      <c r="V1186" s="65"/>
      <c r="W1186" s="64" t="str">
        <f t="shared" si="2391"/>
        <v/>
      </c>
      <c r="X1186" s="34"/>
      <c r="Y1186" s="34"/>
      <c r="Z1186" s="65"/>
      <c r="AA1186" s="64" t="str">
        <f t="shared" si="2392"/>
        <v/>
      </c>
      <c r="AB1186" s="34"/>
      <c r="AC1186" s="34"/>
      <c r="AD1186" s="65"/>
      <c r="AE1186" s="66">
        <f t="shared" si="2393"/>
        <v>0</v>
      </c>
      <c r="AF1186" s="67">
        <f t="shared" si="2394"/>
        <v>0</v>
      </c>
      <c r="AG1186" s="68">
        <f t="shared" si="2395"/>
        <v>0</v>
      </c>
      <c r="AH1186" s="76" t="str">
        <f t="shared" si="2396"/>
        <v/>
      </c>
      <c r="AI1186" s="90">
        <f> ( IF(ISNUMBER(G1186), VLOOKUP(G1186/$AH1186,F!$A1:$B101,2,1)*G1186*$H1186*$I1186,0)+IF(ISNUMBER(K1186), VLOOKUP(K1186/$AH1186,F!$A1:$B101,2,1)*K1186*$L1186*$M1186,0)+IF(ISNUMBER(O1186), VLOOKUP(O1186/$AH1186,F!$A1:$B101,2,1)*O1186*$P1186*$Q1186,0)+IF(ISNUMBER(S1186), VLOOKUP(S1186/$AH1186,F!$A1:$B101,2,1)*S1186*$T1186*$U1186,0)+IF(ISNUMBER(W1186), VLOOKUP(W1186/$AH1186,F!$A1:$B101,2,1)*W1186*$X1186*$Y1186,0)+IF(ISNUMBER(AA1186), VLOOKUP(AA1186/$AH1186,F!$A1:$B101,2,1)*AA1186*$AB1186*$AC1186,0))*IF(ISNUMBER(F1186),F1186,1)*IF(ISNUMBER(E1186),E1186,1)</f>
        <v>0</v>
      </c>
      <c r="AJ1186" s="34">
        <f t="shared" si="2397"/>
        <v>0</v>
      </c>
      <c r="AK1186" s="91">
        <f t="array" ref="AK1186">IFERROR(I1186*INDEX(F!$P$21:$AB$33, MATCH(G1186/$AH1186, F!$O$21:$O$33,1), MATCH(E1186, F!$P$20:$AB$20,1)), 0 ) +IFERROR( M1186*INDEX(F!$P$21:$AB$33, MATCH(K1186/$AH1186, F!$O$21:$O$33,1), MATCH(E1186, F!$P$20:$AB$20,1)),0) +  IFERROR( Q1186*INDEX(F!$P$21:$AB$33, MATCH(O1186/$AH1186, F!$O$21:$O$33,1), MATCH(E1186, F!$P$20:$AB$20,1)), 0) + IFERROR( U1186*INDEX(F!$P$21:$AB$33, MATCH(S1186/$AH1186, F!$O$21:$O$33,1), MATCH(E1186, F!$P$20:$AB$20,1)),0)  + IFERROR(Y1186*INDEX(F!$P$21:$AB$33, MATCH(W1186/$AH1186, F!$O$21:$O$33,1), MATCH(E1186, F!$P$20:$AB$20,1)),0)  + IFERROR( AC1186*INDEX(F!$P$21:$AB$33, MATCH(AA1186/$AH1186, F!$O$21:$O$33,1), MATCH(E1186, F!$P$20:$AB$20,1)),)</f>
        <v>0</v>
      </c>
      <c r="AL1186" s="59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</row>
    <row r="1187" ht="15.0" hidden="1" customHeight="1">
      <c r="A1187" s="59"/>
      <c r="B1187" s="45" t="str">
        <f t="shared" ref="B1187:F1187" si="2403">IF(B1131="","",B1131)</f>
        <v/>
      </c>
      <c r="C1187" s="46" t="str">
        <f t="shared" si="2403"/>
        <v/>
      </c>
      <c r="D1187" s="92" t="str">
        <f t="shared" si="2403"/>
        <v/>
      </c>
      <c r="E1187" s="48" t="str">
        <f t="shared" si="2403"/>
        <v/>
      </c>
      <c r="F1187" s="74" t="str">
        <f t="shared" si="2403"/>
        <v/>
      </c>
      <c r="G1187" s="50" t="str">
        <f t="shared" si="2387"/>
        <v/>
      </c>
      <c r="H1187" s="51"/>
      <c r="I1187" s="51"/>
      <c r="J1187" s="52"/>
      <c r="K1187" s="50" t="str">
        <f t="shared" si="2388"/>
        <v/>
      </c>
      <c r="L1187" s="51"/>
      <c r="M1187" s="51"/>
      <c r="N1187" s="52"/>
      <c r="O1187" s="50" t="str">
        <f t="shared" si="2389"/>
        <v/>
      </c>
      <c r="P1187" s="51"/>
      <c r="Q1187" s="51"/>
      <c r="R1187" s="52"/>
      <c r="S1187" s="50" t="str">
        <f t="shared" si="2390"/>
        <v/>
      </c>
      <c r="T1187" s="51"/>
      <c r="U1187" s="51"/>
      <c r="V1187" s="52"/>
      <c r="W1187" s="50" t="str">
        <f t="shared" si="2391"/>
        <v/>
      </c>
      <c r="X1187" s="51"/>
      <c r="Y1187" s="51"/>
      <c r="Z1187" s="52"/>
      <c r="AA1187" s="50" t="str">
        <f t="shared" si="2392"/>
        <v/>
      </c>
      <c r="AB1187" s="51"/>
      <c r="AC1187" s="51"/>
      <c r="AD1187" s="52"/>
      <c r="AE1187" s="53">
        <f t="shared" si="2393"/>
        <v>0</v>
      </c>
      <c r="AF1187" s="93">
        <f t="shared" si="2394"/>
        <v>0</v>
      </c>
      <c r="AG1187" s="94">
        <f t="shared" si="2395"/>
        <v>0</v>
      </c>
      <c r="AH1187" s="76" t="str">
        <f t="shared" si="2396"/>
        <v/>
      </c>
      <c r="AI1187" s="95">
        <f> ( IF(ISNUMBER(G1187), VLOOKUP(G1187/$AH1187,F!$A1:$B101,2,1)*G1187*$H1187*$I1187,0)+IF(ISNUMBER(K1187), VLOOKUP(K1187/$AH1187,F!$A1:$B101,2,1)*K1187*$L1187*$M1187,0)+IF(ISNUMBER(O1187), VLOOKUP(O1187/$AH1187,F!$A1:$B101,2,1)*O1187*$P1187*$Q1187,0)+IF(ISNUMBER(S1187), VLOOKUP(S1187/$AH1187,F!$A1:$B101,2,1)*S1187*$T1187*$U1187,0)+IF(ISNUMBER(W1187), VLOOKUP(W1187/$AH1187,F!$A1:$B101,2,1)*W1187*$X1187*$Y1187,0)+IF(ISNUMBER(AA1187), VLOOKUP(AA1187/$AH1187,F!$A1:$B101,2,1)*AA1187*$AB1187*$AC1187,0))*IF(ISNUMBER(F1187),F1187,1)*IF(ISNUMBER(E1187),E1187,1)</f>
        <v>0</v>
      </c>
      <c r="AJ1187" s="96">
        <f t="shared" si="2397"/>
        <v>0</v>
      </c>
      <c r="AK1187" s="97">
        <f t="array" ref="AK1187">IFERROR(I1187*INDEX(F!$P$21:$AB$33, MATCH(G1187/$AH1187, F!$O$21:$O$33,1), MATCH(E1187, F!$P$20:$AB$20,1)), 0 ) +IFERROR( M1187*INDEX(F!$P$21:$AB$33, MATCH(K1187/$AH1187, F!$O$21:$O$33,1), MATCH(E1187, F!$P$20:$AB$20,1)),0) +  IFERROR( Q1187*INDEX(F!$P$21:$AB$33, MATCH(O1187/$AH1187, F!$O$21:$O$33,1), MATCH(E1187, F!$P$20:$AB$20,1)), 0) + IFERROR( U1187*INDEX(F!$P$21:$AB$33, MATCH(S1187/$AH1187, F!$O$21:$O$33,1), MATCH(E1187, F!$P$20:$AB$20,1)),0)  + IFERROR(Y1187*INDEX(F!$P$21:$AB$33, MATCH(W1187/$AH1187, F!$O$21:$O$33,1), MATCH(E1187, F!$P$20:$AB$20,1)),0)  + IFERROR( AC1187*INDEX(F!$P$21:$AB$33, MATCH(AA1187/$AH1187, F!$O$21:$O$33,1), MATCH(E1187, F!$P$20:$AB$20,1)),)</f>
        <v>0</v>
      </c>
      <c r="AL1187" s="59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</row>
    <row r="1188" ht="15.75" hidden="1" customHeight="1">
      <c r="A1188" s="98"/>
      <c r="B1188" s="99"/>
      <c r="C1188" s="100"/>
      <c r="D1188" s="101"/>
      <c r="E1188" s="102">
        <f>ROUND(IFERROR(SUMPRODUCT(AJ1180:AJ1187,E1180:E1187)/AJ1188,0),3)</f>
        <v>0</v>
      </c>
      <c r="F1188" s="199"/>
      <c r="G1188" s="104"/>
      <c r="H1188" s="105"/>
      <c r="I1188" s="105"/>
      <c r="J1188" s="106"/>
      <c r="K1188" s="104"/>
      <c r="L1188" s="105"/>
      <c r="M1188" s="105"/>
      <c r="N1188" s="106"/>
      <c r="O1188" s="104"/>
      <c r="P1188" s="105"/>
      <c r="Q1188" s="105"/>
      <c r="R1188" s="106"/>
      <c r="S1188" s="104"/>
      <c r="T1188" s="105"/>
      <c r="U1188" s="105"/>
      <c r="V1188" s="106"/>
      <c r="W1188" s="104"/>
      <c r="X1188" s="105"/>
      <c r="Y1188" s="105"/>
      <c r="Z1188" s="106"/>
      <c r="AA1188" s="104"/>
      <c r="AB1188" s="105"/>
      <c r="AC1188" s="105"/>
      <c r="AD1188" s="106"/>
      <c r="AE1188" s="107">
        <f>SUM(AE1180:AE1187)</f>
        <v>0</v>
      </c>
      <c r="AF1188" s="108">
        <f t="shared" si="2394"/>
        <v>0</v>
      </c>
      <c r="AG1188" s="109">
        <f>IFERROR(  SUMPRODUCT(AG1180:AG1187,AJ1180:AJ1187)/AJ1188,0)</f>
        <v>0</v>
      </c>
      <c r="AH1188" s="157"/>
      <c r="AI1188" s="111">
        <f t="shared" ref="AI1188:AJ1188" si="2404">SUM(AI1180:AI1187)</f>
        <v>0</v>
      </c>
      <c r="AJ1188" s="111">
        <f t="shared" si="2404"/>
        <v>0</v>
      </c>
      <c r="AK1188" s="112">
        <f>IF(SUM(AK1180:AK1187)=0,TIME(,0,),TIME(,SUM(AK1180:AK1187)+F!$V$37,))</f>
        <v>0</v>
      </c>
      <c r="AL1188" s="98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</row>
    <row r="1189" ht="15.75" hidden="1" customHeight="1">
      <c r="A1189" s="113">
        <f>A1190</f>
        <v>43929</v>
      </c>
      <c r="B1189" s="114" t="str">
        <f t="shared" ref="B1189:F1189" si="2405">IF(B1133="","",B1133)</f>
        <v>Тяжелая</v>
      </c>
      <c r="C1189" s="115" t="str">
        <f t="shared" si="2405"/>
        <v>ТГ</v>
      </c>
      <c r="D1189" s="116" t="str">
        <f t="shared" si="2405"/>
        <v>Становая тяга</v>
      </c>
      <c r="E1189" s="29">
        <f t="shared" si="2405"/>
        <v>1.4</v>
      </c>
      <c r="F1189" s="117" t="str">
        <f t="shared" si="2405"/>
        <v/>
      </c>
      <c r="G1189" s="118" t="str">
        <f t="shared" ref="G1189:G1196" si="2407">IF(J1189&lt;&gt;0, IFERROR(IF( $F1189=2,  MROUND($AH1189*J1189,1),    IF( OR($F1189="",$F1189=1),   MROUND($AH1189*J1189,2.5),  MROUND($AH1189*J1189, 0.1))), "" ), "")</f>
        <v/>
      </c>
      <c r="H1189" s="119"/>
      <c r="I1189" s="119"/>
      <c r="J1189" s="120"/>
      <c r="K1189" s="118" t="str">
        <f t="shared" ref="K1189:K1196" si="2408">IF(N1189&lt;&gt;0, IFERROR(IF( $F1189=2,  MROUND($AH1189*N1189,1),    IF( OR($F1189="",$F1189=1),   MROUND($AH1189*N1189,2.5),  MROUND($AH1189*N1189, 0.1))), "" ), "")</f>
        <v/>
      </c>
      <c r="L1189" s="119"/>
      <c r="M1189" s="119"/>
      <c r="N1189" s="120"/>
      <c r="O1189" s="118" t="str">
        <f t="shared" ref="O1189:O1196" si="2409">IF(R1189&lt;&gt;0, IFERROR(IF( $F1189=2,  MROUND($AH1189*R1189,1),    IF( OR($F1189="",$F1189=1),   MROUND($AH1189*R1189,2.5),  MROUND($AH1189*R1189, 0.1))), "" ), "")</f>
        <v/>
      </c>
      <c r="P1189" s="119"/>
      <c r="Q1189" s="119"/>
      <c r="R1189" s="120"/>
      <c r="S1189" s="118" t="str">
        <f t="shared" ref="S1189:S1196" si="2410">IF(V1189&lt;&gt;0, IFERROR(IF( $F1189=2,  MROUND($AH1189*V1189,1),    IF( OR($F1189="",$F1189=1),   MROUND($AH1189*V1189,2.5),  MROUND($AH1189*V1189, 0.1))), "" ), "")</f>
        <v/>
      </c>
      <c r="T1189" s="119"/>
      <c r="U1189" s="119"/>
      <c r="V1189" s="120"/>
      <c r="W1189" s="118" t="str">
        <f t="shared" ref="W1189:W1196" si="2411">IF(Z1189&lt;&gt;0, IFERROR(IF( $F1189=2,  MROUND($AH1189*Z1189,1),    IF( OR($F1189="",$F1189=1),   MROUND($AH1189*Z1189,2.5),  MROUND($AH1189*Z1189, 0.1))), "" ), "")</f>
        <v/>
      </c>
      <c r="X1189" s="119"/>
      <c r="Y1189" s="119"/>
      <c r="Z1189" s="120"/>
      <c r="AA1189" s="118" t="str">
        <f t="shared" ref="AA1189:AA1196" si="2412">IF(AD1189&lt;&gt;0, IFERROR(IF( $F1189=2,  MROUND($AH1189*AD1189,1),    IF( OR($F1189="",$F1189=1),   MROUND($AH1189*AD1189,2.5),  MROUND($AH1189*AD1189, 0.1))), "" ), "")</f>
        <v/>
      </c>
      <c r="AB1189" s="119"/>
      <c r="AC1189" s="119"/>
      <c r="AD1189" s="120"/>
      <c r="AE1189" s="121">
        <f t="shared" ref="AE1189:AE1196" si="2413">(IF(ISNUMBER(G1189),G1189,0)*H1189*I1189+IF(ISNUMBER(K1189),K1189,1)*L1189*M1189+IF(ISNUMBER(O1189),O1189,1)*P1189*Q1189+IF(ISNUMBER(S1189),S1189,1)*T1189*U1189+IF(ISNUMBER(W1189),W1189,1)*X1189*Y1189+IF(ISNUMBER(AA1189),AA1189,1)*AB1189*AC1189)*IF(ISNUMBER(F1189),F1189,1)</f>
        <v>0</v>
      </c>
      <c r="AF1189" s="122">
        <f t="shared" si="2394"/>
        <v>0</v>
      </c>
      <c r="AG1189" s="200">
        <f t="shared" ref="AG1189:AG1196" si="2414">IFERROR((AF1189/(AH1189*IF(ISNUMBER(F1189),F1189,1))),0)</f>
        <v>0</v>
      </c>
      <c r="AH1189" s="169">
        <f t="shared" ref="AH1189:AH1196" si="2415">IF(ISNUMBER(AH1133), AH1133+(AH1133*$AH$1178),"")</f>
        <v>280.3982736</v>
      </c>
      <c r="AI1189" s="122">
        <f> ( IF(ISNUMBER(G1189), VLOOKUP(G1189/$AH1189,F!$A1:$B101,2,1)*G1189*$H1189*$I1189,0)+IF(ISNUMBER(K1189), VLOOKUP(K1189/$AH1189,F!$A1:$B101,2,1)*K1189*$L1189*$M1189,0)+IF(ISNUMBER(O1189), VLOOKUP(O1189/$AH1189,F!$A1:$B101,2,1)*O1189*$P1189*$Q1189,0)+IF(ISNUMBER(S1189), VLOOKUP(S1189/$AH1189,F!$A1:$B101,2,1)*S1189*$T1189*$U1189,0)+IF(ISNUMBER(W1189), VLOOKUP(W1189/$AH1189,F!$A1:$B101,2,1)*W1189*$X1189*$Y1189,0)+IF(ISNUMBER(AA1189), VLOOKUP(AA1189/$AH1189,F!$A1:$B101,2,1)*AA1189*$AB1189*$AC1189,0))*IF(ISNUMBER(F1189),F1189,1)*IF(ISNUMBER(E1189),E1189,1)</f>
        <v>0</v>
      </c>
      <c r="AJ1189" s="119">
        <f t="shared" ref="AJ1189:AJ1196" si="2416">H1189*I1189+L1189*M1189+P1189*Q1189+T1189*U1189+X1189*Y1189+AB1189*AC1189</f>
        <v>0</v>
      </c>
      <c r="AK1189" s="125">
        <f t="array" ref="AK1189">IFERROR(I1189*INDEX(F!$P$21:$AB$33, MATCH(G1189/$AH1189, F!$O$21:$O$33,1), MATCH(E1189, F!$P$20:$AB$20,1)), 0 ) +IFERROR( M1189*INDEX(F!$P$21:$AB$33, MATCH(K1189/$AH1189, F!$O$21:$O$33,1), MATCH(E1189, F!$P$20:$AB$20,1)),0) +  IFERROR( Q1189*INDEX(F!$P$21:$AB$33, MATCH(O1189/$AH1189, F!$O$21:$O$33,1), MATCH(E1189, F!$P$20:$AB$20,1)), 0) + IFERROR( U1189*INDEX(F!$P$21:$AB$33, MATCH(S1189/$AH1189, F!$O$21:$O$33,1), MATCH(E1189, F!$P$20:$AB$20,1)),0)  + IFERROR(Y1189*INDEX(F!$P$21:$AB$33, MATCH(W1189/$AH1189, F!$O$21:$O$33,1), MATCH(E1189, F!$P$20:$AB$20,1)),0)  + IFERROR( AC1189*INDEX(F!$P$21:$AB$33, MATCH(AA1189/$AH1189, F!$O$21:$O$33,1), MATCH(E1189, F!$P$20:$AB$20,1)),)</f>
        <v>0</v>
      </c>
      <c r="AL1189" s="42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</row>
    <row r="1190" ht="15.75" hidden="1" customHeight="1">
      <c r="A1190" s="44">
        <f>A1134+A1122</f>
        <v>43929</v>
      </c>
      <c r="B1190" s="126" t="str">
        <f t="shared" ref="B1190:F1190" si="2406">IF(B1134="","",B1134)</f>
        <v>Средняя</v>
      </c>
      <c r="C1190" s="127" t="str">
        <f t="shared" si="2406"/>
        <v>ЖМ</v>
      </c>
      <c r="D1190" s="128" t="str">
        <f t="shared" si="2406"/>
        <v>Жим лежа</v>
      </c>
      <c r="E1190" s="48">
        <f t="shared" si="2406"/>
        <v>1</v>
      </c>
      <c r="F1190" s="129" t="str">
        <f t="shared" si="2406"/>
        <v/>
      </c>
      <c r="G1190" s="130" t="str">
        <f t="shared" si="2407"/>
        <v/>
      </c>
      <c r="H1190" s="34"/>
      <c r="I1190" s="34"/>
      <c r="J1190" s="65"/>
      <c r="K1190" s="130" t="str">
        <f t="shared" si="2408"/>
        <v/>
      </c>
      <c r="L1190" s="34"/>
      <c r="M1190" s="34"/>
      <c r="N1190" s="65"/>
      <c r="O1190" s="130" t="str">
        <f t="shared" si="2409"/>
        <v/>
      </c>
      <c r="P1190" s="34"/>
      <c r="Q1190" s="34"/>
      <c r="R1190" s="65"/>
      <c r="S1190" s="130" t="str">
        <f t="shared" si="2410"/>
        <v/>
      </c>
      <c r="T1190" s="34"/>
      <c r="U1190" s="34"/>
      <c r="V1190" s="65"/>
      <c r="W1190" s="130" t="str">
        <f t="shared" si="2411"/>
        <v/>
      </c>
      <c r="X1190" s="34"/>
      <c r="Y1190" s="34"/>
      <c r="Z1190" s="65"/>
      <c r="AA1190" s="130" t="str">
        <f t="shared" si="2412"/>
        <v/>
      </c>
      <c r="AB1190" s="34"/>
      <c r="AC1190" s="34"/>
      <c r="AD1190" s="65"/>
      <c r="AE1190" s="131">
        <f t="shared" si="2413"/>
        <v>0</v>
      </c>
      <c r="AF1190" s="132">
        <f t="shared" si="2394"/>
        <v>0</v>
      </c>
      <c r="AG1190" s="133">
        <f t="shared" si="2414"/>
        <v>0</v>
      </c>
      <c r="AH1190" s="76">
        <f t="shared" si="2415"/>
        <v>143.9883027</v>
      </c>
      <c r="AI1190" s="132">
        <f> ( IF(ISNUMBER(G1190), VLOOKUP(G1190/$AH1190,F!$A1:$B101,2,1)*G1190*$H1190*$I1190,0)+IF(ISNUMBER(K1190), VLOOKUP(K1190/$AH1190,F!$A1:$B101,2,1)*K1190*$L1190*$M1190,0)+IF(ISNUMBER(O1190), VLOOKUP(O1190/$AH1190,F!$A1:$B101,2,1)*O1190*$P1190*$Q1190,0)+IF(ISNUMBER(S1190), VLOOKUP(S1190/$AH1190,F!$A1:$B101,2,1)*S1190*$T1190*$U1190,0)+IF(ISNUMBER(W1190), VLOOKUP(W1190/$AH1190,F!$A1:$B101,2,1)*W1190*$X1190*$Y1190,0)+IF(ISNUMBER(AA1190), VLOOKUP(AA1190/$AH1190,F!$A1:$B101,2,1)*AA1190*$AB1190*$AC1190,0))*IF(ISNUMBER(F1190),F1190,1)*IF(ISNUMBER(E1190),E1190,1)</f>
        <v>0</v>
      </c>
      <c r="AJ1190" s="34">
        <f t="shared" si="2416"/>
        <v>0</v>
      </c>
      <c r="AK1190" s="134">
        <f t="array" ref="AK1190">IFERROR(I1190*INDEX(F!$P$21:$AB$33, MATCH(G1190/$AH1190, F!$O$21:$O$33,1), MATCH(E1190, F!$P$20:$AB$20,1)), 0 ) +IFERROR( M1190*INDEX(F!$P$21:$AB$33, MATCH(K1190/$AH1190, F!$O$21:$O$33,1), MATCH(E1190, F!$P$20:$AB$20,1)),0) +  IFERROR( Q1190*INDEX(F!$P$21:$AB$33, MATCH(O1190/$AH1190, F!$O$21:$O$33,1), MATCH(E1190, F!$P$20:$AB$20,1)), 0) + IFERROR( U1190*INDEX(F!$P$21:$AB$33, MATCH(S1190/$AH1190, F!$O$21:$O$33,1), MATCH(E1190, F!$P$20:$AB$20,1)),0)  + IFERROR(Y1190*INDEX(F!$P$21:$AB$33, MATCH(W1190/$AH1190, F!$O$21:$O$33,1), MATCH(E1190, F!$P$20:$AB$20,1)),0)  + IFERROR( AC1190*INDEX(F!$P$21:$AB$33, MATCH(AA1190/$AH1190, F!$O$21:$O$33,1), MATCH(E1190, F!$P$20:$AB$20,1)),)</f>
        <v>0</v>
      </c>
      <c r="AL1190" s="59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</row>
    <row r="1191" ht="15.75" hidden="1" customHeight="1">
      <c r="A1191" s="59"/>
      <c r="B1191" s="135" t="str">
        <f t="shared" ref="B1191:F1191" si="2417">IF(B1135="","",B1135)</f>
        <v>Легкая</v>
      </c>
      <c r="C1191" s="136" t="str">
        <f t="shared" si="2417"/>
        <v>ОФП</v>
      </c>
      <c r="D1191" s="137" t="str">
        <f t="shared" si="2417"/>
        <v>Наклоны со штангой</v>
      </c>
      <c r="E1191" s="48">
        <f t="shared" si="2417"/>
        <v>0.8</v>
      </c>
      <c r="F1191" s="138" t="str">
        <f t="shared" si="2417"/>
        <v/>
      </c>
      <c r="G1191" s="139" t="str">
        <f t="shared" si="2407"/>
        <v/>
      </c>
      <c r="H1191" s="140"/>
      <c r="I1191" s="140"/>
      <c r="J1191" s="141"/>
      <c r="K1191" s="139" t="str">
        <f t="shared" si="2408"/>
        <v/>
      </c>
      <c r="L1191" s="140"/>
      <c r="M1191" s="140"/>
      <c r="N1191" s="141"/>
      <c r="O1191" s="139" t="str">
        <f t="shared" si="2409"/>
        <v/>
      </c>
      <c r="P1191" s="140"/>
      <c r="Q1191" s="140"/>
      <c r="R1191" s="141"/>
      <c r="S1191" s="139" t="str">
        <f t="shared" si="2410"/>
        <v/>
      </c>
      <c r="T1191" s="140"/>
      <c r="U1191" s="140"/>
      <c r="V1191" s="141"/>
      <c r="W1191" s="139" t="str">
        <f t="shared" si="2411"/>
        <v/>
      </c>
      <c r="X1191" s="140"/>
      <c r="Y1191" s="140"/>
      <c r="Z1191" s="141"/>
      <c r="AA1191" s="139" t="str">
        <f t="shared" si="2412"/>
        <v/>
      </c>
      <c r="AB1191" s="140"/>
      <c r="AC1191" s="140"/>
      <c r="AD1191" s="141"/>
      <c r="AE1191" s="142">
        <f t="shared" si="2413"/>
        <v>0</v>
      </c>
      <c r="AF1191" s="143">
        <f t="shared" si="2394"/>
        <v>0</v>
      </c>
      <c r="AG1191" s="144">
        <f t="shared" si="2414"/>
        <v>0</v>
      </c>
      <c r="AH1191" s="76">
        <f t="shared" si="2415"/>
        <v>154.2190505</v>
      </c>
      <c r="AI1191" s="143">
        <f> ( IF(ISNUMBER(G1191), VLOOKUP(G1191/$AH1191,F!$A1:$B101,2,1)*G1191*$H1191*$I1191,0)+IF(ISNUMBER(K1191), VLOOKUP(K1191/$AH1191,F!$A1:$B101,2,1)*K1191*$L1191*$M1191,0)+IF(ISNUMBER(O1191), VLOOKUP(O1191/$AH1191,F!$A1:$B101,2,1)*O1191*$P1191*$Q1191,0)+IF(ISNUMBER(S1191), VLOOKUP(S1191/$AH1191,F!$A1:$B101,2,1)*S1191*$T1191*$U1191,0)+IF(ISNUMBER(W1191), VLOOKUP(W1191/$AH1191,F!$A1:$B101,2,1)*W1191*$X1191*$Y1191,0)+IF(ISNUMBER(AA1191), VLOOKUP(AA1191/$AH1191,F!$A1:$B101,2,1)*AA1191*$AB1191*$AC1191,0))*IF(ISNUMBER(F1191),F1191,1)*IF(ISNUMBER(E1191),E1191,1)</f>
        <v>0</v>
      </c>
      <c r="AJ1191" s="140">
        <f t="shared" si="2416"/>
        <v>0</v>
      </c>
      <c r="AK1191" s="145">
        <f t="array" ref="AK1191">IFERROR(I1191*INDEX(F!$P$21:$AB$33, MATCH(G1191/$AH1191, F!$O$21:$O$33,1), MATCH(E1191, F!$P$20:$AB$20,1)), 0 ) +IFERROR( M1191*INDEX(F!$P$21:$AB$33, MATCH(K1191/$AH1191, F!$O$21:$O$33,1), MATCH(E1191, F!$P$20:$AB$20,1)),0) +  IFERROR( Q1191*INDEX(F!$P$21:$AB$33, MATCH(O1191/$AH1191, F!$O$21:$O$33,1), MATCH(E1191, F!$P$20:$AB$20,1)), 0) + IFERROR( U1191*INDEX(F!$P$21:$AB$33, MATCH(S1191/$AH1191, F!$O$21:$O$33,1), MATCH(E1191, F!$P$20:$AB$20,1)),0)  + IFERROR(Y1191*INDEX(F!$P$21:$AB$33, MATCH(W1191/$AH1191, F!$O$21:$O$33,1), MATCH(E1191, F!$P$20:$AB$20,1)),0)  + IFERROR( AC1191*INDEX(F!$P$21:$AB$33, MATCH(AA1191/$AH1191, F!$O$21:$O$33,1), MATCH(E1191, F!$P$20:$AB$20,1)),)</f>
        <v>0</v>
      </c>
      <c r="AL1191" s="59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</row>
    <row r="1192" ht="15.75" hidden="1" customHeight="1">
      <c r="A1192" s="59"/>
      <c r="B1192" s="126" t="str">
        <f t="shared" ref="B1192:F1192" si="2418">IF(B1136="","",B1136)</f>
        <v>Средняя</v>
      </c>
      <c r="C1192" s="127" t="str">
        <f t="shared" si="2418"/>
        <v>ОФП</v>
      </c>
      <c r="D1192" s="128" t="str">
        <f t="shared" si="2418"/>
        <v>Жим стоя</v>
      </c>
      <c r="E1192" s="48">
        <f t="shared" si="2418"/>
        <v>1</v>
      </c>
      <c r="F1192" s="129" t="str">
        <f t="shared" si="2418"/>
        <v/>
      </c>
      <c r="G1192" s="130" t="str">
        <f t="shared" si="2407"/>
        <v/>
      </c>
      <c r="H1192" s="34"/>
      <c r="I1192" s="34"/>
      <c r="J1192" s="65"/>
      <c r="K1192" s="130" t="str">
        <f t="shared" si="2408"/>
        <v/>
      </c>
      <c r="L1192" s="34"/>
      <c r="M1192" s="34"/>
      <c r="N1192" s="65"/>
      <c r="O1192" s="130" t="str">
        <f t="shared" si="2409"/>
        <v/>
      </c>
      <c r="P1192" s="34"/>
      <c r="Q1192" s="34"/>
      <c r="R1192" s="65"/>
      <c r="S1192" s="130" t="str">
        <f t="shared" si="2410"/>
        <v/>
      </c>
      <c r="T1192" s="34"/>
      <c r="U1192" s="34"/>
      <c r="V1192" s="65"/>
      <c r="W1192" s="130" t="str">
        <f t="shared" si="2411"/>
        <v/>
      </c>
      <c r="X1192" s="34"/>
      <c r="Y1192" s="34"/>
      <c r="Z1192" s="65"/>
      <c r="AA1192" s="130" t="str">
        <f t="shared" si="2412"/>
        <v/>
      </c>
      <c r="AB1192" s="34"/>
      <c r="AC1192" s="34"/>
      <c r="AD1192" s="65"/>
      <c r="AE1192" s="131">
        <f t="shared" si="2413"/>
        <v>0</v>
      </c>
      <c r="AF1192" s="132">
        <f t="shared" si="2394"/>
        <v>0</v>
      </c>
      <c r="AG1192" s="133">
        <f t="shared" si="2414"/>
        <v>0</v>
      </c>
      <c r="AH1192" s="76">
        <f t="shared" si="2415"/>
        <v>86.3929816</v>
      </c>
      <c r="AI1192" s="132">
        <f> ( IF(ISNUMBER(G1192), VLOOKUP(G1192/$AH1192,F!$A1:$B101,2,1)*G1192*$H1192*$I1192,0)+IF(ISNUMBER(K1192), VLOOKUP(K1192/$AH1192,F!$A1:$B101,2,1)*K1192*$L1192*$M1192,0)+IF(ISNUMBER(O1192), VLOOKUP(O1192/$AH1192,F!$A1:$B101,2,1)*O1192*$P1192*$Q1192,0)+IF(ISNUMBER(S1192), VLOOKUP(S1192/$AH1192,F!$A1:$B101,2,1)*S1192*$T1192*$U1192,0)+IF(ISNUMBER(W1192), VLOOKUP(W1192/$AH1192,F!$A1:$B101,2,1)*W1192*$X1192*$Y1192,0)+IF(ISNUMBER(AA1192), VLOOKUP(AA1192/$AH1192,F!$A1:$B101,2,1)*AA1192*$AB1192*$AC1192,0))*IF(ISNUMBER(F1192),F1192,1)*IF(ISNUMBER(E1192),E1192,1)</f>
        <v>0</v>
      </c>
      <c r="AJ1192" s="34">
        <f t="shared" si="2416"/>
        <v>0</v>
      </c>
      <c r="AK1192" s="134">
        <f t="array" ref="AK1192">IFERROR(I1192*INDEX(F!$P$21:$AB$33, MATCH(G1192/$AH1192, F!$O$21:$O$33,1), MATCH(E1192, F!$P$20:$AB$20,1)), 0 ) +IFERROR( M1192*INDEX(F!$P$21:$AB$33, MATCH(K1192/$AH1192, F!$O$21:$O$33,1), MATCH(E1192, F!$P$20:$AB$20,1)),0) +  IFERROR( Q1192*INDEX(F!$P$21:$AB$33, MATCH(O1192/$AH1192, F!$O$21:$O$33,1), MATCH(E1192, F!$P$20:$AB$20,1)), 0) + IFERROR( U1192*INDEX(F!$P$21:$AB$33, MATCH(S1192/$AH1192, F!$O$21:$O$33,1), MATCH(E1192, F!$P$20:$AB$20,1)),0)  + IFERROR(Y1192*INDEX(F!$P$21:$AB$33, MATCH(W1192/$AH1192, F!$O$21:$O$33,1), MATCH(E1192, F!$P$20:$AB$20,1)),0)  + IFERROR( AC1192*INDEX(F!$P$21:$AB$33, MATCH(AA1192/$AH1192, F!$O$21:$O$33,1), MATCH(E1192, F!$P$20:$AB$20,1)),)</f>
        <v>0</v>
      </c>
      <c r="AL1192" s="59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</row>
    <row r="1193" ht="15.75" hidden="1" customHeight="1">
      <c r="A1193" s="59"/>
      <c r="B1193" s="135" t="str">
        <f t="shared" ref="B1193:F1193" si="2419">IF(B1137="","",B1137)</f>
        <v>Средняя</v>
      </c>
      <c r="C1193" s="136" t="str">
        <f t="shared" si="2419"/>
        <v>ЖМ</v>
      </c>
      <c r="D1193" s="137" t="str">
        <f t="shared" si="2419"/>
        <v>Жим средним хватом</v>
      </c>
      <c r="E1193" s="48">
        <f t="shared" si="2419"/>
        <v>1</v>
      </c>
      <c r="F1193" s="138" t="str">
        <f t="shared" si="2419"/>
        <v/>
      </c>
      <c r="G1193" s="139" t="str">
        <f t="shared" si="2407"/>
        <v/>
      </c>
      <c r="H1193" s="140"/>
      <c r="I1193" s="140"/>
      <c r="J1193" s="141"/>
      <c r="K1193" s="139" t="str">
        <f t="shared" si="2408"/>
        <v/>
      </c>
      <c r="L1193" s="140"/>
      <c r="M1193" s="140"/>
      <c r="N1193" s="141"/>
      <c r="O1193" s="139" t="str">
        <f t="shared" si="2409"/>
        <v/>
      </c>
      <c r="P1193" s="140"/>
      <c r="Q1193" s="140"/>
      <c r="R1193" s="141"/>
      <c r="S1193" s="139" t="str">
        <f t="shared" si="2410"/>
        <v/>
      </c>
      <c r="T1193" s="140"/>
      <c r="U1193" s="140"/>
      <c r="V1193" s="141"/>
      <c r="W1193" s="139" t="str">
        <f t="shared" si="2411"/>
        <v/>
      </c>
      <c r="X1193" s="140"/>
      <c r="Y1193" s="140"/>
      <c r="Z1193" s="141"/>
      <c r="AA1193" s="139" t="str">
        <f t="shared" si="2412"/>
        <v/>
      </c>
      <c r="AB1193" s="140"/>
      <c r="AC1193" s="140"/>
      <c r="AD1193" s="141"/>
      <c r="AE1193" s="142">
        <f t="shared" si="2413"/>
        <v>0</v>
      </c>
      <c r="AF1193" s="143">
        <f t="shared" si="2394"/>
        <v>0</v>
      </c>
      <c r="AG1193" s="144">
        <f t="shared" si="2414"/>
        <v>0</v>
      </c>
      <c r="AH1193" s="76">
        <f t="shared" si="2415"/>
        <v>122.3900573</v>
      </c>
      <c r="AI1193" s="143">
        <f> ( IF(ISNUMBER(G1193), VLOOKUP(G1193/$AH1193,F!$A1:$B101,2,1)*G1193*$H1193*$I1193,0)+IF(ISNUMBER(K1193), VLOOKUP(K1193/$AH1193,F!$A1:$B101,2,1)*K1193*$L1193*$M1193,0)+IF(ISNUMBER(O1193), VLOOKUP(O1193/$AH1193,F!$A1:$B101,2,1)*O1193*$P1193*$Q1193,0)+IF(ISNUMBER(S1193), VLOOKUP(S1193/$AH1193,F!$A1:$B101,2,1)*S1193*$T1193*$U1193,0)+IF(ISNUMBER(W1193), VLOOKUP(W1193/$AH1193,F!$A1:$B101,2,1)*W1193*$X1193*$Y1193,0)+IF(ISNUMBER(AA1193), VLOOKUP(AA1193/$AH1193,F!$A1:$B101,2,1)*AA1193*$AB1193*$AC1193,0))*IF(ISNUMBER(F1193),F1193,1)*IF(ISNUMBER(E1193),E1193,1)</f>
        <v>0</v>
      </c>
      <c r="AJ1193" s="140">
        <f t="shared" si="2416"/>
        <v>0</v>
      </c>
      <c r="AK1193" s="145">
        <f t="array" ref="AK1193">IFERROR(I1193*INDEX(F!$P$21:$AB$33, MATCH(G1193/$AH1193, F!$O$21:$O$33,1), MATCH(E1193, F!$P$20:$AB$20,1)), 0 ) +IFERROR( M1193*INDEX(F!$P$21:$AB$33, MATCH(K1193/$AH1193, F!$O$21:$O$33,1), MATCH(E1193, F!$P$20:$AB$20,1)),0) +  IFERROR( Q1193*INDEX(F!$P$21:$AB$33, MATCH(O1193/$AH1193, F!$O$21:$O$33,1), MATCH(E1193, F!$P$20:$AB$20,1)), 0) + IFERROR( U1193*INDEX(F!$P$21:$AB$33, MATCH(S1193/$AH1193, F!$O$21:$O$33,1), MATCH(E1193, F!$P$20:$AB$20,1)),0)  + IFERROR(Y1193*INDEX(F!$P$21:$AB$33, MATCH(W1193/$AH1193, F!$O$21:$O$33,1), MATCH(E1193, F!$P$20:$AB$20,1)),0)  + IFERROR( AC1193*INDEX(F!$P$21:$AB$33, MATCH(AA1193/$AH1193, F!$O$21:$O$33,1), MATCH(E1193, F!$P$20:$AB$20,1)),)</f>
        <v>0</v>
      </c>
      <c r="AL1193" s="59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</row>
    <row r="1194" ht="15.75" hidden="1" customHeight="1">
      <c r="A1194" s="59"/>
      <c r="B1194" s="126" t="str">
        <f t="shared" ref="B1194:F1194" si="2420">IF(B1138="","",B1138)</f>
        <v/>
      </c>
      <c r="C1194" s="127" t="str">
        <f t="shared" si="2420"/>
        <v/>
      </c>
      <c r="D1194" s="128" t="str">
        <f t="shared" si="2420"/>
        <v/>
      </c>
      <c r="E1194" s="48" t="str">
        <f t="shared" si="2420"/>
        <v/>
      </c>
      <c r="F1194" s="129" t="str">
        <f t="shared" si="2420"/>
        <v/>
      </c>
      <c r="G1194" s="130" t="str">
        <f t="shared" si="2407"/>
        <v/>
      </c>
      <c r="H1194" s="34"/>
      <c r="I1194" s="34"/>
      <c r="J1194" s="65"/>
      <c r="K1194" s="130" t="str">
        <f t="shared" si="2408"/>
        <v/>
      </c>
      <c r="L1194" s="34"/>
      <c r="M1194" s="34"/>
      <c r="N1194" s="65"/>
      <c r="O1194" s="130" t="str">
        <f t="shared" si="2409"/>
        <v/>
      </c>
      <c r="P1194" s="34"/>
      <c r="Q1194" s="34"/>
      <c r="R1194" s="65"/>
      <c r="S1194" s="130" t="str">
        <f t="shared" si="2410"/>
        <v/>
      </c>
      <c r="T1194" s="34"/>
      <c r="U1194" s="34"/>
      <c r="V1194" s="65"/>
      <c r="W1194" s="130" t="str">
        <f t="shared" si="2411"/>
        <v/>
      </c>
      <c r="X1194" s="34"/>
      <c r="Y1194" s="34"/>
      <c r="Z1194" s="65"/>
      <c r="AA1194" s="130" t="str">
        <f t="shared" si="2412"/>
        <v/>
      </c>
      <c r="AB1194" s="34"/>
      <c r="AC1194" s="34"/>
      <c r="AD1194" s="65"/>
      <c r="AE1194" s="131">
        <f t="shared" si="2413"/>
        <v>0</v>
      </c>
      <c r="AF1194" s="132">
        <f t="shared" si="2394"/>
        <v>0</v>
      </c>
      <c r="AG1194" s="133">
        <f t="shared" si="2414"/>
        <v>0</v>
      </c>
      <c r="AH1194" s="76" t="str">
        <f t="shared" si="2415"/>
        <v/>
      </c>
      <c r="AI1194" s="132">
        <f> ( IF(ISNUMBER(G1194), VLOOKUP(G1194/$AH1194,F!$A1:$B101,2,1)*G1194*$H1194*$I1194,0)+IF(ISNUMBER(K1194), VLOOKUP(K1194/$AH1194,F!$A1:$B101,2,1)*K1194*$L1194*$M1194,0)+IF(ISNUMBER(O1194), VLOOKUP(O1194/$AH1194,F!$A1:$B101,2,1)*O1194*$P1194*$Q1194,0)+IF(ISNUMBER(S1194), VLOOKUP(S1194/$AH1194,F!$A1:$B101,2,1)*S1194*$T1194*$U1194,0)+IF(ISNUMBER(W1194), VLOOKUP(W1194/$AH1194,F!$A1:$B101,2,1)*W1194*$X1194*$Y1194,0)+IF(ISNUMBER(AA1194), VLOOKUP(AA1194/$AH1194,F!$A1:$B101,2,1)*AA1194*$AB1194*$AC1194,0))*IF(ISNUMBER(F1194),F1194,1)*IF(ISNUMBER(E1194),E1194,1)</f>
        <v>0</v>
      </c>
      <c r="AJ1194" s="34">
        <f t="shared" si="2416"/>
        <v>0</v>
      </c>
      <c r="AK1194" s="134">
        <f t="array" ref="AK1194">IFERROR(I1194*INDEX(F!$P$21:$AB$33, MATCH(G1194/$AH1194, F!$O$21:$O$33,1), MATCH(E1194, F!$P$20:$AB$20,1)), 0 ) +IFERROR( M1194*INDEX(F!$P$21:$AB$33, MATCH(K1194/$AH1194, F!$O$21:$O$33,1), MATCH(E1194, F!$P$20:$AB$20,1)),0) +  IFERROR( Q1194*INDEX(F!$P$21:$AB$33, MATCH(O1194/$AH1194, F!$O$21:$O$33,1), MATCH(E1194, F!$P$20:$AB$20,1)), 0) + IFERROR( U1194*INDEX(F!$P$21:$AB$33, MATCH(S1194/$AH1194, F!$O$21:$O$33,1), MATCH(E1194, F!$P$20:$AB$20,1)),0)  + IFERROR(Y1194*INDEX(F!$P$21:$AB$33, MATCH(W1194/$AH1194, F!$O$21:$O$33,1), MATCH(E1194, F!$P$20:$AB$20,1)),0)  + IFERROR( AC1194*INDEX(F!$P$21:$AB$33, MATCH(AA1194/$AH1194, F!$O$21:$O$33,1), MATCH(E1194, F!$P$20:$AB$20,1)),)</f>
        <v>0</v>
      </c>
      <c r="AL1194" s="59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</row>
    <row r="1195" ht="15.75" hidden="1" customHeight="1">
      <c r="A1195" s="59"/>
      <c r="B1195" s="135" t="str">
        <f t="shared" ref="B1195:F1195" si="2421">IF(B1139="","",B1139)</f>
        <v/>
      </c>
      <c r="C1195" s="136" t="str">
        <f t="shared" si="2421"/>
        <v/>
      </c>
      <c r="D1195" s="137" t="str">
        <f t="shared" si="2421"/>
        <v/>
      </c>
      <c r="E1195" s="48" t="str">
        <f t="shared" si="2421"/>
        <v/>
      </c>
      <c r="F1195" s="138" t="str">
        <f t="shared" si="2421"/>
        <v/>
      </c>
      <c r="G1195" s="139" t="str">
        <f t="shared" si="2407"/>
        <v/>
      </c>
      <c r="H1195" s="140"/>
      <c r="I1195" s="140"/>
      <c r="J1195" s="141"/>
      <c r="K1195" s="139" t="str">
        <f t="shared" si="2408"/>
        <v/>
      </c>
      <c r="L1195" s="140"/>
      <c r="M1195" s="140"/>
      <c r="N1195" s="141"/>
      <c r="O1195" s="139" t="str">
        <f t="shared" si="2409"/>
        <v/>
      </c>
      <c r="P1195" s="140"/>
      <c r="Q1195" s="140"/>
      <c r="R1195" s="141"/>
      <c r="S1195" s="139" t="str">
        <f t="shared" si="2410"/>
        <v/>
      </c>
      <c r="T1195" s="140"/>
      <c r="U1195" s="140"/>
      <c r="V1195" s="141"/>
      <c r="W1195" s="139" t="str">
        <f t="shared" si="2411"/>
        <v/>
      </c>
      <c r="X1195" s="140"/>
      <c r="Y1195" s="140"/>
      <c r="Z1195" s="141"/>
      <c r="AA1195" s="139" t="str">
        <f t="shared" si="2412"/>
        <v/>
      </c>
      <c r="AB1195" s="140"/>
      <c r="AC1195" s="140"/>
      <c r="AD1195" s="141"/>
      <c r="AE1195" s="142">
        <f t="shared" si="2413"/>
        <v>0</v>
      </c>
      <c r="AF1195" s="143">
        <f t="shared" si="2394"/>
        <v>0</v>
      </c>
      <c r="AG1195" s="144">
        <f t="shared" si="2414"/>
        <v>0</v>
      </c>
      <c r="AH1195" s="76" t="str">
        <f t="shared" si="2415"/>
        <v/>
      </c>
      <c r="AI1195" s="143">
        <f> ( IF(ISNUMBER(G1195), VLOOKUP(G1195/$AH1195,F!$A1:$B101,2,1)*G1195*$H1195*$I1195,0)+IF(ISNUMBER(K1195), VLOOKUP(K1195/$AH1195,F!$A1:$B101,2,1)*K1195*$L1195*$M1195,0)+IF(ISNUMBER(O1195), VLOOKUP(O1195/$AH1195,F!$A1:$B101,2,1)*O1195*$P1195*$Q1195,0)+IF(ISNUMBER(S1195), VLOOKUP(S1195/$AH1195,F!$A1:$B101,2,1)*S1195*$T1195*$U1195,0)+IF(ISNUMBER(W1195), VLOOKUP(W1195/$AH1195,F!$A1:$B101,2,1)*W1195*$X1195*$Y1195,0)+IF(ISNUMBER(AA1195), VLOOKUP(AA1195/$AH1195,F!$A1:$B101,2,1)*AA1195*$AB1195*$AC1195,0))*IF(ISNUMBER(F1195),F1195,1)*IF(ISNUMBER(E1195),E1195,1)</f>
        <v>0</v>
      </c>
      <c r="AJ1195" s="140">
        <f t="shared" si="2416"/>
        <v>0</v>
      </c>
      <c r="AK1195" s="145">
        <f t="array" ref="AK1195">IFERROR(I1195*INDEX(F!$P$21:$AB$33, MATCH(G1195/$AH1195, F!$O$21:$O$33,1), MATCH(E1195, F!$P$20:$AB$20,1)), 0 ) +IFERROR( M1195*INDEX(F!$P$21:$AB$33, MATCH(K1195/$AH1195, F!$O$21:$O$33,1), MATCH(E1195, F!$P$20:$AB$20,1)),0) +  IFERROR( Q1195*INDEX(F!$P$21:$AB$33, MATCH(O1195/$AH1195, F!$O$21:$O$33,1), MATCH(E1195, F!$P$20:$AB$20,1)), 0) + IFERROR( U1195*INDEX(F!$P$21:$AB$33, MATCH(S1195/$AH1195, F!$O$21:$O$33,1), MATCH(E1195, F!$P$20:$AB$20,1)),0)  + IFERROR(Y1195*INDEX(F!$P$21:$AB$33, MATCH(W1195/$AH1195, F!$O$21:$O$33,1), MATCH(E1195, F!$P$20:$AB$20,1)),0)  + IFERROR( AC1195*INDEX(F!$P$21:$AB$33, MATCH(AA1195/$AH1195, F!$O$21:$O$33,1), MATCH(E1195, F!$P$20:$AB$20,1)),)</f>
        <v>0</v>
      </c>
      <c r="AL1195" s="59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</row>
    <row r="1196" ht="15.75" hidden="1" customHeight="1">
      <c r="A1196" s="59"/>
      <c r="B1196" s="126" t="str">
        <f t="shared" ref="B1196:F1196" si="2422">IF(B1140="","",B1140)</f>
        <v/>
      </c>
      <c r="C1196" s="127" t="str">
        <f t="shared" si="2422"/>
        <v/>
      </c>
      <c r="D1196" s="128" t="str">
        <f t="shared" si="2422"/>
        <v/>
      </c>
      <c r="E1196" s="48" t="str">
        <f t="shared" si="2422"/>
        <v/>
      </c>
      <c r="F1196" s="129" t="str">
        <f t="shared" si="2422"/>
        <v/>
      </c>
      <c r="G1196" s="130" t="str">
        <f t="shared" si="2407"/>
        <v/>
      </c>
      <c r="H1196" s="34"/>
      <c r="I1196" s="34"/>
      <c r="J1196" s="65"/>
      <c r="K1196" s="130" t="str">
        <f t="shared" si="2408"/>
        <v/>
      </c>
      <c r="L1196" s="34"/>
      <c r="M1196" s="34"/>
      <c r="N1196" s="65"/>
      <c r="O1196" s="130" t="str">
        <f t="shared" si="2409"/>
        <v/>
      </c>
      <c r="P1196" s="34"/>
      <c r="Q1196" s="34"/>
      <c r="R1196" s="65"/>
      <c r="S1196" s="130" t="str">
        <f t="shared" si="2410"/>
        <v/>
      </c>
      <c r="T1196" s="34"/>
      <c r="U1196" s="34"/>
      <c r="V1196" s="65"/>
      <c r="W1196" s="130" t="str">
        <f t="shared" si="2411"/>
        <v/>
      </c>
      <c r="X1196" s="34"/>
      <c r="Y1196" s="34"/>
      <c r="Z1196" s="65"/>
      <c r="AA1196" s="130" t="str">
        <f t="shared" si="2412"/>
        <v/>
      </c>
      <c r="AB1196" s="34"/>
      <c r="AC1196" s="34"/>
      <c r="AD1196" s="65"/>
      <c r="AE1196" s="131">
        <f t="shared" si="2413"/>
        <v>0</v>
      </c>
      <c r="AF1196" s="132">
        <f t="shared" si="2394"/>
        <v>0</v>
      </c>
      <c r="AG1196" s="133">
        <f t="shared" si="2414"/>
        <v>0</v>
      </c>
      <c r="AH1196" s="76" t="str">
        <f t="shared" si="2415"/>
        <v/>
      </c>
      <c r="AI1196" s="132">
        <f> ( IF(ISNUMBER(G1196), VLOOKUP(G1196/$AH1196,F!$A1:$B101,2,1)*G1196*$H1196*$I1196,0)+IF(ISNUMBER(K1196), VLOOKUP(K1196/$AH1196,F!$A1:$B101,2,1)*K1196*$L1196*$M1196,0)+IF(ISNUMBER(O1196), VLOOKUP(O1196/$AH1196,F!$A1:$B101,2,1)*O1196*$P1196*$Q1196,0)+IF(ISNUMBER(S1196), VLOOKUP(S1196/$AH1196,F!$A1:$B101,2,1)*S1196*$T1196*$U1196,0)+IF(ISNUMBER(W1196), VLOOKUP(W1196/$AH1196,F!$A1:$B101,2,1)*W1196*$X1196*$Y1196,0)+IF(ISNUMBER(AA1196), VLOOKUP(AA1196/$AH1196,F!$A1:$B101,2,1)*AA1196*$AB1196*$AC1196,0))*IF(ISNUMBER(F1196),F1196,1)*IF(ISNUMBER(E1196),E1196,1)</f>
        <v>0</v>
      </c>
      <c r="AJ1196" s="34">
        <f t="shared" si="2416"/>
        <v>0</v>
      </c>
      <c r="AK1196" s="134">
        <f t="array" ref="AK1196">IFERROR(I1196*INDEX(F!$P$21:$AB$33, MATCH(G1196/$AH1196, F!$O$21:$O$33,1), MATCH(E1196, F!$P$20:$AB$20,1)), 0 ) +IFERROR( M1196*INDEX(F!$P$21:$AB$33, MATCH(K1196/$AH1196, F!$O$21:$O$33,1), MATCH(E1196, F!$P$20:$AB$20,1)),0) +  IFERROR( Q1196*INDEX(F!$P$21:$AB$33, MATCH(O1196/$AH1196, F!$O$21:$O$33,1), MATCH(E1196, F!$P$20:$AB$20,1)), 0) + IFERROR( U1196*INDEX(F!$P$21:$AB$33, MATCH(S1196/$AH1196, F!$O$21:$O$33,1), MATCH(E1196, F!$P$20:$AB$20,1)),0)  + IFERROR(Y1196*INDEX(F!$P$21:$AB$33, MATCH(W1196/$AH1196, F!$O$21:$O$33,1), MATCH(E1196, F!$P$20:$AB$20,1)),0)  + IFERROR( AC1196*INDEX(F!$P$21:$AB$33, MATCH(AA1196/$AH1196, F!$O$21:$O$33,1), MATCH(E1196, F!$P$20:$AB$20,1)),)</f>
        <v>0</v>
      </c>
      <c r="AL1196" s="59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</row>
    <row r="1197" ht="15.75" hidden="1" customHeight="1">
      <c r="A1197" s="98"/>
      <c r="B1197" s="150"/>
      <c r="C1197" s="151"/>
      <c r="D1197" s="152"/>
      <c r="E1197" s="102">
        <f>ROUND(IFERROR(SUMPRODUCT(AJ1189:AJ1196,E1189:E1196)/AJ1197,0),3)</f>
        <v>0</v>
      </c>
      <c r="F1197" s="153"/>
      <c r="G1197" s="154"/>
      <c r="H1197" s="155"/>
      <c r="I1197" s="155"/>
      <c r="J1197" s="156"/>
      <c r="K1197" s="154"/>
      <c r="L1197" s="155"/>
      <c r="M1197" s="155"/>
      <c r="N1197" s="156"/>
      <c r="O1197" s="154"/>
      <c r="P1197" s="155"/>
      <c r="Q1197" s="155"/>
      <c r="R1197" s="156"/>
      <c r="S1197" s="154"/>
      <c r="T1197" s="155"/>
      <c r="U1197" s="155"/>
      <c r="V1197" s="156"/>
      <c r="W1197" s="154"/>
      <c r="X1197" s="155"/>
      <c r="Y1197" s="155"/>
      <c r="Z1197" s="156"/>
      <c r="AA1197" s="154"/>
      <c r="AB1197" s="155"/>
      <c r="AC1197" s="155"/>
      <c r="AD1197" s="156"/>
      <c r="AE1197" s="107">
        <f>SUM(AE1189:AE1196)</f>
        <v>0</v>
      </c>
      <c r="AF1197" s="108">
        <f t="shared" si="2394"/>
        <v>0</v>
      </c>
      <c r="AG1197" s="109">
        <f>IFERROR(  SUMPRODUCT(AG1189:AG1196,AJ1189:AJ1196)/AJ1197,0)</f>
        <v>0</v>
      </c>
      <c r="AH1197" s="157"/>
      <c r="AI1197" s="111">
        <f t="shared" ref="AI1197:AJ1197" si="2423">SUM(AI1189:AI1196)</f>
        <v>0</v>
      </c>
      <c r="AJ1197" s="111">
        <f t="shared" si="2423"/>
        <v>0</v>
      </c>
      <c r="AK1197" s="112">
        <f>IF(SUM(AK1189:AK1196)=0,TIME(,0,),TIME(,SUM(AK1189:AK1196)+F!$V$37,))</f>
        <v>0</v>
      </c>
      <c r="AL1197" s="98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</row>
    <row r="1198" ht="15.75" hidden="1" customHeight="1">
      <c r="A1198" s="158">
        <f>A1199</f>
        <v>43931</v>
      </c>
      <c r="B1198" s="159" t="str">
        <f t="shared" ref="B1198:F1198" si="2424">IF(B1142="","",B1142)</f>
        <v>Тяжелая</v>
      </c>
      <c r="C1198" s="160" t="str">
        <f t="shared" si="2424"/>
        <v>ПР</v>
      </c>
      <c r="D1198" s="161" t="str">
        <f t="shared" si="2424"/>
        <v>Присед</v>
      </c>
      <c r="E1198" s="29">
        <f t="shared" si="2424"/>
        <v>1.2</v>
      </c>
      <c r="F1198" s="162" t="str">
        <f t="shared" si="2424"/>
        <v/>
      </c>
      <c r="G1198" s="163" t="str">
        <f t="shared" ref="G1198:G1205" si="2426">IF(J1198&lt;&gt;0, IFERROR(IF( $F1198=2,  MROUND($AH1198*J1198,1),    IF( OR($F1198="",$F1198=1),   MROUND($AH1198*J1198,2.5),  MROUND($AH1198*J1198, 0.1))), "" ), "")</f>
        <v/>
      </c>
      <c r="H1198" s="164"/>
      <c r="I1198" s="164"/>
      <c r="J1198" s="165"/>
      <c r="K1198" s="163" t="str">
        <f t="shared" ref="K1198:K1205" si="2427">IF(N1198&lt;&gt;0, IFERROR(IF( $F1198=2,  MROUND($AH1198*N1198,1),    IF( OR($F1198="",$F1198=1),   MROUND($AH1198*N1198,2.5),  MROUND($AH1198*N1198, 0.1))), "" ), "")</f>
        <v/>
      </c>
      <c r="L1198" s="164"/>
      <c r="M1198" s="164"/>
      <c r="N1198" s="165"/>
      <c r="O1198" s="163" t="str">
        <f t="shared" ref="O1198:O1205" si="2428">IF(R1198&lt;&gt;0, IFERROR(IF( $F1198=2,  MROUND($AH1198*R1198,1),    IF( OR($F1198="",$F1198=1),   MROUND($AH1198*R1198,2.5),  MROUND($AH1198*R1198, 0.1))), "" ), "")</f>
        <v/>
      </c>
      <c r="P1198" s="164"/>
      <c r="Q1198" s="164"/>
      <c r="R1198" s="165"/>
      <c r="S1198" s="163" t="str">
        <f t="shared" ref="S1198:S1205" si="2429">IF(V1198&lt;&gt;0, IFERROR(IF( $F1198=2,  MROUND($AH1198*V1198,1),    IF( OR($F1198="",$F1198=1),   MROUND($AH1198*V1198,2.5),  MROUND($AH1198*V1198, 0.1))), "" ), "")</f>
        <v/>
      </c>
      <c r="T1198" s="164"/>
      <c r="U1198" s="164"/>
      <c r="V1198" s="165"/>
      <c r="W1198" s="163" t="str">
        <f t="shared" ref="W1198:W1205" si="2430">IF(Z1198&lt;&gt;0, IFERROR(IF( $F1198=2,  MROUND($AH1198*Z1198,1),    IF( OR($F1198="",$F1198=1),   MROUND($AH1198*Z1198,2.5),  MROUND($AH1198*Z1198, 0.1))), "" ), "")</f>
        <v/>
      </c>
      <c r="X1198" s="164"/>
      <c r="Y1198" s="164"/>
      <c r="Z1198" s="165"/>
      <c r="AA1198" s="163" t="str">
        <f t="shared" ref="AA1198:AA1205" si="2431">IF(AD1198&lt;&gt;0, IFERROR(IF( $F1198=2,  MROUND($AH1198*AD1198,1),    IF( OR($F1198="",$F1198=1),   MROUND($AH1198*AD1198,2.5),  MROUND($AH1198*AD1198, 0.1))), "" ), "")</f>
        <v/>
      </c>
      <c r="AB1198" s="164"/>
      <c r="AC1198" s="164"/>
      <c r="AD1198" s="165"/>
      <c r="AE1198" s="166">
        <f t="shared" ref="AE1198:AE1205" si="2432">(IF(ISNUMBER(G1198),G1198,0)*H1198*I1198+IF(ISNUMBER(K1198),K1198,1)*L1198*M1198+IF(ISNUMBER(O1198),O1198,1)*P1198*Q1198+IF(ISNUMBER(S1198),S1198,1)*T1198*U1198+IF(ISNUMBER(W1198),W1198,1)*X1198*Y1198+IF(ISNUMBER(AA1198),AA1198,1)*AB1198*AC1198)*IF(ISNUMBER(F1198),F1198,1)</f>
        <v>0</v>
      </c>
      <c r="AF1198" s="167">
        <f t="shared" si="2394"/>
        <v>0</v>
      </c>
      <c r="AG1198" s="168">
        <f t="shared" ref="AG1198:AG1205" si="2433">IFERROR((AF1198/(AH1198*IF(ISNUMBER(F1198),F1198,1))),0)</f>
        <v>0</v>
      </c>
      <c r="AH1198" s="169">
        <f t="shared" ref="AH1198:AH1205" si="2434">IF(ISNUMBER(AH1142), AH1142+(AH1142*$AH$1178),"")</f>
        <v>204.6149564</v>
      </c>
      <c r="AI1198" s="167">
        <f> ( IF(ISNUMBER(G1198), VLOOKUP(G1198/$AH1198,F!$A1:$B101,2,1)*G1198*$H1198*$I1198,0)+IF(ISNUMBER(K1198), VLOOKUP(K1198/$AH1198,F!$A1:$B101,2,1)*K1198*$L1198*$M1198,0)+IF(ISNUMBER(O1198), VLOOKUP(O1198/$AH1198,F!$A1:$B101,2,1)*O1198*$P1198*$Q1198,0)+IF(ISNUMBER(S1198), VLOOKUP(S1198/$AH1198,F!$A1:$B101,2,1)*S1198*$T1198*$U1198,0)+IF(ISNUMBER(W1198), VLOOKUP(W1198/$AH1198,F!$A1:$B101,2,1)*W1198*$X1198*$Y1198,0)+IF(ISNUMBER(AA1198), VLOOKUP(AA1198/$AH1198,F!$A1:$B101,2,1)*AA1198*$AB1198*$AC1198,0))*IF(ISNUMBER(F1198),F1198,1)*IF(ISNUMBER(E1198),E1198,1)</f>
        <v>0</v>
      </c>
      <c r="AJ1198" s="164">
        <f t="shared" ref="AJ1198:AJ1205" si="2435">H1198*I1198+L1198*M1198+P1198*Q1198+T1198*U1198+X1198*Y1198+AB1198*AC1198</f>
        <v>0</v>
      </c>
      <c r="AK1198" s="170">
        <f t="array" ref="AK1198">IFERROR(I1198*INDEX(F!$P$21:$AB$33, MATCH(G1198/$AH1198, F!$O$21:$O$33,1), MATCH(E1198, F!$P$20:$AB$20,1)), 0 ) +IFERROR( M1198*INDEX(F!$P$21:$AB$33, MATCH(K1198/$AH1198, F!$O$21:$O$33,1), MATCH(E1198, F!$P$20:$AB$20,1)),0) +  IFERROR( Q1198*INDEX(F!$P$21:$AB$33, MATCH(O1198/$AH1198, F!$O$21:$O$33,1), MATCH(E1198, F!$P$20:$AB$20,1)), 0) + IFERROR( U1198*INDEX(F!$P$21:$AB$33, MATCH(S1198/$AH1198, F!$O$21:$O$33,1), MATCH(E1198, F!$P$20:$AB$20,1)),0)  + IFERROR(Y1198*INDEX(F!$P$21:$AB$33, MATCH(W1198/$AH1198, F!$O$21:$O$33,1), MATCH(E1198, F!$P$20:$AB$20,1)),0)  + IFERROR( AC1198*INDEX(F!$P$21:$AB$33, MATCH(AA1198/$AH1198, F!$O$21:$O$33,1), MATCH(E1198, F!$P$20:$AB$20,1)),)</f>
        <v>0</v>
      </c>
      <c r="AL1198" s="42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</row>
    <row r="1199" ht="15.75" hidden="1" customHeight="1">
      <c r="A1199" s="44">
        <f>A1143+A1122</f>
        <v>43931</v>
      </c>
      <c r="B1199" s="135" t="str">
        <f t="shared" ref="B1199:F1199" si="2425">IF(B1143="","",B1143)</f>
        <v>Тяжелая</v>
      </c>
      <c r="C1199" s="136" t="str">
        <f t="shared" si="2425"/>
        <v>ЖМ</v>
      </c>
      <c r="D1199" s="137" t="str">
        <f t="shared" si="2425"/>
        <v>Жим лежа</v>
      </c>
      <c r="E1199" s="48">
        <f t="shared" si="2425"/>
        <v>1</v>
      </c>
      <c r="F1199" s="138" t="str">
        <f t="shared" si="2425"/>
        <v/>
      </c>
      <c r="G1199" s="139" t="str">
        <f t="shared" si="2426"/>
        <v/>
      </c>
      <c r="H1199" s="140"/>
      <c r="I1199" s="140"/>
      <c r="J1199" s="141"/>
      <c r="K1199" s="139" t="str">
        <f t="shared" si="2427"/>
        <v/>
      </c>
      <c r="L1199" s="140"/>
      <c r="M1199" s="140"/>
      <c r="N1199" s="141"/>
      <c r="O1199" s="139" t="str">
        <f t="shared" si="2428"/>
        <v/>
      </c>
      <c r="P1199" s="140"/>
      <c r="Q1199" s="140"/>
      <c r="R1199" s="141"/>
      <c r="S1199" s="139" t="str">
        <f t="shared" si="2429"/>
        <v/>
      </c>
      <c r="T1199" s="140"/>
      <c r="U1199" s="140"/>
      <c r="V1199" s="141"/>
      <c r="W1199" s="139" t="str">
        <f t="shared" si="2430"/>
        <v/>
      </c>
      <c r="X1199" s="140"/>
      <c r="Y1199" s="140"/>
      <c r="Z1199" s="141"/>
      <c r="AA1199" s="139" t="str">
        <f t="shared" si="2431"/>
        <v/>
      </c>
      <c r="AB1199" s="140"/>
      <c r="AC1199" s="140"/>
      <c r="AD1199" s="141"/>
      <c r="AE1199" s="142">
        <f t="shared" si="2432"/>
        <v>0</v>
      </c>
      <c r="AF1199" s="143">
        <f t="shared" si="2394"/>
        <v>0</v>
      </c>
      <c r="AG1199" s="144">
        <f t="shared" si="2433"/>
        <v>0</v>
      </c>
      <c r="AH1199" s="76">
        <f t="shared" si="2434"/>
        <v>143.9883027</v>
      </c>
      <c r="AI1199" s="143">
        <f> ( IF(ISNUMBER(G1199), VLOOKUP(G1199/$AH1199,F!$A1:$B101,2,1)*G1199*$H1199*$I1199,0)+IF(ISNUMBER(K1199), VLOOKUP(K1199/$AH1199,F!$A1:$B101,2,1)*K1199*$L1199*$M1199,0)+IF(ISNUMBER(O1199), VLOOKUP(O1199/$AH1199,F!$A1:$B101,2,1)*O1199*$P1199*$Q1199,0)+IF(ISNUMBER(S1199), VLOOKUP(S1199/$AH1199,F!$A1:$B101,2,1)*S1199*$T1199*$U1199,0)+IF(ISNUMBER(W1199), VLOOKUP(W1199/$AH1199,F!$A1:$B101,2,1)*W1199*$X1199*$Y1199,0)+IF(ISNUMBER(AA1199), VLOOKUP(AA1199/$AH1199,F!$A1:$B101,2,1)*AA1199*$AB1199*$AC1199,0))*IF(ISNUMBER(F1199),F1199,1)*IF(ISNUMBER(E1199),E1199,1)</f>
        <v>0</v>
      </c>
      <c r="AJ1199" s="140">
        <f t="shared" si="2435"/>
        <v>0</v>
      </c>
      <c r="AK1199" s="145">
        <f t="array" ref="AK1199">IFERROR(I1199*INDEX(F!$P$21:$AB$33, MATCH(G1199/$AH1199, F!$O$21:$O$33,1), MATCH(E1199, F!$P$20:$AB$20,1)), 0 ) +IFERROR( M1199*INDEX(F!$P$21:$AB$33, MATCH(K1199/$AH1199, F!$O$21:$O$33,1), MATCH(E1199, F!$P$20:$AB$20,1)),0) +  IFERROR( Q1199*INDEX(F!$P$21:$AB$33, MATCH(O1199/$AH1199, F!$O$21:$O$33,1), MATCH(E1199, F!$P$20:$AB$20,1)), 0) + IFERROR( U1199*INDEX(F!$P$21:$AB$33, MATCH(S1199/$AH1199, F!$O$21:$O$33,1), MATCH(E1199, F!$P$20:$AB$20,1)),0)  + IFERROR(Y1199*INDEX(F!$P$21:$AB$33, MATCH(W1199/$AH1199, F!$O$21:$O$33,1), MATCH(E1199, F!$P$20:$AB$20,1)),0)  + IFERROR( AC1199*INDEX(F!$P$21:$AB$33, MATCH(AA1199/$AH1199, F!$O$21:$O$33,1), MATCH(E1199, F!$P$20:$AB$20,1)),)</f>
        <v>0</v>
      </c>
      <c r="AL1199" s="59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</row>
    <row r="1200" ht="15.75" hidden="1" customHeight="1">
      <c r="A1200" s="59"/>
      <c r="B1200" s="173" t="str">
        <f t="shared" ref="B1200:F1200" si="2436">IF(B1144="","",B1144)</f>
        <v>Средняя</v>
      </c>
      <c r="C1200" s="174" t="str">
        <f t="shared" si="2436"/>
        <v>ПР</v>
      </c>
      <c r="D1200" s="175" t="str">
        <f t="shared" si="2436"/>
        <v>Присед</v>
      </c>
      <c r="E1200" s="48">
        <f t="shared" si="2436"/>
        <v>1.2</v>
      </c>
      <c r="F1200" s="176" t="str">
        <f t="shared" si="2436"/>
        <v/>
      </c>
      <c r="G1200" s="177" t="str">
        <f t="shared" si="2426"/>
        <v/>
      </c>
      <c r="H1200" s="178"/>
      <c r="I1200" s="178"/>
      <c r="J1200" s="179"/>
      <c r="K1200" s="177" t="str">
        <f t="shared" si="2427"/>
        <v/>
      </c>
      <c r="L1200" s="178"/>
      <c r="M1200" s="178"/>
      <c r="N1200" s="179"/>
      <c r="O1200" s="177" t="str">
        <f t="shared" si="2428"/>
        <v/>
      </c>
      <c r="P1200" s="178"/>
      <c r="Q1200" s="178"/>
      <c r="R1200" s="179"/>
      <c r="S1200" s="177" t="str">
        <f t="shared" si="2429"/>
        <v/>
      </c>
      <c r="T1200" s="178"/>
      <c r="U1200" s="178"/>
      <c r="V1200" s="179"/>
      <c r="W1200" s="177" t="str">
        <f t="shared" si="2430"/>
        <v/>
      </c>
      <c r="X1200" s="178"/>
      <c r="Y1200" s="178"/>
      <c r="Z1200" s="179"/>
      <c r="AA1200" s="177" t="str">
        <f t="shared" si="2431"/>
        <v/>
      </c>
      <c r="AB1200" s="178"/>
      <c r="AC1200" s="178"/>
      <c r="AD1200" s="179"/>
      <c r="AE1200" s="180">
        <f t="shared" si="2432"/>
        <v>0</v>
      </c>
      <c r="AF1200" s="181">
        <f t="shared" si="2394"/>
        <v>0</v>
      </c>
      <c r="AG1200" s="182">
        <f t="shared" si="2433"/>
        <v>0</v>
      </c>
      <c r="AH1200" s="76">
        <f t="shared" si="2434"/>
        <v>204.6149564</v>
      </c>
      <c r="AI1200" s="181">
        <f> ( IF(ISNUMBER(G1200), VLOOKUP(G1200/$AH1200,F!$A1:$B101,2,1)*G1200*$H1200*$I1200,0)+IF(ISNUMBER(K1200), VLOOKUP(K1200/$AH1200,F!$A1:$B101,2,1)*K1200*$L1200*$M1200,0)+IF(ISNUMBER(O1200), VLOOKUP(O1200/$AH1200,F!$A1:$B101,2,1)*O1200*$P1200*$Q1200,0)+IF(ISNUMBER(S1200), VLOOKUP(S1200/$AH1200,F!$A1:$B101,2,1)*S1200*$T1200*$U1200,0)+IF(ISNUMBER(W1200), VLOOKUP(W1200/$AH1200,F!$A1:$B101,2,1)*W1200*$X1200*$Y1200,0)+IF(ISNUMBER(AA1200), VLOOKUP(AA1200/$AH1200,F!$A1:$B101,2,1)*AA1200*$AB1200*$AC1200,0))*IF(ISNUMBER(F1200),F1200,1)*IF(ISNUMBER(E1200),E1200,1)</f>
        <v>0</v>
      </c>
      <c r="AJ1200" s="178">
        <f t="shared" si="2435"/>
        <v>0</v>
      </c>
      <c r="AK1200" s="183">
        <f t="array" ref="AK1200">IFERROR(I1200*INDEX(F!$P$21:$AB$33, MATCH(G1200/$AH1200, F!$O$21:$O$33,1), MATCH(E1200, F!$P$20:$AB$20,1)), 0 ) +IFERROR( M1200*INDEX(F!$P$21:$AB$33, MATCH(K1200/$AH1200, F!$O$21:$O$33,1), MATCH(E1200, F!$P$20:$AB$20,1)),0) +  IFERROR( Q1200*INDEX(F!$P$21:$AB$33, MATCH(O1200/$AH1200, F!$O$21:$O$33,1), MATCH(E1200, F!$P$20:$AB$20,1)), 0) + IFERROR( U1200*INDEX(F!$P$21:$AB$33, MATCH(S1200/$AH1200, F!$O$21:$O$33,1), MATCH(E1200, F!$P$20:$AB$20,1)),0)  + IFERROR(Y1200*INDEX(F!$P$21:$AB$33, MATCH(W1200/$AH1200, F!$O$21:$O$33,1), MATCH(E1200, F!$P$20:$AB$20,1)),0)  + IFERROR( AC1200*INDEX(F!$P$21:$AB$33, MATCH(AA1200/$AH1200, F!$O$21:$O$33,1), MATCH(E1200, F!$P$20:$AB$20,1)),)</f>
        <v>0</v>
      </c>
      <c r="AL1200" s="59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</row>
    <row r="1201" ht="15.75" hidden="1" customHeight="1">
      <c r="A1201" s="59"/>
      <c r="B1201" s="135" t="str">
        <f t="shared" ref="B1201:F1201" si="2437">IF(B1145="","",B1145)</f>
        <v>Средняя</v>
      </c>
      <c r="C1201" s="136" t="str">
        <f t="shared" si="2437"/>
        <v>ЖМ</v>
      </c>
      <c r="D1201" s="137" t="str">
        <f t="shared" si="2437"/>
        <v>Жим на наклонной скамье</v>
      </c>
      <c r="E1201" s="48">
        <f t="shared" si="2437"/>
        <v>1</v>
      </c>
      <c r="F1201" s="138" t="str">
        <f t="shared" si="2437"/>
        <v/>
      </c>
      <c r="G1201" s="139" t="str">
        <f t="shared" si="2426"/>
        <v/>
      </c>
      <c r="H1201" s="140"/>
      <c r="I1201" s="140"/>
      <c r="J1201" s="141"/>
      <c r="K1201" s="139" t="str">
        <f t="shared" si="2427"/>
        <v/>
      </c>
      <c r="L1201" s="140"/>
      <c r="M1201" s="140"/>
      <c r="N1201" s="141"/>
      <c r="O1201" s="139" t="str">
        <f t="shared" si="2428"/>
        <v/>
      </c>
      <c r="P1201" s="140"/>
      <c r="Q1201" s="140"/>
      <c r="R1201" s="141"/>
      <c r="S1201" s="139" t="str">
        <f t="shared" si="2429"/>
        <v/>
      </c>
      <c r="T1201" s="140"/>
      <c r="U1201" s="140"/>
      <c r="V1201" s="141"/>
      <c r="W1201" s="139" t="str">
        <f t="shared" si="2430"/>
        <v/>
      </c>
      <c r="X1201" s="140"/>
      <c r="Y1201" s="140"/>
      <c r="Z1201" s="141"/>
      <c r="AA1201" s="139" t="str">
        <f t="shared" si="2431"/>
        <v/>
      </c>
      <c r="AB1201" s="140"/>
      <c r="AC1201" s="140"/>
      <c r="AD1201" s="141"/>
      <c r="AE1201" s="142">
        <f t="shared" si="2432"/>
        <v>0</v>
      </c>
      <c r="AF1201" s="143">
        <f t="shared" si="2394"/>
        <v>0</v>
      </c>
      <c r="AG1201" s="144">
        <f t="shared" si="2433"/>
        <v>0</v>
      </c>
      <c r="AH1201" s="76">
        <f t="shared" si="2434"/>
        <v>115.1906421</v>
      </c>
      <c r="AI1201" s="143">
        <f> ( IF(ISNUMBER(G1201), VLOOKUP(G1201/$AH1201,F!$A1:$B101,2,1)*G1201*$H1201*$I1201,0)+IF(ISNUMBER(K1201), VLOOKUP(K1201/$AH1201,F!$A1:$B101,2,1)*K1201*$L1201*$M1201,0)+IF(ISNUMBER(O1201), VLOOKUP(O1201/$AH1201,F!$A1:$B101,2,1)*O1201*$P1201*$Q1201,0)+IF(ISNUMBER(S1201), VLOOKUP(S1201/$AH1201,F!$A1:$B101,2,1)*S1201*$T1201*$U1201,0)+IF(ISNUMBER(W1201), VLOOKUP(W1201/$AH1201,F!$A1:$B101,2,1)*W1201*$X1201*$Y1201,0)+IF(ISNUMBER(AA1201), VLOOKUP(AA1201/$AH1201,F!$A1:$B101,2,1)*AA1201*$AB1201*$AC1201,0))*IF(ISNUMBER(F1201),F1201,1)*IF(ISNUMBER(E1201),E1201,1)</f>
        <v>0</v>
      </c>
      <c r="AJ1201" s="140">
        <f t="shared" si="2435"/>
        <v>0</v>
      </c>
      <c r="AK1201" s="145">
        <f t="array" ref="AK1201">IFERROR(I1201*INDEX(F!$P$21:$AB$33, MATCH(G1201/$AH1201, F!$O$21:$O$33,1), MATCH(E1201, F!$P$20:$AB$20,1)), 0 ) +IFERROR( M1201*INDEX(F!$P$21:$AB$33, MATCH(K1201/$AH1201, F!$O$21:$O$33,1), MATCH(E1201, F!$P$20:$AB$20,1)),0) +  IFERROR( Q1201*INDEX(F!$P$21:$AB$33, MATCH(O1201/$AH1201, F!$O$21:$O$33,1), MATCH(E1201, F!$P$20:$AB$20,1)), 0) + IFERROR( U1201*INDEX(F!$P$21:$AB$33, MATCH(S1201/$AH1201, F!$O$21:$O$33,1), MATCH(E1201, F!$P$20:$AB$20,1)),0)  + IFERROR(Y1201*INDEX(F!$P$21:$AB$33, MATCH(W1201/$AH1201, F!$O$21:$O$33,1), MATCH(E1201, F!$P$20:$AB$20,1)),0)  + IFERROR( AC1201*INDEX(F!$P$21:$AB$33, MATCH(AA1201/$AH1201, F!$O$21:$O$33,1), MATCH(E1201, F!$P$20:$AB$20,1)),)</f>
        <v>0</v>
      </c>
      <c r="AL1201" s="59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</row>
    <row r="1202" ht="15.75" hidden="1" customHeight="1">
      <c r="A1202" s="59"/>
      <c r="B1202" s="173" t="str">
        <f t="shared" ref="B1202:F1202" si="2438">IF(B1146="","",B1146)</f>
        <v>Средняя</v>
      </c>
      <c r="C1202" s="174" t="str">
        <f t="shared" si="2438"/>
        <v>ОФП</v>
      </c>
      <c r="D1202" s="175" t="str">
        <f t="shared" si="2438"/>
        <v>Бицепс стоя</v>
      </c>
      <c r="E1202" s="48">
        <f t="shared" si="2438"/>
        <v>0.5</v>
      </c>
      <c r="F1202" s="176" t="str">
        <f t="shared" si="2438"/>
        <v/>
      </c>
      <c r="G1202" s="177" t="str">
        <f t="shared" si="2426"/>
        <v/>
      </c>
      <c r="H1202" s="178"/>
      <c r="I1202" s="178"/>
      <c r="J1202" s="179"/>
      <c r="K1202" s="177" t="str">
        <f t="shared" si="2427"/>
        <v/>
      </c>
      <c r="L1202" s="178"/>
      <c r="M1202" s="178"/>
      <c r="N1202" s="179"/>
      <c r="O1202" s="177" t="str">
        <f t="shared" si="2428"/>
        <v/>
      </c>
      <c r="P1202" s="178"/>
      <c r="Q1202" s="178"/>
      <c r="R1202" s="179"/>
      <c r="S1202" s="177" t="str">
        <f t="shared" si="2429"/>
        <v/>
      </c>
      <c r="T1202" s="178"/>
      <c r="U1202" s="178"/>
      <c r="V1202" s="179"/>
      <c r="W1202" s="177" t="str">
        <f t="shared" si="2430"/>
        <v/>
      </c>
      <c r="X1202" s="178"/>
      <c r="Y1202" s="178"/>
      <c r="Z1202" s="179"/>
      <c r="AA1202" s="177" t="str">
        <f t="shared" si="2431"/>
        <v/>
      </c>
      <c r="AB1202" s="178"/>
      <c r="AC1202" s="178"/>
      <c r="AD1202" s="179"/>
      <c r="AE1202" s="180">
        <f t="shared" si="2432"/>
        <v>0</v>
      </c>
      <c r="AF1202" s="181">
        <f t="shared" si="2394"/>
        <v>0</v>
      </c>
      <c r="AG1202" s="182">
        <f t="shared" si="2433"/>
        <v>0</v>
      </c>
      <c r="AH1202" s="76" t="str">
        <f t="shared" si="2434"/>
        <v/>
      </c>
      <c r="AI1202" s="181">
        <f> ( IF(ISNUMBER(G1202), VLOOKUP(G1202/$AH1202,F!$A1:$B101,2,1)*G1202*$H1202*$I1202,0)+IF(ISNUMBER(K1202), VLOOKUP(K1202/$AH1202,F!$A1:$B101,2,1)*K1202*$L1202*$M1202,0)+IF(ISNUMBER(O1202), VLOOKUP(O1202/$AH1202,F!$A1:$B101,2,1)*O1202*$P1202*$Q1202,0)+IF(ISNUMBER(S1202), VLOOKUP(S1202/$AH1202,F!$A1:$B101,2,1)*S1202*$T1202*$U1202,0)+IF(ISNUMBER(W1202), VLOOKUP(W1202/$AH1202,F!$A1:$B101,2,1)*W1202*$X1202*$Y1202,0)+IF(ISNUMBER(AA1202), VLOOKUP(AA1202/$AH1202,F!$A1:$B101,2,1)*AA1202*$AB1202*$AC1202,0))*IF(ISNUMBER(F1202),F1202,1)*IF(ISNUMBER(E1202),E1202,1)</f>
        <v>0</v>
      </c>
      <c r="AJ1202" s="178">
        <f t="shared" si="2435"/>
        <v>0</v>
      </c>
      <c r="AK1202" s="183">
        <f t="array" ref="AK1202">IFERROR(I1202*INDEX(F!$P$21:$AB$33, MATCH(G1202/$AH1202, F!$O$21:$O$33,1), MATCH(E1202, F!$P$20:$AB$20,1)), 0 ) +IFERROR( M1202*INDEX(F!$P$21:$AB$33, MATCH(K1202/$AH1202, F!$O$21:$O$33,1), MATCH(E1202, F!$P$20:$AB$20,1)),0) +  IFERROR( Q1202*INDEX(F!$P$21:$AB$33, MATCH(O1202/$AH1202, F!$O$21:$O$33,1), MATCH(E1202, F!$P$20:$AB$20,1)), 0) + IFERROR( U1202*INDEX(F!$P$21:$AB$33, MATCH(S1202/$AH1202, F!$O$21:$O$33,1), MATCH(E1202, F!$P$20:$AB$20,1)),0)  + IFERROR(Y1202*INDEX(F!$P$21:$AB$33, MATCH(W1202/$AH1202, F!$O$21:$O$33,1), MATCH(E1202, F!$P$20:$AB$20,1)),0)  + IFERROR( AC1202*INDEX(F!$P$21:$AB$33, MATCH(AA1202/$AH1202, F!$O$21:$O$33,1), MATCH(E1202, F!$P$20:$AB$20,1)),)</f>
        <v>0</v>
      </c>
      <c r="AL1202" s="59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</row>
    <row r="1203" ht="15.75" hidden="1" customHeight="1">
      <c r="A1203" s="59"/>
      <c r="B1203" s="135" t="str">
        <f t="shared" ref="B1203:F1203" si="2439">IF(B1147="","",B1147)</f>
        <v/>
      </c>
      <c r="C1203" s="136" t="str">
        <f t="shared" si="2439"/>
        <v/>
      </c>
      <c r="D1203" s="137" t="str">
        <f t="shared" si="2439"/>
        <v/>
      </c>
      <c r="E1203" s="48" t="str">
        <f t="shared" si="2439"/>
        <v/>
      </c>
      <c r="F1203" s="138" t="str">
        <f t="shared" si="2439"/>
        <v/>
      </c>
      <c r="G1203" s="139" t="str">
        <f t="shared" si="2426"/>
        <v/>
      </c>
      <c r="H1203" s="140"/>
      <c r="I1203" s="140"/>
      <c r="J1203" s="141"/>
      <c r="K1203" s="139" t="str">
        <f t="shared" si="2427"/>
        <v/>
      </c>
      <c r="L1203" s="140"/>
      <c r="M1203" s="140"/>
      <c r="N1203" s="141"/>
      <c r="O1203" s="139" t="str">
        <f t="shared" si="2428"/>
        <v/>
      </c>
      <c r="P1203" s="140"/>
      <c r="Q1203" s="140"/>
      <c r="R1203" s="141"/>
      <c r="S1203" s="139" t="str">
        <f t="shared" si="2429"/>
        <v/>
      </c>
      <c r="T1203" s="140"/>
      <c r="U1203" s="140"/>
      <c r="V1203" s="141"/>
      <c r="W1203" s="139" t="str">
        <f t="shared" si="2430"/>
        <v/>
      </c>
      <c r="X1203" s="140"/>
      <c r="Y1203" s="140"/>
      <c r="Z1203" s="141"/>
      <c r="AA1203" s="139" t="str">
        <f t="shared" si="2431"/>
        <v/>
      </c>
      <c r="AB1203" s="140"/>
      <c r="AC1203" s="140"/>
      <c r="AD1203" s="141"/>
      <c r="AE1203" s="142">
        <f t="shared" si="2432"/>
        <v>0</v>
      </c>
      <c r="AF1203" s="143">
        <f t="shared" si="2394"/>
        <v>0</v>
      </c>
      <c r="AG1203" s="144">
        <f t="shared" si="2433"/>
        <v>0</v>
      </c>
      <c r="AH1203" s="76" t="str">
        <f t="shared" si="2434"/>
        <v/>
      </c>
      <c r="AI1203" s="143">
        <f> ( IF(ISNUMBER(G1203), VLOOKUP(G1203/$AH1203,F!$A1:$B101,2,1)*G1203*$H1203*$I1203,0)+IF(ISNUMBER(K1203), VLOOKUP(K1203/$AH1203,F!$A1:$B101,2,1)*K1203*$L1203*$M1203,0)+IF(ISNUMBER(O1203), VLOOKUP(O1203/$AH1203,F!$A1:$B101,2,1)*O1203*$P1203*$Q1203,0)+IF(ISNUMBER(S1203), VLOOKUP(S1203/$AH1203,F!$A1:$B101,2,1)*S1203*$T1203*$U1203,0)+IF(ISNUMBER(W1203), VLOOKUP(W1203/$AH1203,F!$A1:$B101,2,1)*W1203*$X1203*$Y1203,0)+IF(ISNUMBER(AA1203), VLOOKUP(AA1203/$AH1203,F!$A1:$B101,2,1)*AA1203*$AB1203*$AC1203,0))*IF(ISNUMBER(F1203),F1203,1)*IF(ISNUMBER(E1203),E1203,1)</f>
        <v>0</v>
      </c>
      <c r="AJ1203" s="140">
        <f t="shared" si="2435"/>
        <v>0</v>
      </c>
      <c r="AK1203" s="145">
        <f t="array" ref="AK1203">IFERROR(I1203*INDEX(F!$P$21:$AB$33, MATCH(G1203/$AH1203, F!$O$21:$O$33,1), MATCH(E1203, F!$P$20:$AB$20,1)), 0 ) +IFERROR( M1203*INDEX(F!$P$21:$AB$33, MATCH(K1203/$AH1203, F!$O$21:$O$33,1), MATCH(E1203, F!$P$20:$AB$20,1)),0) +  IFERROR( Q1203*INDEX(F!$P$21:$AB$33, MATCH(O1203/$AH1203, F!$O$21:$O$33,1), MATCH(E1203, F!$P$20:$AB$20,1)), 0) + IFERROR( U1203*INDEX(F!$P$21:$AB$33, MATCH(S1203/$AH1203, F!$O$21:$O$33,1), MATCH(E1203, F!$P$20:$AB$20,1)),0)  + IFERROR(Y1203*INDEX(F!$P$21:$AB$33, MATCH(W1203/$AH1203, F!$O$21:$O$33,1), MATCH(E1203, F!$P$20:$AB$20,1)),0)  + IFERROR( AC1203*INDEX(F!$P$21:$AB$33, MATCH(AA1203/$AH1203, F!$O$21:$O$33,1), MATCH(E1203, F!$P$20:$AB$20,1)),)</f>
        <v>0</v>
      </c>
      <c r="AL1203" s="59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</row>
    <row r="1204" ht="15.75" hidden="1" customHeight="1">
      <c r="A1204" s="59"/>
      <c r="B1204" s="173" t="str">
        <f t="shared" ref="B1204:F1204" si="2440">IF(B1148="","",B1148)</f>
        <v/>
      </c>
      <c r="C1204" s="174" t="str">
        <f t="shared" si="2440"/>
        <v/>
      </c>
      <c r="D1204" s="175" t="str">
        <f t="shared" si="2440"/>
        <v/>
      </c>
      <c r="E1204" s="48" t="str">
        <f t="shared" si="2440"/>
        <v/>
      </c>
      <c r="F1204" s="176" t="str">
        <f t="shared" si="2440"/>
        <v/>
      </c>
      <c r="G1204" s="177" t="str">
        <f t="shared" si="2426"/>
        <v/>
      </c>
      <c r="H1204" s="178"/>
      <c r="I1204" s="178"/>
      <c r="J1204" s="179"/>
      <c r="K1204" s="177" t="str">
        <f t="shared" si="2427"/>
        <v/>
      </c>
      <c r="L1204" s="178"/>
      <c r="M1204" s="178"/>
      <c r="N1204" s="179"/>
      <c r="O1204" s="177" t="str">
        <f t="shared" si="2428"/>
        <v/>
      </c>
      <c r="P1204" s="178"/>
      <c r="Q1204" s="178"/>
      <c r="R1204" s="179"/>
      <c r="S1204" s="177" t="str">
        <f t="shared" si="2429"/>
        <v/>
      </c>
      <c r="T1204" s="178"/>
      <c r="U1204" s="178"/>
      <c r="V1204" s="179"/>
      <c r="W1204" s="177" t="str">
        <f t="shared" si="2430"/>
        <v/>
      </c>
      <c r="X1204" s="178"/>
      <c r="Y1204" s="178"/>
      <c r="Z1204" s="179"/>
      <c r="AA1204" s="177" t="str">
        <f t="shared" si="2431"/>
        <v/>
      </c>
      <c r="AB1204" s="178"/>
      <c r="AC1204" s="178"/>
      <c r="AD1204" s="179"/>
      <c r="AE1204" s="180">
        <f t="shared" si="2432"/>
        <v>0</v>
      </c>
      <c r="AF1204" s="181">
        <f t="shared" si="2394"/>
        <v>0</v>
      </c>
      <c r="AG1204" s="182">
        <f t="shared" si="2433"/>
        <v>0</v>
      </c>
      <c r="AH1204" s="76" t="str">
        <f t="shared" si="2434"/>
        <v/>
      </c>
      <c r="AI1204" s="181">
        <f> ( IF(ISNUMBER(G1204), VLOOKUP(G1204/$AH1204,F!$A1:$B101,2,1)*G1204*$H1204*$I1204,0)+IF(ISNUMBER(K1204), VLOOKUP(K1204/$AH1204,F!$A1:$B101,2,1)*K1204*$L1204*$M1204,0)+IF(ISNUMBER(O1204), VLOOKUP(O1204/$AH1204,F!$A1:$B101,2,1)*O1204*$P1204*$Q1204,0)+IF(ISNUMBER(S1204), VLOOKUP(S1204/$AH1204,F!$A1:$B101,2,1)*S1204*$T1204*$U1204,0)+IF(ISNUMBER(W1204), VLOOKUP(W1204/$AH1204,F!$A1:$B101,2,1)*W1204*$X1204*$Y1204,0)+IF(ISNUMBER(AA1204), VLOOKUP(AA1204/$AH1204,F!$A1:$B101,2,1)*AA1204*$AB1204*$AC1204,0))*IF(ISNUMBER(F1204),F1204,1)*IF(ISNUMBER(E1204),E1204,1)</f>
        <v>0</v>
      </c>
      <c r="AJ1204" s="178">
        <f t="shared" si="2435"/>
        <v>0</v>
      </c>
      <c r="AK1204" s="183">
        <f t="array" ref="AK1204">IFERROR(I1204*INDEX(F!$P$21:$AB$33, MATCH(G1204/$AH1204, F!$O$21:$O$33,1), MATCH(E1204, F!$P$20:$AB$20,1)), 0 ) +IFERROR( M1204*INDEX(F!$P$21:$AB$33, MATCH(K1204/$AH1204, F!$O$21:$O$33,1), MATCH(E1204, F!$P$20:$AB$20,1)),0) +  IFERROR( Q1204*INDEX(F!$P$21:$AB$33, MATCH(O1204/$AH1204, F!$O$21:$O$33,1), MATCH(E1204, F!$P$20:$AB$20,1)), 0) + IFERROR( U1204*INDEX(F!$P$21:$AB$33, MATCH(S1204/$AH1204, F!$O$21:$O$33,1), MATCH(E1204, F!$P$20:$AB$20,1)),0)  + IFERROR(Y1204*INDEX(F!$P$21:$AB$33, MATCH(W1204/$AH1204, F!$O$21:$O$33,1), MATCH(E1204, F!$P$20:$AB$20,1)),0)  + IFERROR( AC1204*INDEX(F!$P$21:$AB$33, MATCH(AA1204/$AH1204, F!$O$21:$O$33,1), MATCH(E1204, F!$P$20:$AB$20,1)),)</f>
        <v>0</v>
      </c>
      <c r="AL1204" s="59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</row>
    <row r="1205" ht="15.75" hidden="1" customHeight="1">
      <c r="A1205" s="59"/>
      <c r="B1205" s="135" t="str">
        <f t="shared" ref="B1205:F1205" si="2441">IF(B1149="","",B1149)</f>
        <v/>
      </c>
      <c r="C1205" s="136" t="str">
        <f t="shared" si="2441"/>
        <v/>
      </c>
      <c r="D1205" s="137" t="str">
        <f t="shared" si="2441"/>
        <v/>
      </c>
      <c r="E1205" s="48" t="str">
        <f t="shared" si="2441"/>
        <v/>
      </c>
      <c r="F1205" s="138" t="str">
        <f t="shared" si="2441"/>
        <v/>
      </c>
      <c r="G1205" s="139" t="str">
        <f t="shared" si="2426"/>
        <v/>
      </c>
      <c r="H1205" s="140"/>
      <c r="I1205" s="140"/>
      <c r="J1205" s="141"/>
      <c r="K1205" s="139" t="str">
        <f t="shared" si="2427"/>
        <v/>
      </c>
      <c r="L1205" s="140"/>
      <c r="M1205" s="140"/>
      <c r="N1205" s="141"/>
      <c r="O1205" s="139" t="str">
        <f t="shared" si="2428"/>
        <v/>
      </c>
      <c r="P1205" s="140"/>
      <c r="Q1205" s="140"/>
      <c r="R1205" s="141"/>
      <c r="S1205" s="139" t="str">
        <f t="shared" si="2429"/>
        <v/>
      </c>
      <c r="T1205" s="140"/>
      <c r="U1205" s="140"/>
      <c r="V1205" s="141"/>
      <c r="W1205" s="139" t="str">
        <f t="shared" si="2430"/>
        <v/>
      </c>
      <c r="X1205" s="140"/>
      <c r="Y1205" s="140"/>
      <c r="Z1205" s="141"/>
      <c r="AA1205" s="139" t="str">
        <f t="shared" si="2431"/>
        <v/>
      </c>
      <c r="AB1205" s="140"/>
      <c r="AC1205" s="140"/>
      <c r="AD1205" s="141"/>
      <c r="AE1205" s="142">
        <f t="shared" si="2432"/>
        <v>0</v>
      </c>
      <c r="AF1205" s="143">
        <f t="shared" si="2394"/>
        <v>0</v>
      </c>
      <c r="AG1205" s="144">
        <f t="shared" si="2433"/>
        <v>0</v>
      </c>
      <c r="AH1205" s="76" t="str">
        <f t="shared" si="2434"/>
        <v/>
      </c>
      <c r="AI1205" s="143">
        <f> ( IF(ISNUMBER(G1205), VLOOKUP(G1205/$AH1205,F!$A1:$B101,2,1)*G1205*$H1205*$I1205,0)+IF(ISNUMBER(K1205), VLOOKUP(K1205/$AH1205,F!$A1:$B101,2,1)*K1205*$L1205*$M1205,0)+IF(ISNUMBER(O1205), VLOOKUP(O1205/$AH1205,F!$A1:$B101,2,1)*O1205*$P1205*$Q1205,0)+IF(ISNUMBER(S1205), VLOOKUP(S1205/$AH1205,F!$A1:$B101,2,1)*S1205*$T1205*$U1205,0)+IF(ISNUMBER(W1205), VLOOKUP(W1205/$AH1205,F!$A1:$B101,2,1)*W1205*$X1205*$Y1205,0)+IF(ISNUMBER(AA1205), VLOOKUP(AA1205/$AH1205,F!$A1:$B101,2,1)*AA1205*$AB1205*$AC1205,0))*IF(ISNUMBER(F1205),F1205,1)*IF(ISNUMBER(E1205),E1205,1)</f>
        <v>0</v>
      </c>
      <c r="AJ1205" s="140">
        <f t="shared" si="2435"/>
        <v>0</v>
      </c>
      <c r="AK1205" s="145">
        <f t="array" ref="AK1205">IFERROR(I1205*INDEX(F!$P$21:$AB$33, MATCH(G1205/$AH1205, F!$O$21:$O$33,1), MATCH(E1205, F!$P$20:$AB$20,1)), 0 ) +IFERROR( M1205*INDEX(F!$P$21:$AB$33, MATCH(K1205/$AH1205, F!$O$21:$O$33,1), MATCH(E1205, F!$P$20:$AB$20,1)),0) +  IFERROR( Q1205*INDEX(F!$P$21:$AB$33, MATCH(O1205/$AH1205, F!$O$21:$O$33,1), MATCH(E1205, F!$P$20:$AB$20,1)), 0) + IFERROR( U1205*INDEX(F!$P$21:$AB$33, MATCH(S1205/$AH1205, F!$O$21:$O$33,1), MATCH(E1205, F!$P$20:$AB$20,1)),0)  + IFERROR(Y1205*INDEX(F!$P$21:$AB$33, MATCH(W1205/$AH1205, F!$O$21:$O$33,1), MATCH(E1205, F!$P$20:$AB$20,1)),0)  + IFERROR( AC1205*INDEX(F!$P$21:$AB$33, MATCH(AA1205/$AH1205, F!$O$21:$O$33,1), MATCH(E1205, F!$P$20:$AB$20,1)),)</f>
        <v>0</v>
      </c>
      <c r="AL1205" s="59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</row>
    <row r="1206" ht="15.75" hidden="1" customHeight="1">
      <c r="A1206" s="98"/>
      <c r="B1206" s="188"/>
      <c r="C1206" s="189"/>
      <c r="D1206" s="190"/>
      <c r="E1206" s="102">
        <f>ROUND(IFERROR(SUMPRODUCT(AJ1198:AJ1205,E1198:E1205)/AJ1206,0),3)</f>
        <v>0</v>
      </c>
      <c r="F1206" s="191"/>
      <c r="G1206" s="192"/>
      <c r="H1206" s="193"/>
      <c r="I1206" s="193"/>
      <c r="J1206" s="194"/>
      <c r="K1206" s="192"/>
      <c r="L1206" s="193"/>
      <c r="M1206" s="193"/>
      <c r="N1206" s="194"/>
      <c r="O1206" s="192"/>
      <c r="P1206" s="193"/>
      <c r="Q1206" s="193"/>
      <c r="R1206" s="194"/>
      <c r="S1206" s="192"/>
      <c r="T1206" s="193"/>
      <c r="U1206" s="193"/>
      <c r="V1206" s="194"/>
      <c r="W1206" s="192"/>
      <c r="X1206" s="193"/>
      <c r="Y1206" s="193"/>
      <c r="Z1206" s="194"/>
      <c r="AA1206" s="192"/>
      <c r="AB1206" s="193"/>
      <c r="AC1206" s="193"/>
      <c r="AD1206" s="194"/>
      <c r="AE1206" s="107">
        <f>SUM(AE1198:AE1205)</f>
        <v>0</v>
      </c>
      <c r="AF1206" s="108">
        <f t="shared" si="2394"/>
        <v>0</v>
      </c>
      <c r="AG1206" s="109">
        <f>IFERROR(  SUMPRODUCT(AG1198:AG1205,AJ1198:AJ1205)/AJ1206,0)</f>
        <v>0</v>
      </c>
      <c r="AH1206" s="157"/>
      <c r="AI1206" s="111">
        <f t="shared" ref="AI1206:AJ1206" si="2442">SUM(AI1198:AI1205)</f>
        <v>0</v>
      </c>
      <c r="AJ1206" s="111">
        <f t="shared" si="2442"/>
        <v>0</v>
      </c>
      <c r="AK1206" s="112">
        <f>IF(SUM(AK1198:AK1205)=0,TIME(,0,),TIME(,SUM(AK1198:AK1205)+F!$V$37,))</f>
        <v>0</v>
      </c>
      <c r="AL1206" s="98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</row>
    <row r="1207" ht="15.75" hidden="1" customHeight="1">
      <c r="A1207" s="25">
        <f>A1208</f>
        <v>43932</v>
      </c>
      <c r="B1207" s="26" t="str">
        <f t="shared" ref="B1207:F1207" si="2443">IF(B1151="","",B1151)</f>
        <v/>
      </c>
      <c r="C1207" s="27" t="str">
        <f t="shared" si="2443"/>
        <v/>
      </c>
      <c r="D1207" s="28" t="str">
        <f t="shared" si="2443"/>
        <v/>
      </c>
      <c r="E1207" s="29" t="str">
        <f t="shared" si="2443"/>
        <v/>
      </c>
      <c r="F1207" s="30" t="str">
        <f t="shared" si="2443"/>
        <v/>
      </c>
      <c r="G1207" s="31" t="str">
        <f t="shared" ref="G1207:G1214" si="2445">IF(J1207&lt;&gt;0, IFERROR(IF( $F1207=2,  MROUND($AH1207*J1207,1),    IF( OR($F1207="",$F1207=1),   MROUND($AH1207*J1207,2.5),  MROUND($AH1207*J1207, 0.1))), "" ), "")</f>
        <v/>
      </c>
      <c r="H1207" s="32"/>
      <c r="I1207" s="32"/>
      <c r="J1207" s="33"/>
      <c r="K1207" s="31" t="str">
        <f t="shared" ref="K1207:K1214" si="2446">IF(N1207&lt;&gt;0, IFERROR(IF( $F1207=2,  MROUND($AH1207*N1207,1),    IF( OR($F1207="",$F1207=1),   MROUND($AH1207*N1207,2.5),  MROUND($AH1207*N1207, 0.1))), "" ), "")</f>
        <v/>
      </c>
      <c r="L1207" s="32"/>
      <c r="M1207" s="32"/>
      <c r="N1207" s="33"/>
      <c r="O1207" s="31" t="str">
        <f t="shared" ref="O1207:O1214" si="2447">IF(R1207&lt;&gt;0, IFERROR(IF( $F1207=2,  MROUND($AH1207*R1207,1),    IF( OR($F1207="",$F1207=1),   MROUND($AH1207*R1207,2.5),  MROUND($AH1207*R1207, 0.1))), "" ), "")</f>
        <v/>
      </c>
      <c r="P1207" s="32"/>
      <c r="Q1207" s="32"/>
      <c r="R1207" s="33"/>
      <c r="S1207" s="31" t="str">
        <f t="shared" ref="S1207:S1214" si="2448">IF(V1207&lt;&gt;0, IFERROR(IF( $F1207=2,  MROUND($AH1207*V1207,1),    IF( OR($F1207="",$F1207=1),   MROUND($AH1207*V1207,2.5),  MROUND($AH1207*V1207, 0.1))), "" ), "")</f>
        <v/>
      </c>
      <c r="T1207" s="32"/>
      <c r="U1207" s="32"/>
      <c r="V1207" s="33"/>
      <c r="W1207" s="31" t="str">
        <f t="shared" ref="W1207:W1214" si="2449">IF(Z1207&lt;&gt;0, IFERROR(IF( $F1207=2,  MROUND($AH1207*Z1207,1),    IF( OR($F1207="",$F1207=1),   MROUND($AH1207*Z1207,2.5),  MROUND($AH1207*Z1207, 0.1))), "" ), "")</f>
        <v/>
      </c>
      <c r="X1207" s="32"/>
      <c r="Y1207" s="32"/>
      <c r="Z1207" s="33"/>
      <c r="AA1207" s="31" t="str">
        <f t="shared" ref="AA1207:AA1214" si="2450">IF(AD1207&lt;&gt;0, IFERROR(IF( $F1207=2,  MROUND($AH1207*AD1207,1),    IF( OR($F1207="",$F1207=1),   MROUND($AH1207*AD1207,2.5),  MROUND($AH1207*AD1207, 0.1))), "" ), "")</f>
        <v/>
      </c>
      <c r="AB1207" s="32"/>
      <c r="AC1207" s="32"/>
      <c r="AD1207" s="33"/>
      <c r="AE1207" s="35">
        <f t="shared" ref="AE1207:AE1214" si="2451">(IF(ISNUMBER(G1207),G1207,0)*H1207*I1207+IF(ISNUMBER(K1207),K1207,1)*L1207*M1207+IF(ISNUMBER(O1207),O1207,1)*P1207*Q1207+IF(ISNUMBER(S1207),S1207,1)*T1207*U1207+IF(ISNUMBER(W1207),W1207,1)*X1207*Y1207+IF(ISNUMBER(AA1207),AA1207,1)*AB1207*AC1207)*IF(ISNUMBER(F1207),F1207,1)</f>
        <v>0</v>
      </c>
      <c r="AF1207" s="36">
        <f t="shared" si="2394"/>
        <v>0</v>
      </c>
      <c r="AG1207" s="195">
        <f t="shared" ref="AG1207:AG1214" si="2452">IFERROR((AF1207/(AH1207*IF(ISNUMBER(F1207),F1207,1))),0)</f>
        <v>0</v>
      </c>
      <c r="AH1207" s="169" t="str">
        <f t="shared" ref="AH1207:AH1214" si="2453">IF(ISNUMBER(AH1151), AH1151+(AH1151*$AH$1178),"")</f>
        <v/>
      </c>
      <c r="AI1207" s="196">
        <f> ( IF(ISNUMBER(G1207), VLOOKUP(G1207/$AH1207,F!$A1:$B101,2,1)*G1207*$H1207*$I1207,0)+IF(ISNUMBER(K1207), VLOOKUP(K1207/$AH1207,F!$A1:$B101,2,1)*K1207*$L1207*$M1207,0)+IF(ISNUMBER(O1207), VLOOKUP(O1207/$AH1207,F!$A1:$B101,2,1)*O1207*$P1207*$Q1207,0)+IF(ISNUMBER(S1207), VLOOKUP(S1207/$AH1207,F!$A1:$B101,2,1)*S1207*$T1207*$U1207,0)+IF(ISNUMBER(W1207), VLOOKUP(W1207/$AH1207,F!$A1:$B101,2,1)*W1207*$X1207*$Y1207,0)+IF(ISNUMBER(AA1207), VLOOKUP(AA1207/$AH1207,F!$A1:$B101,2,1)*AA1207*$AB1207*$AC1207,0))*IF(ISNUMBER(F1207),F1207,1)*IF(ISNUMBER(E1207),E1207,1)</f>
        <v>0</v>
      </c>
      <c r="AJ1207" s="40">
        <f t="shared" ref="AJ1207:AJ1214" si="2454">H1207*I1207+L1207*M1207+P1207*Q1207+T1207*U1207+X1207*Y1207+AB1207*AC1207</f>
        <v>0</v>
      </c>
      <c r="AK1207" s="41">
        <f t="array" ref="AK1207">IFERROR(I1207*INDEX(F!$P$21:$AB$33, MATCH(G1207/$AH1207, F!$O$21:$O$33,1), MATCH(E1207, F!$P$20:$AB$20,1)), 0 ) +IFERROR( M1207*INDEX(F!$P$21:$AB$33, MATCH(K1207/$AH1207, F!$O$21:$O$33,1), MATCH(E1207, F!$P$20:$AB$20,1)),0) +  IFERROR( Q1207*INDEX(F!$P$21:$AB$33, MATCH(O1207/$AH1207, F!$O$21:$O$33,1), MATCH(E1207, F!$P$20:$AB$20,1)), 0) + IFERROR( U1207*INDEX(F!$P$21:$AB$33, MATCH(S1207/$AH1207, F!$O$21:$O$33,1), MATCH(E1207, F!$P$20:$AB$20,1)),0)  + IFERROR(Y1207*INDEX(F!$P$21:$AB$33, MATCH(W1207/$AH1207, F!$O$21:$O$33,1), MATCH(E1207, F!$P$20:$AB$20,1)),0)  + IFERROR( AC1207*INDEX(F!$P$21:$AB$33, MATCH(AA1207/$AH1207, F!$O$21:$O$33,1), MATCH(E1207, F!$P$20:$AB$20,1)),)</f>
        <v>0</v>
      </c>
      <c r="AL1207" s="42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</row>
    <row r="1208" ht="15.75" hidden="1" customHeight="1">
      <c r="A1208" s="44">
        <f>A1152+A1122</f>
        <v>43932</v>
      </c>
      <c r="B1208" s="45" t="str">
        <f t="shared" ref="B1208:F1208" si="2444">IF(B1152="","",B1152)</f>
        <v/>
      </c>
      <c r="C1208" s="46" t="str">
        <f t="shared" si="2444"/>
        <v/>
      </c>
      <c r="D1208" s="47" t="str">
        <f t="shared" si="2444"/>
        <v/>
      </c>
      <c r="E1208" s="48" t="str">
        <f t="shared" si="2444"/>
        <v/>
      </c>
      <c r="F1208" s="49" t="str">
        <f t="shared" si="2444"/>
        <v/>
      </c>
      <c r="G1208" s="50" t="str">
        <f t="shared" si="2445"/>
        <v/>
      </c>
      <c r="H1208" s="51"/>
      <c r="I1208" s="51"/>
      <c r="J1208" s="52"/>
      <c r="K1208" s="50" t="str">
        <f t="shared" si="2446"/>
        <v/>
      </c>
      <c r="L1208" s="51"/>
      <c r="M1208" s="51"/>
      <c r="N1208" s="52"/>
      <c r="O1208" s="50" t="str">
        <f t="shared" si="2447"/>
        <v/>
      </c>
      <c r="P1208" s="51"/>
      <c r="Q1208" s="51"/>
      <c r="R1208" s="52"/>
      <c r="S1208" s="50" t="str">
        <f t="shared" si="2448"/>
        <v/>
      </c>
      <c r="T1208" s="51"/>
      <c r="U1208" s="51"/>
      <c r="V1208" s="52"/>
      <c r="W1208" s="50" t="str">
        <f t="shared" si="2449"/>
        <v/>
      </c>
      <c r="X1208" s="51"/>
      <c r="Y1208" s="51"/>
      <c r="Z1208" s="52"/>
      <c r="AA1208" s="50" t="str">
        <f t="shared" si="2450"/>
        <v/>
      </c>
      <c r="AB1208" s="51"/>
      <c r="AC1208" s="51"/>
      <c r="AD1208" s="52"/>
      <c r="AE1208" s="53">
        <f t="shared" si="2451"/>
        <v>0</v>
      </c>
      <c r="AF1208" s="54">
        <f t="shared" si="2394"/>
        <v>0</v>
      </c>
      <c r="AG1208" s="75">
        <f t="shared" si="2452"/>
        <v>0</v>
      </c>
      <c r="AH1208" s="76" t="str">
        <f t="shared" si="2453"/>
        <v/>
      </c>
      <c r="AI1208" s="77">
        <f> ( IF(ISNUMBER(G1208), VLOOKUP(G1208/$AH1208,F!$A1:$B101,2,1)*G1208*$H1208*$I1208,0)+IF(ISNUMBER(K1208), VLOOKUP(K1208/$AH1208,F!$A1:$B101,2,1)*K1208*$L1208*$M1208,0)+IF(ISNUMBER(O1208), VLOOKUP(O1208/$AH1208,F!$A1:$B101,2,1)*O1208*$P1208*$Q1208,0)+IF(ISNUMBER(S1208), VLOOKUP(S1208/$AH1208,F!$A1:$B101,2,1)*S1208*$T1208*$U1208,0)+IF(ISNUMBER(W1208), VLOOKUP(W1208/$AH1208,F!$A1:$B101,2,1)*W1208*$X1208*$Y1208,0)+IF(ISNUMBER(AA1208), VLOOKUP(AA1208/$AH1208,F!$A1:$B101,2,1)*AA1208*$AB1208*$AC1208,0))*IF(ISNUMBER(F1208),F1208,1)*IF(ISNUMBER(E1208),E1208,1)</f>
        <v>0</v>
      </c>
      <c r="AJ1208" s="57">
        <f t="shared" si="2454"/>
        <v>0</v>
      </c>
      <c r="AK1208" s="58">
        <f t="array" ref="AK1208">IFERROR(I1208*INDEX(F!$P$21:$AB$33, MATCH(G1208/$AH1208, F!$O$21:$O$33,1), MATCH(E1208, F!$P$20:$AB$20,1)), 0 ) +IFERROR( M1208*INDEX(F!$P$21:$AB$33, MATCH(K1208/$AH1208, F!$O$21:$O$33,1), MATCH(E1208, F!$P$20:$AB$20,1)),0) +  IFERROR( Q1208*INDEX(F!$P$21:$AB$33, MATCH(O1208/$AH1208, F!$O$21:$O$33,1), MATCH(E1208, F!$P$20:$AB$20,1)), 0) + IFERROR( U1208*INDEX(F!$P$21:$AB$33, MATCH(S1208/$AH1208, F!$O$21:$O$33,1), MATCH(E1208, F!$P$20:$AB$20,1)),0)  + IFERROR(Y1208*INDEX(F!$P$21:$AB$33, MATCH(W1208/$AH1208, F!$O$21:$O$33,1), MATCH(E1208, F!$P$20:$AB$20,1)),0)  + IFERROR( AC1208*INDEX(F!$P$21:$AB$33, MATCH(AA1208/$AH1208, F!$O$21:$O$33,1), MATCH(E1208, F!$P$20:$AB$20,1)),)</f>
        <v>0</v>
      </c>
      <c r="AL1208" s="59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</row>
    <row r="1209" ht="15.75" hidden="1" customHeight="1">
      <c r="A1209" s="59"/>
      <c r="B1209" s="60" t="str">
        <f t="shared" ref="B1209:F1209" si="2455">IF(B1153="","",B1153)</f>
        <v/>
      </c>
      <c r="C1209" s="61" t="str">
        <f t="shared" si="2455"/>
        <v/>
      </c>
      <c r="D1209" s="62" t="str">
        <f t="shared" si="2455"/>
        <v/>
      </c>
      <c r="E1209" s="48" t="str">
        <f t="shared" si="2455"/>
        <v/>
      </c>
      <c r="F1209" s="63" t="str">
        <f t="shared" si="2455"/>
        <v/>
      </c>
      <c r="G1209" s="64" t="str">
        <f t="shared" si="2445"/>
        <v/>
      </c>
      <c r="H1209" s="34"/>
      <c r="I1209" s="34"/>
      <c r="J1209" s="65"/>
      <c r="K1209" s="64" t="str">
        <f t="shared" si="2446"/>
        <v/>
      </c>
      <c r="L1209" s="34"/>
      <c r="M1209" s="34"/>
      <c r="N1209" s="65"/>
      <c r="O1209" s="64" t="str">
        <f t="shared" si="2447"/>
        <v/>
      </c>
      <c r="P1209" s="34"/>
      <c r="Q1209" s="34"/>
      <c r="R1209" s="65"/>
      <c r="S1209" s="64" t="str">
        <f t="shared" si="2448"/>
        <v/>
      </c>
      <c r="T1209" s="34"/>
      <c r="U1209" s="34"/>
      <c r="V1209" s="65"/>
      <c r="W1209" s="64" t="str">
        <f t="shared" si="2449"/>
        <v/>
      </c>
      <c r="X1209" s="34"/>
      <c r="Y1209" s="34"/>
      <c r="Z1209" s="65"/>
      <c r="AA1209" s="64" t="str">
        <f t="shared" si="2450"/>
        <v/>
      </c>
      <c r="AB1209" s="34"/>
      <c r="AC1209" s="34"/>
      <c r="AD1209" s="65"/>
      <c r="AE1209" s="66">
        <f t="shared" si="2451"/>
        <v>0</v>
      </c>
      <c r="AF1209" s="67">
        <f t="shared" si="2394"/>
        <v>0</v>
      </c>
      <c r="AG1209" s="68">
        <f t="shared" si="2452"/>
        <v>0</v>
      </c>
      <c r="AH1209" s="76" t="str">
        <f t="shared" si="2453"/>
        <v/>
      </c>
      <c r="AI1209" s="70">
        <f> ( IF(ISNUMBER(G1209), VLOOKUP(G1209/$AH1209,F!$A1:$B101,2,1)*G1209*$H1209*$I1209,0)+IF(ISNUMBER(K1209), VLOOKUP(K1209/$AH1209,F!$A1:$B101,2,1)*K1209*$L1209*$M1209,0)+IF(ISNUMBER(O1209), VLOOKUP(O1209/$AH1209,F!$A1:$B101,2,1)*O1209*$P1209*$Q1209,0)+IF(ISNUMBER(S1209), VLOOKUP(S1209/$AH1209,F!$A1:$B101,2,1)*S1209*$T1209*$U1209,0)+IF(ISNUMBER(W1209), VLOOKUP(W1209/$AH1209,F!$A1:$B101,2,1)*W1209*$X1209*$Y1209,0)+IF(ISNUMBER(AA1209), VLOOKUP(AA1209/$AH1209,F!$A1:$B101,2,1)*AA1209*$AB1209*$AC1209,0))*IF(ISNUMBER(F1209),F1209,1)*IF(ISNUMBER(E1209),E1209,1)</f>
        <v>0</v>
      </c>
      <c r="AJ1209" s="71">
        <f t="shared" si="2454"/>
        <v>0</v>
      </c>
      <c r="AK1209" s="72">
        <f t="array" ref="AK1209">IFERROR(I1209*INDEX(F!$P$21:$AB$33, MATCH(G1209/$AH1209, F!$O$21:$O$33,1), MATCH(E1209, F!$P$20:$AB$20,1)), 0 ) +IFERROR( M1209*INDEX(F!$P$21:$AB$33, MATCH(K1209/$AH1209, F!$O$21:$O$33,1), MATCH(E1209, F!$P$20:$AB$20,1)),0) +  IFERROR( Q1209*INDEX(F!$P$21:$AB$33, MATCH(O1209/$AH1209, F!$O$21:$O$33,1), MATCH(E1209, F!$P$20:$AB$20,1)), 0) + IFERROR( U1209*INDEX(F!$P$21:$AB$33, MATCH(S1209/$AH1209, F!$O$21:$O$33,1), MATCH(E1209, F!$P$20:$AB$20,1)),0)  + IFERROR(Y1209*INDEX(F!$P$21:$AB$33, MATCH(W1209/$AH1209, F!$O$21:$O$33,1), MATCH(E1209, F!$P$20:$AB$20,1)),0)  + IFERROR( AC1209*INDEX(F!$P$21:$AB$33, MATCH(AA1209/$AH1209, F!$O$21:$O$33,1), MATCH(E1209, F!$P$20:$AB$20,1)),)</f>
        <v>0</v>
      </c>
      <c r="AL1209" s="59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</row>
    <row r="1210" ht="15.75" hidden="1" customHeight="1">
      <c r="A1210" s="59"/>
      <c r="B1210" s="215" t="str">
        <f t="shared" ref="B1210:F1210" si="2456">IF(B1154="","",B1154)</f>
        <v/>
      </c>
      <c r="C1210" s="73" t="str">
        <f t="shared" si="2456"/>
        <v/>
      </c>
      <c r="D1210" s="47" t="str">
        <f t="shared" si="2456"/>
        <v/>
      </c>
      <c r="E1210" s="48" t="str">
        <f t="shared" si="2456"/>
        <v/>
      </c>
      <c r="F1210" s="74" t="str">
        <f t="shared" si="2456"/>
        <v/>
      </c>
      <c r="G1210" s="50" t="str">
        <f t="shared" si="2445"/>
        <v/>
      </c>
      <c r="H1210" s="51"/>
      <c r="I1210" s="51"/>
      <c r="J1210" s="52"/>
      <c r="K1210" s="50" t="str">
        <f t="shared" si="2446"/>
        <v/>
      </c>
      <c r="L1210" s="51"/>
      <c r="M1210" s="51"/>
      <c r="N1210" s="52"/>
      <c r="O1210" s="50" t="str">
        <f t="shared" si="2447"/>
        <v/>
      </c>
      <c r="P1210" s="51"/>
      <c r="Q1210" s="51"/>
      <c r="R1210" s="52"/>
      <c r="S1210" s="50" t="str">
        <f t="shared" si="2448"/>
        <v/>
      </c>
      <c r="T1210" s="51"/>
      <c r="U1210" s="51"/>
      <c r="V1210" s="52"/>
      <c r="W1210" s="50" t="str">
        <f t="shared" si="2449"/>
        <v/>
      </c>
      <c r="X1210" s="51"/>
      <c r="Y1210" s="51"/>
      <c r="Z1210" s="52"/>
      <c r="AA1210" s="50" t="str">
        <f t="shared" si="2450"/>
        <v/>
      </c>
      <c r="AB1210" s="51"/>
      <c r="AC1210" s="51"/>
      <c r="AD1210" s="52"/>
      <c r="AE1210" s="53">
        <f t="shared" si="2451"/>
        <v>0</v>
      </c>
      <c r="AF1210" s="54">
        <f t="shared" si="2394"/>
        <v>0</v>
      </c>
      <c r="AG1210" s="75">
        <f t="shared" si="2452"/>
        <v>0</v>
      </c>
      <c r="AH1210" s="76" t="str">
        <f t="shared" si="2453"/>
        <v/>
      </c>
      <c r="AI1210" s="77">
        <f> ( IF(ISNUMBER(G1210), VLOOKUP(G1210/$AH1210,F!$A1:$B101,2,1)*G1210*$H1210*$I1210,0)+IF(ISNUMBER(K1210), VLOOKUP(K1210/$AH1210,F!$A1:$B101,2,1)*K1210*$L1210*$M1210,0)+IF(ISNUMBER(O1210), VLOOKUP(O1210/$AH1210,F!$A1:$B101,2,1)*O1210*$P1210*$Q1210,0)+IF(ISNUMBER(S1210), VLOOKUP(S1210/$AH1210,F!$A1:$B101,2,1)*S1210*$T1210*$U1210,0)+IF(ISNUMBER(W1210), VLOOKUP(W1210/$AH1210,F!$A1:$B101,2,1)*W1210*$X1210*$Y1210,0)+IF(ISNUMBER(AA1210), VLOOKUP(AA1210/$AH1210,F!$A1:$B101,2,1)*AA1210*$AB1210*$AC1210,0))*IF(ISNUMBER(F1210),F1210,1)*IF(ISNUMBER(E1210),E1210,1)</f>
        <v>0</v>
      </c>
      <c r="AJ1210" s="57">
        <f t="shared" si="2454"/>
        <v>0</v>
      </c>
      <c r="AK1210" s="58">
        <f t="array" ref="AK1210">IFERROR(I1210*INDEX(F!$P$21:$AB$33, MATCH(G1210/$AH1210, F!$O$21:$O$33,1), MATCH(E1210, F!$P$20:$AB$20,1)), 0 ) +IFERROR( M1210*INDEX(F!$P$21:$AB$33, MATCH(K1210/$AH1210, F!$O$21:$O$33,1), MATCH(E1210, F!$P$20:$AB$20,1)),0) +  IFERROR( Q1210*INDEX(F!$P$21:$AB$33, MATCH(O1210/$AH1210, F!$O$21:$O$33,1), MATCH(E1210, F!$P$20:$AB$20,1)), 0) + IFERROR( U1210*INDEX(F!$P$21:$AB$33, MATCH(S1210/$AH1210, F!$O$21:$O$33,1), MATCH(E1210, F!$P$20:$AB$20,1)),0)  + IFERROR(Y1210*INDEX(F!$P$21:$AB$33, MATCH(W1210/$AH1210, F!$O$21:$O$33,1), MATCH(E1210, F!$P$20:$AB$20,1)),0)  + IFERROR( AC1210*INDEX(F!$P$21:$AB$33, MATCH(AA1210/$AH1210, F!$O$21:$O$33,1), MATCH(E1210, F!$P$20:$AB$20,1)),)</f>
        <v>0</v>
      </c>
      <c r="AL1210" s="59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</row>
    <row r="1211" ht="15.75" hidden="1" customHeight="1">
      <c r="A1211" s="59"/>
      <c r="B1211" s="216" t="str">
        <f t="shared" ref="B1211:F1211" si="2457">IF(B1155="","",B1155)</f>
        <v/>
      </c>
      <c r="C1211" s="78" t="str">
        <f t="shared" si="2457"/>
        <v/>
      </c>
      <c r="D1211" s="62" t="str">
        <f t="shared" si="2457"/>
        <v/>
      </c>
      <c r="E1211" s="48" t="str">
        <f t="shared" si="2457"/>
        <v/>
      </c>
      <c r="F1211" s="79" t="str">
        <f t="shared" si="2457"/>
        <v/>
      </c>
      <c r="G1211" s="64" t="str">
        <f t="shared" si="2445"/>
        <v/>
      </c>
      <c r="H1211" s="34"/>
      <c r="I1211" s="34"/>
      <c r="J1211" s="65"/>
      <c r="K1211" s="64" t="str">
        <f t="shared" si="2446"/>
        <v/>
      </c>
      <c r="L1211" s="34"/>
      <c r="M1211" s="34"/>
      <c r="N1211" s="65"/>
      <c r="O1211" s="64" t="str">
        <f t="shared" si="2447"/>
        <v/>
      </c>
      <c r="P1211" s="34"/>
      <c r="Q1211" s="34"/>
      <c r="R1211" s="65"/>
      <c r="S1211" s="64" t="str">
        <f t="shared" si="2448"/>
        <v/>
      </c>
      <c r="T1211" s="34"/>
      <c r="U1211" s="34"/>
      <c r="V1211" s="65"/>
      <c r="W1211" s="64" t="str">
        <f t="shared" si="2449"/>
        <v/>
      </c>
      <c r="X1211" s="34"/>
      <c r="Y1211" s="34"/>
      <c r="Z1211" s="65"/>
      <c r="AA1211" s="64" t="str">
        <f t="shared" si="2450"/>
        <v/>
      </c>
      <c r="AB1211" s="34"/>
      <c r="AC1211" s="34"/>
      <c r="AD1211" s="65"/>
      <c r="AE1211" s="66">
        <f t="shared" si="2451"/>
        <v>0</v>
      </c>
      <c r="AF1211" s="67">
        <f t="shared" si="2394"/>
        <v>0</v>
      </c>
      <c r="AG1211" s="68">
        <f t="shared" si="2452"/>
        <v>0</v>
      </c>
      <c r="AH1211" s="76" t="str">
        <f t="shared" si="2453"/>
        <v/>
      </c>
      <c r="AI1211" s="70">
        <f> ( IF(ISNUMBER(G1211), VLOOKUP(G1211/$AH1211,F!$A1:$B101,2,1)*G1211*$H1211*$I1211,0)+IF(ISNUMBER(K1211), VLOOKUP(K1211/$AH1211,F!$A1:$B101,2,1)*K1211*$L1211*$M1211,0)+IF(ISNUMBER(O1211), VLOOKUP(O1211/$AH1211,F!$A1:$B101,2,1)*O1211*$P1211*$Q1211,0)+IF(ISNUMBER(S1211), VLOOKUP(S1211/$AH1211,F!$A1:$B101,2,1)*S1211*$T1211*$U1211,0)+IF(ISNUMBER(W1211), VLOOKUP(W1211/$AH1211,F!$A1:$B101,2,1)*W1211*$X1211*$Y1211,0)+IF(ISNUMBER(AA1211), VLOOKUP(AA1211/$AH1211,F!$A1:$B101,2,1)*AA1211*$AB1211*$AC1211,0))*IF(ISNUMBER(F1211),F1211,1)*IF(ISNUMBER(E1211),E1211,1)</f>
        <v>0</v>
      </c>
      <c r="AJ1211" s="71">
        <f t="shared" si="2454"/>
        <v>0</v>
      </c>
      <c r="AK1211" s="72">
        <f t="array" ref="AK1211">IFERROR(I1211*INDEX(F!$P$21:$AB$33, MATCH(G1211/$AH1211, F!$O$21:$O$33,1), MATCH(E1211, F!$P$20:$AB$20,1)), 0 ) +IFERROR( M1211*INDEX(F!$P$21:$AB$33, MATCH(K1211/$AH1211, F!$O$21:$O$33,1), MATCH(E1211, F!$P$20:$AB$20,1)),0) +  IFERROR( Q1211*INDEX(F!$P$21:$AB$33, MATCH(O1211/$AH1211, F!$O$21:$O$33,1), MATCH(E1211, F!$P$20:$AB$20,1)), 0) + IFERROR( U1211*INDEX(F!$P$21:$AB$33, MATCH(S1211/$AH1211, F!$O$21:$O$33,1), MATCH(E1211, F!$P$20:$AB$20,1)),0)  + IFERROR(Y1211*INDEX(F!$P$21:$AB$33, MATCH(W1211/$AH1211, F!$O$21:$O$33,1), MATCH(E1211, F!$P$20:$AB$20,1)),0)  + IFERROR( AC1211*INDEX(F!$P$21:$AB$33, MATCH(AA1211/$AH1211, F!$O$21:$O$33,1), MATCH(E1211, F!$P$20:$AB$20,1)),)</f>
        <v>0</v>
      </c>
      <c r="AL1211" s="59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</row>
    <row r="1212" ht="15.75" hidden="1" customHeight="1">
      <c r="A1212" s="59"/>
      <c r="B1212" s="45" t="str">
        <f t="shared" ref="B1212:F1212" si="2458">IF(B1156="","",B1156)</f>
        <v/>
      </c>
      <c r="C1212" s="46" t="str">
        <f t="shared" si="2458"/>
        <v/>
      </c>
      <c r="D1212" s="197" t="str">
        <f t="shared" si="2458"/>
        <v/>
      </c>
      <c r="E1212" s="48" t="str">
        <f t="shared" si="2458"/>
        <v/>
      </c>
      <c r="F1212" s="83" t="str">
        <f t="shared" si="2458"/>
        <v/>
      </c>
      <c r="G1212" s="50" t="str">
        <f t="shared" si="2445"/>
        <v/>
      </c>
      <c r="H1212" s="51"/>
      <c r="I1212" s="51"/>
      <c r="J1212" s="52"/>
      <c r="K1212" s="50" t="str">
        <f t="shared" si="2446"/>
        <v/>
      </c>
      <c r="L1212" s="51"/>
      <c r="M1212" s="51"/>
      <c r="N1212" s="52"/>
      <c r="O1212" s="50" t="str">
        <f t="shared" si="2447"/>
        <v/>
      </c>
      <c r="P1212" s="51"/>
      <c r="Q1212" s="51"/>
      <c r="R1212" s="52"/>
      <c r="S1212" s="50" t="str">
        <f t="shared" si="2448"/>
        <v/>
      </c>
      <c r="T1212" s="51"/>
      <c r="U1212" s="51"/>
      <c r="V1212" s="52"/>
      <c r="W1212" s="50" t="str">
        <f t="shared" si="2449"/>
        <v/>
      </c>
      <c r="X1212" s="51"/>
      <c r="Y1212" s="51"/>
      <c r="Z1212" s="52"/>
      <c r="AA1212" s="50" t="str">
        <f t="shared" si="2450"/>
        <v/>
      </c>
      <c r="AB1212" s="51"/>
      <c r="AC1212" s="51"/>
      <c r="AD1212" s="52"/>
      <c r="AE1212" s="53">
        <f t="shared" si="2451"/>
        <v>0</v>
      </c>
      <c r="AF1212" s="54">
        <f t="shared" si="2394"/>
        <v>0</v>
      </c>
      <c r="AG1212" s="75">
        <f t="shared" si="2452"/>
        <v>0</v>
      </c>
      <c r="AH1212" s="76" t="str">
        <f t="shared" si="2453"/>
        <v/>
      </c>
      <c r="AI1212" s="77">
        <f> ( IF(ISNUMBER(G1212), VLOOKUP(G1212/$AH1212,F!$A1:$B101,2,1)*G1212*$H1212*$I1212,0)+IF(ISNUMBER(K1212), VLOOKUP(K1212/$AH1212,F!$A1:$B101,2,1)*K1212*$L1212*$M1212,0)+IF(ISNUMBER(O1212), VLOOKUP(O1212/$AH1212,F!$A1:$B101,2,1)*O1212*$P1212*$Q1212,0)+IF(ISNUMBER(S1212), VLOOKUP(S1212/$AH1212,F!$A1:$B101,2,1)*S1212*$T1212*$U1212,0)+IF(ISNUMBER(W1212), VLOOKUP(W1212/$AH1212,F!$A1:$B101,2,1)*W1212*$X1212*$Y1212,0)+IF(ISNUMBER(AA1212), VLOOKUP(AA1212/$AH1212,F!$A1:$B101,2,1)*AA1212*$AB1212*$AC1212,0))*IF(ISNUMBER(F1212),F1212,1)*IF(ISNUMBER(E1212),E1212,1)</f>
        <v>0</v>
      </c>
      <c r="AJ1212" s="86">
        <f t="shared" si="2454"/>
        <v>0</v>
      </c>
      <c r="AK1212" s="58">
        <f t="array" ref="AK1212">IFERROR(I1212*INDEX(F!$P$21:$AB$33, MATCH(G1212/$AH1212, F!$O$21:$O$33,1), MATCH(E1212, F!$P$20:$AB$20,1)), 0 ) +IFERROR( M1212*INDEX(F!$P$21:$AB$33, MATCH(K1212/$AH1212, F!$O$21:$O$33,1), MATCH(E1212, F!$P$20:$AB$20,1)),0) +  IFERROR( Q1212*INDEX(F!$P$21:$AB$33, MATCH(O1212/$AH1212, F!$O$21:$O$33,1), MATCH(E1212, F!$P$20:$AB$20,1)), 0) + IFERROR( U1212*INDEX(F!$P$21:$AB$33, MATCH(S1212/$AH1212, F!$O$21:$O$33,1), MATCH(E1212, F!$P$20:$AB$20,1)),0)  + IFERROR(Y1212*INDEX(F!$P$21:$AB$33, MATCH(W1212/$AH1212, F!$O$21:$O$33,1), MATCH(E1212, F!$P$20:$AB$20,1)),0)  + IFERROR( AC1212*INDEX(F!$P$21:$AB$33, MATCH(AA1212/$AH1212, F!$O$21:$O$33,1), MATCH(E1212, F!$P$20:$AB$20,1)),)</f>
        <v>0</v>
      </c>
      <c r="AL1212" s="59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</row>
    <row r="1213" ht="15.75" hidden="1" customHeight="1">
      <c r="A1213" s="59"/>
      <c r="B1213" s="60" t="str">
        <f t="shared" ref="B1213:F1213" si="2459">IF(B1157="","",B1157)</f>
        <v/>
      </c>
      <c r="C1213" s="61" t="str">
        <f t="shared" si="2459"/>
        <v/>
      </c>
      <c r="D1213" s="198" t="str">
        <f t="shared" si="2459"/>
        <v/>
      </c>
      <c r="E1213" s="48" t="str">
        <f t="shared" si="2459"/>
        <v/>
      </c>
      <c r="F1213" s="79" t="str">
        <f t="shared" si="2459"/>
        <v/>
      </c>
      <c r="G1213" s="64" t="str">
        <f t="shared" si="2445"/>
        <v/>
      </c>
      <c r="H1213" s="34"/>
      <c r="I1213" s="34"/>
      <c r="J1213" s="65"/>
      <c r="K1213" s="64" t="str">
        <f t="shared" si="2446"/>
        <v/>
      </c>
      <c r="L1213" s="34"/>
      <c r="M1213" s="34"/>
      <c r="N1213" s="65"/>
      <c r="O1213" s="64" t="str">
        <f t="shared" si="2447"/>
        <v/>
      </c>
      <c r="P1213" s="34"/>
      <c r="Q1213" s="34"/>
      <c r="R1213" s="65"/>
      <c r="S1213" s="64" t="str">
        <f t="shared" si="2448"/>
        <v/>
      </c>
      <c r="T1213" s="34"/>
      <c r="U1213" s="34"/>
      <c r="V1213" s="65"/>
      <c r="W1213" s="64" t="str">
        <f t="shared" si="2449"/>
        <v/>
      </c>
      <c r="X1213" s="34"/>
      <c r="Y1213" s="34"/>
      <c r="Z1213" s="65"/>
      <c r="AA1213" s="64" t="str">
        <f t="shared" si="2450"/>
        <v/>
      </c>
      <c r="AB1213" s="34"/>
      <c r="AC1213" s="34"/>
      <c r="AD1213" s="65"/>
      <c r="AE1213" s="66">
        <f t="shared" si="2451"/>
        <v>0</v>
      </c>
      <c r="AF1213" s="67">
        <f t="shared" si="2394"/>
        <v>0</v>
      </c>
      <c r="AG1213" s="68">
        <f t="shared" si="2452"/>
        <v>0</v>
      </c>
      <c r="AH1213" s="76" t="str">
        <f t="shared" si="2453"/>
        <v/>
      </c>
      <c r="AI1213" s="90">
        <f> ( IF(ISNUMBER(G1213), VLOOKUP(G1213/$AH1213,F!$A1:$B101,2,1)*G1213*$H1213*$I1213,0)+IF(ISNUMBER(K1213), VLOOKUP(K1213/$AH1213,F!$A1:$B101,2,1)*K1213*$L1213*$M1213,0)+IF(ISNUMBER(O1213), VLOOKUP(O1213/$AH1213,F!$A1:$B101,2,1)*O1213*$P1213*$Q1213,0)+IF(ISNUMBER(S1213), VLOOKUP(S1213/$AH1213,F!$A1:$B101,2,1)*S1213*$T1213*$U1213,0)+IF(ISNUMBER(W1213), VLOOKUP(W1213/$AH1213,F!$A1:$B101,2,1)*W1213*$X1213*$Y1213,0)+IF(ISNUMBER(AA1213), VLOOKUP(AA1213/$AH1213,F!$A1:$B101,2,1)*AA1213*$AB1213*$AC1213,0))*IF(ISNUMBER(F1213),F1213,1)*IF(ISNUMBER(E1213),E1213,1)</f>
        <v>0</v>
      </c>
      <c r="AJ1213" s="34">
        <f t="shared" si="2454"/>
        <v>0</v>
      </c>
      <c r="AK1213" s="91">
        <f t="array" ref="AK1213">IFERROR(I1213*INDEX(F!$P$21:$AB$33, MATCH(G1213/$AH1213, F!$O$21:$O$33,1), MATCH(E1213, F!$P$20:$AB$20,1)), 0 ) +IFERROR( M1213*INDEX(F!$P$21:$AB$33, MATCH(K1213/$AH1213, F!$O$21:$O$33,1), MATCH(E1213, F!$P$20:$AB$20,1)),0) +  IFERROR( Q1213*INDEX(F!$P$21:$AB$33, MATCH(O1213/$AH1213, F!$O$21:$O$33,1), MATCH(E1213, F!$P$20:$AB$20,1)), 0) + IFERROR( U1213*INDEX(F!$P$21:$AB$33, MATCH(S1213/$AH1213, F!$O$21:$O$33,1), MATCH(E1213, F!$P$20:$AB$20,1)),0)  + IFERROR(Y1213*INDEX(F!$P$21:$AB$33, MATCH(W1213/$AH1213, F!$O$21:$O$33,1), MATCH(E1213, F!$P$20:$AB$20,1)),0)  + IFERROR( AC1213*INDEX(F!$P$21:$AB$33, MATCH(AA1213/$AH1213, F!$O$21:$O$33,1), MATCH(E1213, F!$P$20:$AB$20,1)),)</f>
        <v>0</v>
      </c>
      <c r="AL1213" s="59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</row>
    <row r="1214" ht="15.75" hidden="1" customHeight="1">
      <c r="A1214" s="59"/>
      <c r="B1214" s="45" t="str">
        <f t="shared" ref="B1214:F1214" si="2460">IF(B1158="","",B1158)</f>
        <v/>
      </c>
      <c r="C1214" s="46" t="str">
        <f t="shared" si="2460"/>
        <v/>
      </c>
      <c r="D1214" s="92" t="str">
        <f t="shared" si="2460"/>
        <v/>
      </c>
      <c r="E1214" s="48" t="str">
        <f t="shared" si="2460"/>
        <v/>
      </c>
      <c r="F1214" s="74" t="str">
        <f t="shared" si="2460"/>
        <v/>
      </c>
      <c r="G1214" s="50" t="str">
        <f t="shared" si="2445"/>
        <v/>
      </c>
      <c r="H1214" s="51"/>
      <c r="I1214" s="51"/>
      <c r="J1214" s="52"/>
      <c r="K1214" s="50" t="str">
        <f t="shared" si="2446"/>
        <v/>
      </c>
      <c r="L1214" s="51"/>
      <c r="M1214" s="51"/>
      <c r="N1214" s="52"/>
      <c r="O1214" s="50" t="str">
        <f t="shared" si="2447"/>
        <v/>
      </c>
      <c r="P1214" s="51"/>
      <c r="Q1214" s="51"/>
      <c r="R1214" s="52"/>
      <c r="S1214" s="50" t="str">
        <f t="shared" si="2448"/>
        <v/>
      </c>
      <c r="T1214" s="51"/>
      <c r="U1214" s="51"/>
      <c r="V1214" s="52"/>
      <c r="W1214" s="50" t="str">
        <f t="shared" si="2449"/>
        <v/>
      </c>
      <c r="X1214" s="51"/>
      <c r="Y1214" s="51"/>
      <c r="Z1214" s="52"/>
      <c r="AA1214" s="50" t="str">
        <f t="shared" si="2450"/>
        <v/>
      </c>
      <c r="AB1214" s="51"/>
      <c r="AC1214" s="51"/>
      <c r="AD1214" s="52"/>
      <c r="AE1214" s="53">
        <f t="shared" si="2451"/>
        <v>0</v>
      </c>
      <c r="AF1214" s="93">
        <f t="shared" si="2394"/>
        <v>0</v>
      </c>
      <c r="AG1214" s="94">
        <f t="shared" si="2452"/>
        <v>0</v>
      </c>
      <c r="AH1214" s="76" t="str">
        <f t="shared" si="2453"/>
        <v/>
      </c>
      <c r="AI1214" s="95">
        <f> ( IF(ISNUMBER(G1214), VLOOKUP(G1214/$AH1214,F!$A1:$B101,2,1)*G1214*$H1214*$I1214,0)+IF(ISNUMBER(K1214), VLOOKUP(K1214/$AH1214,F!$A1:$B101,2,1)*K1214*$L1214*$M1214,0)+IF(ISNUMBER(O1214), VLOOKUP(O1214/$AH1214,F!$A1:$B101,2,1)*O1214*$P1214*$Q1214,0)+IF(ISNUMBER(S1214), VLOOKUP(S1214/$AH1214,F!$A1:$B101,2,1)*S1214*$T1214*$U1214,0)+IF(ISNUMBER(W1214), VLOOKUP(W1214/$AH1214,F!$A1:$B101,2,1)*W1214*$X1214*$Y1214,0)+IF(ISNUMBER(AA1214), VLOOKUP(AA1214/$AH1214,F!$A1:$B101,2,1)*AA1214*$AB1214*$AC1214,0))*IF(ISNUMBER(F1214),F1214,1)*IF(ISNUMBER(E1214),E1214,1)</f>
        <v>0</v>
      </c>
      <c r="AJ1214" s="96">
        <f t="shared" si="2454"/>
        <v>0</v>
      </c>
      <c r="AK1214" s="97">
        <f t="array" ref="AK1214">IFERROR(I1214*INDEX(F!$P$21:$AB$33, MATCH(G1214/$AH1214, F!$O$21:$O$33,1), MATCH(E1214, F!$P$20:$AB$20,1)), 0 ) +IFERROR( M1214*INDEX(F!$P$21:$AB$33, MATCH(K1214/$AH1214, F!$O$21:$O$33,1), MATCH(E1214, F!$P$20:$AB$20,1)),0) +  IFERROR( Q1214*INDEX(F!$P$21:$AB$33, MATCH(O1214/$AH1214, F!$O$21:$O$33,1), MATCH(E1214, F!$P$20:$AB$20,1)), 0) + IFERROR( U1214*INDEX(F!$P$21:$AB$33, MATCH(S1214/$AH1214, F!$O$21:$O$33,1), MATCH(E1214, F!$P$20:$AB$20,1)),0)  + IFERROR(Y1214*INDEX(F!$P$21:$AB$33, MATCH(W1214/$AH1214, F!$O$21:$O$33,1), MATCH(E1214, F!$P$20:$AB$20,1)),0)  + IFERROR( AC1214*INDEX(F!$P$21:$AB$33, MATCH(AA1214/$AH1214, F!$O$21:$O$33,1), MATCH(E1214, F!$P$20:$AB$20,1)),)</f>
        <v>0</v>
      </c>
      <c r="AL1214" s="59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</row>
    <row r="1215" ht="15.75" hidden="1" customHeight="1">
      <c r="A1215" s="98"/>
      <c r="B1215" s="99"/>
      <c r="C1215" s="100"/>
      <c r="D1215" s="101"/>
      <c r="E1215" s="102">
        <f>ROUND(IFERROR(SUMPRODUCT(AJ1207:AJ1214,E1207:E1214)/AJ1215,0),3)</f>
        <v>0</v>
      </c>
      <c r="F1215" s="199"/>
      <c r="G1215" s="104"/>
      <c r="H1215" s="105"/>
      <c r="I1215" s="105"/>
      <c r="J1215" s="106"/>
      <c r="K1215" s="104"/>
      <c r="L1215" s="105"/>
      <c r="M1215" s="105"/>
      <c r="N1215" s="106"/>
      <c r="O1215" s="104"/>
      <c r="P1215" s="105"/>
      <c r="Q1215" s="105"/>
      <c r="R1215" s="106"/>
      <c r="S1215" s="104"/>
      <c r="T1215" s="105"/>
      <c r="U1215" s="105"/>
      <c r="V1215" s="106"/>
      <c r="W1215" s="104"/>
      <c r="X1215" s="105"/>
      <c r="Y1215" s="105"/>
      <c r="Z1215" s="106"/>
      <c r="AA1215" s="104"/>
      <c r="AB1215" s="105"/>
      <c r="AC1215" s="105"/>
      <c r="AD1215" s="106"/>
      <c r="AE1215" s="107">
        <f>SUM(AE1207:AE1214)</f>
        <v>0</v>
      </c>
      <c r="AF1215" s="108">
        <f t="shared" si="2394"/>
        <v>0</v>
      </c>
      <c r="AG1215" s="109">
        <f>IFERROR(  SUMPRODUCT(AG1207:AG1214,AJ1207:AJ1214)/AJ1215,0)</f>
        <v>0</v>
      </c>
      <c r="AH1215" s="157"/>
      <c r="AI1215" s="111">
        <f t="shared" ref="AI1215:AJ1215" si="2461">SUM(AI1207:AI1214)</f>
        <v>0</v>
      </c>
      <c r="AJ1215" s="111">
        <f t="shared" si="2461"/>
        <v>0</v>
      </c>
      <c r="AK1215" s="112">
        <f>IF(SUM(AK1207:AK1214)=0,TIME(,0,),TIME(,SUM(AK1207:AK1214)+F!$V$37,))</f>
        <v>0</v>
      </c>
      <c r="AL1215" s="98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</row>
    <row r="1216" ht="15.75" hidden="1" customHeight="1">
      <c r="A1216" s="113">
        <f>A1217</f>
        <v>43933</v>
      </c>
      <c r="B1216" s="114" t="str">
        <f t="shared" ref="B1216:F1216" si="2462">IF(B1160="","",B1160)</f>
        <v/>
      </c>
      <c r="C1216" s="115" t="str">
        <f t="shared" si="2462"/>
        <v/>
      </c>
      <c r="D1216" s="116" t="str">
        <f t="shared" si="2462"/>
        <v/>
      </c>
      <c r="E1216" s="29" t="str">
        <f t="shared" si="2462"/>
        <v/>
      </c>
      <c r="F1216" s="117" t="str">
        <f t="shared" si="2462"/>
        <v/>
      </c>
      <c r="G1216" s="118" t="str">
        <f t="shared" ref="G1216:G1223" si="2464">IF(J1216&lt;&gt;0, IFERROR(IF( $F1216=2,  MROUND($AH1216*J1216,1),    IF( OR($F1216="",$F1216=1),   MROUND($AH1216*J1216,2.5),  MROUND($AH1216*J1216, 0.1))), "" ), "")</f>
        <v/>
      </c>
      <c r="H1216" s="119"/>
      <c r="I1216" s="119"/>
      <c r="J1216" s="120"/>
      <c r="K1216" s="118" t="str">
        <f t="shared" ref="K1216:K1223" si="2465">IF(N1216&lt;&gt;0, IFERROR(IF( $F1216=2,  MROUND($AH1216*N1216,1),    IF( OR($F1216="",$F1216=1),   MROUND($AH1216*N1216,2.5),  MROUND($AH1216*N1216, 0.1))), "" ), "")</f>
        <v/>
      </c>
      <c r="L1216" s="119"/>
      <c r="M1216" s="119"/>
      <c r="N1216" s="120"/>
      <c r="O1216" s="118" t="str">
        <f t="shared" ref="O1216:O1223" si="2466">IF(R1216&lt;&gt;0, IFERROR(IF( $F1216=2,  MROUND($AH1216*R1216,1),    IF( OR($F1216="",$F1216=1),   MROUND($AH1216*R1216,2.5),  MROUND($AH1216*R1216, 0.1))), "" ), "")</f>
        <v/>
      </c>
      <c r="P1216" s="119"/>
      <c r="Q1216" s="119"/>
      <c r="R1216" s="120"/>
      <c r="S1216" s="118" t="str">
        <f t="shared" ref="S1216:S1223" si="2467">IF(V1216&lt;&gt;0, IFERROR(IF( $F1216=2,  MROUND($AH1216*V1216,1),    IF( OR($F1216="",$F1216=1),   MROUND($AH1216*V1216,2.5),  MROUND($AH1216*V1216, 0.1))), "" ), "")</f>
        <v/>
      </c>
      <c r="T1216" s="119"/>
      <c r="U1216" s="119"/>
      <c r="V1216" s="120"/>
      <c r="W1216" s="118" t="str">
        <f t="shared" ref="W1216:W1223" si="2468">IF(Z1216&lt;&gt;0, IFERROR(IF( $F1216=2,  MROUND($AH1216*Z1216,1),    IF( OR($F1216="",$F1216=1),   MROUND($AH1216*Z1216,2.5),  MROUND($AH1216*Z1216, 0.1))), "" ), "")</f>
        <v/>
      </c>
      <c r="X1216" s="119"/>
      <c r="Y1216" s="119"/>
      <c r="Z1216" s="120"/>
      <c r="AA1216" s="118" t="str">
        <f t="shared" ref="AA1216:AA1223" si="2469">IF(AD1216&lt;&gt;0, IFERROR(IF( $F1216=2,  MROUND($AH1216*AD1216,1),    IF( OR($F1216="",$F1216=1),   MROUND($AH1216*AD1216,2.5),  MROUND($AH1216*AD1216, 0.1))), "" ), "")</f>
        <v/>
      </c>
      <c r="AB1216" s="119"/>
      <c r="AC1216" s="119"/>
      <c r="AD1216" s="120"/>
      <c r="AE1216" s="121">
        <f t="shared" ref="AE1216:AE1223" si="2470">(IF(ISNUMBER(G1216),G1216,0)*H1216*I1216+IF(ISNUMBER(K1216),K1216,1)*L1216*M1216+IF(ISNUMBER(O1216),O1216,1)*P1216*Q1216+IF(ISNUMBER(S1216),S1216,1)*T1216*U1216+IF(ISNUMBER(W1216),W1216,1)*X1216*Y1216+IF(ISNUMBER(AA1216),AA1216,1)*AB1216*AC1216)*IF(ISNUMBER(F1216),F1216,1)</f>
        <v>0</v>
      </c>
      <c r="AF1216" s="122">
        <f t="shared" si="2394"/>
        <v>0</v>
      </c>
      <c r="AG1216" s="200">
        <f t="shared" ref="AG1216:AG1223" si="2471">IFERROR((AF1216/(AH1216*IF(ISNUMBER(F1216),F1216,1))),0)</f>
        <v>0</v>
      </c>
      <c r="AH1216" s="169" t="str">
        <f t="shared" ref="AH1216:AH1223" si="2472">IF(ISNUMBER(AH1160), AH1160+(AH1160*$AH$1178),"")</f>
        <v/>
      </c>
      <c r="AI1216" s="122">
        <f> ( IF(ISNUMBER(G1216), VLOOKUP(G1216/$AH1216,F!$A1:$B101,2,1)*G1216*$H1216*$I1216,0)+IF(ISNUMBER(K1216), VLOOKUP(K1216/$AH1216,F!$A1:$B101,2,1)*K1216*$L1216*$M1216,0)+IF(ISNUMBER(O1216), VLOOKUP(O1216/$AH1216,F!$A1:$B101,2,1)*O1216*$P1216*$Q1216,0)+IF(ISNUMBER(S1216), VLOOKUP(S1216/$AH1216,F!$A1:$B101,2,1)*S1216*$T1216*$U1216,0)+IF(ISNUMBER(W1216), VLOOKUP(W1216/$AH1216,F!$A1:$B101,2,1)*W1216*$X1216*$Y1216,0)+IF(ISNUMBER(AA1216), VLOOKUP(AA1216/$AH1216,F!$A1:$B101,2,1)*AA1216*$AB1216*$AC1216,0))*IF(ISNUMBER(F1216),F1216,1)*IF(ISNUMBER(E1216),E1216,1)</f>
        <v>0</v>
      </c>
      <c r="AJ1216" s="119">
        <f t="shared" ref="AJ1216:AJ1223" si="2473">H1216*I1216+L1216*M1216+P1216*Q1216+T1216*U1216+X1216*Y1216+AB1216*AC1216</f>
        <v>0</v>
      </c>
      <c r="AK1216" s="125">
        <f t="array" ref="AK1216">IFERROR(I1216*INDEX(F!$P$21:$AB$33, MATCH(G1216/$AH1216, F!$O$21:$O$33,1), MATCH(E1216, F!$P$20:$AB$20,1)), 0 ) +IFERROR( M1216*INDEX(F!$P$21:$AB$33, MATCH(K1216/$AH1216, F!$O$21:$O$33,1), MATCH(E1216, F!$P$20:$AB$20,1)),0) +  IFERROR( Q1216*INDEX(F!$P$21:$AB$33, MATCH(O1216/$AH1216, F!$O$21:$O$33,1), MATCH(E1216, F!$P$20:$AB$20,1)), 0) + IFERROR( U1216*INDEX(F!$P$21:$AB$33, MATCH(S1216/$AH1216, F!$O$21:$O$33,1), MATCH(E1216, F!$P$20:$AB$20,1)),0)  + IFERROR(Y1216*INDEX(F!$P$21:$AB$33, MATCH(W1216/$AH1216, F!$O$21:$O$33,1), MATCH(E1216, F!$P$20:$AB$20,1)),0)  + IFERROR( AC1216*INDEX(F!$P$21:$AB$33, MATCH(AA1216/$AH1216, F!$O$21:$O$33,1), MATCH(E1216, F!$P$20:$AB$20,1)),)</f>
        <v>0</v>
      </c>
      <c r="AL1216" s="42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</row>
    <row r="1217" ht="15.75" hidden="1" customHeight="1">
      <c r="A1217" s="44">
        <f>A1161+A1122</f>
        <v>43933</v>
      </c>
      <c r="B1217" s="126" t="str">
        <f t="shared" ref="B1217:F1217" si="2463">IF(B1161="","",B1161)</f>
        <v/>
      </c>
      <c r="C1217" s="127" t="str">
        <f t="shared" si="2463"/>
        <v/>
      </c>
      <c r="D1217" s="128" t="str">
        <f t="shared" si="2463"/>
        <v/>
      </c>
      <c r="E1217" s="48" t="str">
        <f t="shared" si="2463"/>
        <v/>
      </c>
      <c r="F1217" s="129" t="str">
        <f t="shared" si="2463"/>
        <v/>
      </c>
      <c r="G1217" s="130" t="str">
        <f t="shared" si="2464"/>
        <v/>
      </c>
      <c r="H1217" s="34"/>
      <c r="I1217" s="34"/>
      <c r="J1217" s="65"/>
      <c r="K1217" s="130" t="str">
        <f t="shared" si="2465"/>
        <v/>
      </c>
      <c r="L1217" s="34"/>
      <c r="M1217" s="34"/>
      <c r="N1217" s="65"/>
      <c r="O1217" s="130" t="str">
        <f t="shared" si="2466"/>
        <v/>
      </c>
      <c r="P1217" s="34"/>
      <c r="Q1217" s="34"/>
      <c r="R1217" s="65"/>
      <c r="S1217" s="130" t="str">
        <f t="shared" si="2467"/>
        <v/>
      </c>
      <c r="T1217" s="34"/>
      <c r="U1217" s="34"/>
      <c r="V1217" s="65"/>
      <c r="W1217" s="130" t="str">
        <f t="shared" si="2468"/>
        <v/>
      </c>
      <c r="X1217" s="34"/>
      <c r="Y1217" s="34"/>
      <c r="Z1217" s="65"/>
      <c r="AA1217" s="130" t="str">
        <f t="shared" si="2469"/>
        <v/>
      </c>
      <c r="AB1217" s="34"/>
      <c r="AC1217" s="34"/>
      <c r="AD1217" s="65"/>
      <c r="AE1217" s="131">
        <f t="shared" si="2470"/>
        <v>0</v>
      </c>
      <c r="AF1217" s="132">
        <f t="shared" si="2394"/>
        <v>0</v>
      </c>
      <c r="AG1217" s="133">
        <f t="shared" si="2471"/>
        <v>0</v>
      </c>
      <c r="AH1217" s="76" t="str">
        <f t="shared" si="2472"/>
        <v/>
      </c>
      <c r="AI1217" s="132">
        <f> ( IF(ISNUMBER(G1217), VLOOKUP(G1217/$AH1217,F!$A1:$B101,2,1)*G1217*$H1217*$I1217,0)+IF(ISNUMBER(K1217), VLOOKUP(K1217/$AH1217,F!$A1:$B101,2,1)*K1217*$L1217*$M1217,0)+IF(ISNUMBER(O1217), VLOOKUP(O1217/$AH1217,F!$A1:$B101,2,1)*O1217*$P1217*$Q1217,0)+IF(ISNUMBER(S1217), VLOOKUP(S1217/$AH1217,F!$A1:$B101,2,1)*S1217*$T1217*$U1217,0)+IF(ISNUMBER(W1217), VLOOKUP(W1217/$AH1217,F!$A1:$B101,2,1)*W1217*$X1217*$Y1217,0)+IF(ISNUMBER(AA1217), VLOOKUP(AA1217/$AH1217,F!$A1:$B101,2,1)*AA1217*$AB1217*$AC1217,0))*IF(ISNUMBER(F1217),F1217,1)*IF(ISNUMBER(E1217),E1217,1)</f>
        <v>0</v>
      </c>
      <c r="AJ1217" s="34">
        <f t="shared" si="2473"/>
        <v>0</v>
      </c>
      <c r="AK1217" s="134">
        <f t="array" ref="AK1217">IFERROR(I1217*INDEX(F!$P$21:$AB$33, MATCH(G1217/$AH1217, F!$O$21:$O$33,1), MATCH(E1217, F!$P$20:$AB$20,1)), 0 ) +IFERROR( M1217*INDEX(F!$P$21:$AB$33, MATCH(K1217/$AH1217, F!$O$21:$O$33,1), MATCH(E1217, F!$P$20:$AB$20,1)),0) +  IFERROR( Q1217*INDEX(F!$P$21:$AB$33, MATCH(O1217/$AH1217, F!$O$21:$O$33,1), MATCH(E1217, F!$P$20:$AB$20,1)), 0) + IFERROR( U1217*INDEX(F!$P$21:$AB$33, MATCH(S1217/$AH1217, F!$O$21:$O$33,1), MATCH(E1217, F!$P$20:$AB$20,1)),0)  + IFERROR(Y1217*INDEX(F!$P$21:$AB$33, MATCH(W1217/$AH1217, F!$O$21:$O$33,1), MATCH(E1217, F!$P$20:$AB$20,1)),0)  + IFERROR( AC1217*INDEX(F!$P$21:$AB$33, MATCH(AA1217/$AH1217, F!$O$21:$O$33,1), MATCH(E1217, F!$P$20:$AB$20,1)),)</f>
        <v>0</v>
      </c>
      <c r="AL1217" s="59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</row>
    <row r="1218" ht="15.75" hidden="1" customHeight="1">
      <c r="A1218" s="59"/>
      <c r="B1218" s="135" t="str">
        <f t="shared" ref="B1218:F1218" si="2474">IF(B1162="","",B1162)</f>
        <v/>
      </c>
      <c r="C1218" s="136" t="str">
        <f t="shared" si="2474"/>
        <v/>
      </c>
      <c r="D1218" s="137" t="str">
        <f t="shared" si="2474"/>
        <v/>
      </c>
      <c r="E1218" s="48" t="str">
        <f t="shared" si="2474"/>
        <v/>
      </c>
      <c r="F1218" s="138" t="str">
        <f t="shared" si="2474"/>
        <v/>
      </c>
      <c r="G1218" s="139" t="str">
        <f t="shared" si="2464"/>
        <v/>
      </c>
      <c r="H1218" s="140"/>
      <c r="I1218" s="140"/>
      <c r="J1218" s="141"/>
      <c r="K1218" s="139" t="str">
        <f t="shared" si="2465"/>
        <v/>
      </c>
      <c r="L1218" s="140"/>
      <c r="M1218" s="140"/>
      <c r="N1218" s="141"/>
      <c r="O1218" s="139" t="str">
        <f t="shared" si="2466"/>
        <v/>
      </c>
      <c r="P1218" s="140"/>
      <c r="Q1218" s="140"/>
      <c r="R1218" s="141"/>
      <c r="S1218" s="139" t="str">
        <f t="shared" si="2467"/>
        <v/>
      </c>
      <c r="T1218" s="140"/>
      <c r="U1218" s="140"/>
      <c r="V1218" s="141"/>
      <c r="W1218" s="139" t="str">
        <f t="shared" si="2468"/>
        <v/>
      </c>
      <c r="X1218" s="140"/>
      <c r="Y1218" s="140"/>
      <c r="Z1218" s="141"/>
      <c r="AA1218" s="139" t="str">
        <f t="shared" si="2469"/>
        <v/>
      </c>
      <c r="AB1218" s="140"/>
      <c r="AC1218" s="140"/>
      <c r="AD1218" s="141"/>
      <c r="AE1218" s="142">
        <f t="shared" si="2470"/>
        <v>0</v>
      </c>
      <c r="AF1218" s="143">
        <f t="shared" si="2394"/>
        <v>0</v>
      </c>
      <c r="AG1218" s="144">
        <f t="shared" si="2471"/>
        <v>0</v>
      </c>
      <c r="AH1218" s="76" t="str">
        <f t="shared" si="2472"/>
        <v/>
      </c>
      <c r="AI1218" s="143">
        <f> ( IF(ISNUMBER(G1218), VLOOKUP(G1218/$AH1218,F!$A1:$B101,2,1)*G1218*$H1218*$I1218,0)+IF(ISNUMBER(K1218), VLOOKUP(K1218/$AH1218,F!$A1:$B101,2,1)*K1218*$L1218*$M1218,0)+IF(ISNUMBER(O1218), VLOOKUP(O1218/$AH1218,F!$A1:$B101,2,1)*O1218*$P1218*$Q1218,0)+IF(ISNUMBER(S1218), VLOOKUP(S1218/$AH1218,F!$A1:$B101,2,1)*S1218*$T1218*$U1218,0)+IF(ISNUMBER(W1218), VLOOKUP(W1218/$AH1218,F!$A1:$B101,2,1)*W1218*$X1218*$Y1218,0)+IF(ISNUMBER(AA1218), VLOOKUP(AA1218/$AH1218,F!$A1:$B101,2,1)*AA1218*$AB1218*$AC1218,0))*IF(ISNUMBER(F1218),F1218,1)*IF(ISNUMBER(E1218),E1218,1)</f>
        <v>0</v>
      </c>
      <c r="AJ1218" s="140">
        <f t="shared" si="2473"/>
        <v>0</v>
      </c>
      <c r="AK1218" s="145">
        <f t="array" ref="AK1218">IFERROR(I1218*INDEX(F!$P$21:$AB$33, MATCH(G1218/$AH1218, F!$O$21:$O$33,1), MATCH(E1218, F!$P$20:$AB$20,1)), 0 ) +IFERROR( M1218*INDEX(F!$P$21:$AB$33, MATCH(K1218/$AH1218, F!$O$21:$O$33,1), MATCH(E1218, F!$P$20:$AB$20,1)),0) +  IFERROR( Q1218*INDEX(F!$P$21:$AB$33, MATCH(O1218/$AH1218, F!$O$21:$O$33,1), MATCH(E1218, F!$P$20:$AB$20,1)), 0) + IFERROR( U1218*INDEX(F!$P$21:$AB$33, MATCH(S1218/$AH1218, F!$O$21:$O$33,1), MATCH(E1218, F!$P$20:$AB$20,1)),0)  + IFERROR(Y1218*INDEX(F!$P$21:$AB$33, MATCH(W1218/$AH1218, F!$O$21:$O$33,1), MATCH(E1218, F!$P$20:$AB$20,1)),0)  + IFERROR( AC1218*INDEX(F!$P$21:$AB$33, MATCH(AA1218/$AH1218, F!$O$21:$O$33,1), MATCH(E1218, F!$P$20:$AB$20,1)),)</f>
        <v>0</v>
      </c>
      <c r="AL1218" s="59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</row>
    <row r="1219" ht="15.75" hidden="1" customHeight="1">
      <c r="A1219" s="59"/>
      <c r="B1219" s="126" t="str">
        <f t="shared" ref="B1219:F1219" si="2475">IF(B1163="","",B1163)</f>
        <v/>
      </c>
      <c r="C1219" s="127" t="str">
        <f t="shared" si="2475"/>
        <v/>
      </c>
      <c r="D1219" s="128" t="str">
        <f t="shared" si="2475"/>
        <v/>
      </c>
      <c r="E1219" s="48" t="str">
        <f t="shared" si="2475"/>
        <v/>
      </c>
      <c r="F1219" s="129" t="str">
        <f t="shared" si="2475"/>
        <v/>
      </c>
      <c r="G1219" s="130" t="str">
        <f t="shared" si="2464"/>
        <v/>
      </c>
      <c r="H1219" s="34"/>
      <c r="I1219" s="34"/>
      <c r="J1219" s="65"/>
      <c r="K1219" s="130" t="str">
        <f t="shared" si="2465"/>
        <v/>
      </c>
      <c r="L1219" s="34"/>
      <c r="M1219" s="34"/>
      <c r="N1219" s="65"/>
      <c r="O1219" s="130" t="str">
        <f t="shared" si="2466"/>
        <v/>
      </c>
      <c r="P1219" s="34"/>
      <c r="Q1219" s="34"/>
      <c r="R1219" s="65"/>
      <c r="S1219" s="130" t="str">
        <f t="shared" si="2467"/>
        <v/>
      </c>
      <c r="T1219" s="34"/>
      <c r="U1219" s="34"/>
      <c r="V1219" s="65"/>
      <c r="W1219" s="130" t="str">
        <f t="shared" si="2468"/>
        <v/>
      </c>
      <c r="X1219" s="34"/>
      <c r="Y1219" s="34"/>
      <c r="Z1219" s="65"/>
      <c r="AA1219" s="130" t="str">
        <f t="shared" si="2469"/>
        <v/>
      </c>
      <c r="AB1219" s="34"/>
      <c r="AC1219" s="34"/>
      <c r="AD1219" s="65"/>
      <c r="AE1219" s="131">
        <f t="shared" si="2470"/>
        <v>0</v>
      </c>
      <c r="AF1219" s="132">
        <f t="shared" si="2394"/>
        <v>0</v>
      </c>
      <c r="AG1219" s="133">
        <f t="shared" si="2471"/>
        <v>0</v>
      </c>
      <c r="AH1219" s="76" t="str">
        <f t="shared" si="2472"/>
        <v/>
      </c>
      <c r="AI1219" s="132">
        <f> ( IF(ISNUMBER(G1219), VLOOKUP(G1219/$AH1219,F!$A1:$B101,2,1)*G1219*$H1219*$I1219,0)+IF(ISNUMBER(K1219), VLOOKUP(K1219/$AH1219,F!$A1:$B101,2,1)*K1219*$L1219*$M1219,0)+IF(ISNUMBER(O1219), VLOOKUP(O1219/$AH1219,F!$A1:$B101,2,1)*O1219*$P1219*$Q1219,0)+IF(ISNUMBER(S1219), VLOOKUP(S1219/$AH1219,F!$A1:$B101,2,1)*S1219*$T1219*$U1219,0)+IF(ISNUMBER(W1219), VLOOKUP(W1219/$AH1219,F!$A1:$B101,2,1)*W1219*$X1219*$Y1219,0)+IF(ISNUMBER(AA1219), VLOOKUP(AA1219/$AH1219,F!$A1:$B101,2,1)*AA1219*$AB1219*$AC1219,0))*IF(ISNUMBER(F1219),F1219,1)*IF(ISNUMBER(E1219),E1219,1)</f>
        <v>0</v>
      </c>
      <c r="AJ1219" s="34">
        <f t="shared" si="2473"/>
        <v>0</v>
      </c>
      <c r="AK1219" s="134">
        <f t="array" ref="AK1219">IFERROR(I1219*INDEX(F!$P$21:$AB$33, MATCH(G1219/$AH1219, F!$O$21:$O$33,1), MATCH(E1219, F!$P$20:$AB$20,1)), 0 ) +IFERROR( M1219*INDEX(F!$P$21:$AB$33, MATCH(K1219/$AH1219, F!$O$21:$O$33,1), MATCH(E1219, F!$P$20:$AB$20,1)),0) +  IFERROR( Q1219*INDEX(F!$P$21:$AB$33, MATCH(O1219/$AH1219, F!$O$21:$O$33,1), MATCH(E1219, F!$P$20:$AB$20,1)), 0) + IFERROR( U1219*INDEX(F!$P$21:$AB$33, MATCH(S1219/$AH1219, F!$O$21:$O$33,1), MATCH(E1219, F!$P$20:$AB$20,1)),0)  + IFERROR(Y1219*INDEX(F!$P$21:$AB$33, MATCH(W1219/$AH1219, F!$O$21:$O$33,1), MATCH(E1219, F!$P$20:$AB$20,1)),0)  + IFERROR( AC1219*INDEX(F!$P$21:$AB$33, MATCH(AA1219/$AH1219, F!$O$21:$O$33,1), MATCH(E1219, F!$P$20:$AB$20,1)),)</f>
        <v>0</v>
      </c>
      <c r="AL1219" s="59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</row>
    <row r="1220" ht="15.75" hidden="1" customHeight="1">
      <c r="A1220" s="59"/>
      <c r="B1220" s="135" t="str">
        <f t="shared" ref="B1220:F1220" si="2476">IF(B1164="","",B1164)</f>
        <v/>
      </c>
      <c r="C1220" s="136" t="str">
        <f t="shared" si="2476"/>
        <v/>
      </c>
      <c r="D1220" s="137" t="str">
        <f t="shared" si="2476"/>
        <v/>
      </c>
      <c r="E1220" s="48" t="str">
        <f t="shared" si="2476"/>
        <v/>
      </c>
      <c r="F1220" s="138" t="str">
        <f t="shared" si="2476"/>
        <v/>
      </c>
      <c r="G1220" s="139" t="str">
        <f t="shared" si="2464"/>
        <v/>
      </c>
      <c r="H1220" s="140"/>
      <c r="I1220" s="140"/>
      <c r="J1220" s="141"/>
      <c r="K1220" s="139" t="str">
        <f t="shared" si="2465"/>
        <v/>
      </c>
      <c r="L1220" s="140"/>
      <c r="M1220" s="140"/>
      <c r="N1220" s="141"/>
      <c r="O1220" s="139" t="str">
        <f t="shared" si="2466"/>
        <v/>
      </c>
      <c r="P1220" s="140"/>
      <c r="Q1220" s="140"/>
      <c r="R1220" s="141"/>
      <c r="S1220" s="139" t="str">
        <f t="shared" si="2467"/>
        <v/>
      </c>
      <c r="T1220" s="140"/>
      <c r="U1220" s="140"/>
      <c r="V1220" s="141"/>
      <c r="W1220" s="139" t="str">
        <f t="shared" si="2468"/>
        <v/>
      </c>
      <c r="X1220" s="140"/>
      <c r="Y1220" s="140"/>
      <c r="Z1220" s="141"/>
      <c r="AA1220" s="139" t="str">
        <f t="shared" si="2469"/>
        <v/>
      </c>
      <c r="AB1220" s="140"/>
      <c r="AC1220" s="140"/>
      <c r="AD1220" s="141"/>
      <c r="AE1220" s="142">
        <f t="shared" si="2470"/>
        <v>0</v>
      </c>
      <c r="AF1220" s="143">
        <f t="shared" si="2394"/>
        <v>0</v>
      </c>
      <c r="AG1220" s="144">
        <f t="shared" si="2471"/>
        <v>0</v>
      </c>
      <c r="AH1220" s="76" t="str">
        <f t="shared" si="2472"/>
        <v/>
      </c>
      <c r="AI1220" s="143">
        <f> ( IF(ISNUMBER(G1220), VLOOKUP(G1220/$AH1220,F!$A1:$B101,2,1)*G1220*$H1220*$I1220,0)+IF(ISNUMBER(K1220), VLOOKUP(K1220/$AH1220,F!$A1:$B101,2,1)*K1220*$L1220*$M1220,0)+IF(ISNUMBER(O1220), VLOOKUP(O1220/$AH1220,F!$A1:$B101,2,1)*O1220*$P1220*$Q1220,0)+IF(ISNUMBER(S1220), VLOOKUP(S1220/$AH1220,F!$A1:$B101,2,1)*S1220*$T1220*$U1220,0)+IF(ISNUMBER(W1220), VLOOKUP(W1220/$AH1220,F!$A1:$B101,2,1)*W1220*$X1220*$Y1220,0)+IF(ISNUMBER(AA1220), VLOOKUP(AA1220/$AH1220,F!$A1:$B101,2,1)*AA1220*$AB1220*$AC1220,0))*IF(ISNUMBER(F1220),F1220,1)*IF(ISNUMBER(E1220),E1220,1)</f>
        <v>0</v>
      </c>
      <c r="AJ1220" s="140">
        <f t="shared" si="2473"/>
        <v>0</v>
      </c>
      <c r="AK1220" s="145">
        <f t="array" ref="AK1220">IFERROR(I1220*INDEX(F!$P$21:$AB$33, MATCH(G1220/$AH1220, F!$O$21:$O$33,1), MATCH(E1220, F!$P$20:$AB$20,1)), 0 ) +IFERROR( M1220*INDEX(F!$P$21:$AB$33, MATCH(K1220/$AH1220, F!$O$21:$O$33,1), MATCH(E1220, F!$P$20:$AB$20,1)),0) +  IFERROR( Q1220*INDEX(F!$P$21:$AB$33, MATCH(O1220/$AH1220, F!$O$21:$O$33,1), MATCH(E1220, F!$P$20:$AB$20,1)), 0) + IFERROR( U1220*INDEX(F!$P$21:$AB$33, MATCH(S1220/$AH1220, F!$O$21:$O$33,1), MATCH(E1220, F!$P$20:$AB$20,1)),0)  + IFERROR(Y1220*INDEX(F!$P$21:$AB$33, MATCH(W1220/$AH1220, F!$O$21:$O$33,1), MATCH(E1220, F!$P$20:$AB$20,1)),0)  + IFERROR( AC1220*INDEX(F!$P$21:$AB$33, MATCH(AA1220/$AH1220, F!$O$21:$O$33,1), MATCH(E1220, F!$P$20:$AB$20,1)),)</f>
        <v>0</v>
      </c>
      <c r="AL1220" s="59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</row>
    <row r="1221" ht="15.75" hidden="1" customHeight="1">
      <c r="A1221" s="59"/>
      <c r="B1221" s="126" t="str">
        <f t="shared" ref="B1221:F1221" si="2477">IF(B1165="","",B1165)</f>
        <v/>
      </c>
      <c r="C1221" s="127" t="str">
        <f t="shared" si="2477"/>
        <v/>
      </c>
      <c r="D1221" s="128" t="str">
        <f t="shared" si="2477"/>
        <v/>
      </c>
      <c r="E1221" s="48" t="str">
        <f t="shared" si="2477"/>
        <v/>
      </c>
      <c r="F1221" s="129" t="str">
        <f t="shared" si="2477"/>
        <v/>
      </c>
      <c r="G1221" s="130" t="str">
        <f t="shared" si="2464"/>
        <v/>
      </c>
      <c r="H1221" s="34"/>
      <c r="I1221" s="34"/>
      <c r="J1221" s="65"/>
      <c r="K1221" s="130" t="str">
        <f t="shared" si="2465"/>
        <v/>
      </c>
      <c r="L1221" s="34"/>
      <c r="M1221" s="34"/>
      <c r="N1221" s="65"/>
      <c r="O1221" s="130" t="str">
        <f t="shared" si="2466"/>
        <v/>
      </c>
      <c r="P1221" s="34"/>
      <c r="Q1221" s="34"/>
      <c r="R1221" s="65"/>
      <c r="S1221" s="130" t="str">
        <f t="shared" si="2467"/>
        <v/>
      </c>
      <c r="T1221" s="34"/>
      <c r="U1221" s="34"/>
      <c r="V1221" s="65"/>
      <c r="W1221" s="130" t="str">
        <f t="shared" si="2468"/>
        <v/>
      </c>
      <c r="X1221" s="34"/>
      <c r="Y1221" s="34"/>
      <c r="Z1221" s="65"/>
      <c r="AA1221" s="130" t="str">
        <f t="shared" si="2469"/>
        <v/>
      </c>
      <c r="AB1221" s="34"/>
      <c r="AC1221" s="34"/>
      <c r="AD1221" s="65"/>
      <c r="AE1221" s="131">
        <f t="shared" si="2470"/>
        <v>0</v>
      </c>
      <c r="AF1221" s="132">
        <f t="shared" si="2394"/>
        <v>0</v>
      </c>
      <c r="AG1221" s="133">
        <f t="shared" si="2471"/>
        <v>0</v>
      </c>
      <c r="AH1221" s="76" t="str">
        <f t="shared" si="2472"/>
        <v/>
      </c>
      <c r="AI1221" s="132">
        <f> ( IF(ISNUMBER(G1221), VLOOKUP(G1221/$AH1221,F!$A1:$B101,2,1)*G1221*$H1221*$I1221,0)+IF(ISNUMBER(K1221), VLOOKUP(K1221/$AH1221,F!$A1:$B101,2,1)*K1221*$L1221*$M1221,0)+IF(ISNUMBER(O1221), VLOOKUP(O1221/$AH1221,F!$A1:$B101,2,1)*O1221*$P1221*$Q1221,0)+IF(ISNUMBER(S1221), VLOOKUP(S1221/$AH1221,F!$A1:$B101,2,1)*S1221*$T1221*$U1221,0)+IF(ISNUMBER(W1221), VLOOKUP(W1221/$AH1221,F!$A1:$B101,2,1)*W1221*$X1221*$Y1221,0)+IF(ISNUMBER(AA1221), VLOOKUP(AA1221/$AH1221,F!$A1:$B101,2,1)*AA1221*$AB1221*$AC1221,0))*IF(ISNUMBER(F1221),F1221,1)*IF(ISNUMBER(E1221),E1221,1)</f>
        <v>0</v>
      </c>
      <c r="AJ1221" s="34">
        <f t="shared" si="2473"/>
        <v>0</v>
      </c>
      <c r="AK1221" s="134">
        <f t="array" ref="AK1221">IFERROR(I1221*INDEX(F!$P$21:$AB$33, MATCH(G1221/$AH1221, F!$O$21:$O$33,1), MATCH(E1221, F!$P$20:$AB$20,1)), 0 ) +IFERROR( M1221*INDEX(F!$P$21:$AB$33, MATCH(K1221/$AH1221, F!$O$21:$O$33,1), MATCH(E1221, F!$P$20:$AB$20,1)),0) +  IFERROR( Q1221*INDEX(F!$P$21:$AB$33, MATCH(O1221/$AH1221, F!$O$21:$O$33,1), MATCH(E1221, F!$P$20:$AB$20,1)), 0) + IFERROR( U1221*INDEX(F!$P$21:$AB$33, MATCH(S1221/$AH1221, F!$O$21:$O$33,1), MATCH(E1221, F!$P$20:$AB$20,1)),0)  + IFERROR(Y1221*INDEX(F!$P$21:$AB$33, MATCH(W1221/$AH1221, F!$O$21:$O$33,1), MATCH(E1221, F!$P$20:$AB$20,1)),0)  + IFERROR( AC1221*INDEX(F!$P$21:$AB$33, MATCH(AA1221/$AH1221, F!$O$21:$O$33,1), MATCH(E1221, F!$P$20:$AB$20,1)),)</f>
        <v>0</v>
      </c>
      <c r="AL1221" s="59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</row>
    <row r="1222" ht="15.75" hidden="1" customHeight="1">
      <c r="A1222" s="59"/>
      <c r="B1222" s="135" t="str">
        <f t="shared" ref="B1222:F1222" si="2478">IF(B1166="","",B1166)</f>
        <v/>
      </c>
      <c r="C1222" s="136" t="str">
        <f t="shared" si="2478"/>
        <v/>
      </c>
      <c r="D1222" s="137" t="str">
        <f t="shared" si="2478"/>
        <v/>
      </c>
      <c r="E1222" s="48" t="str">
        <f t="shared" si="2478"/>
        <v/>
      </c>
      <c r="F1222" s="138" t="str">
        <f t="shared" si="2478"/>
        <v/>
      </c>
      <c r="G1222" s="139" t="str">
        <f t="shared" si="2464"/>
        <v/>
      </c>
      <c r="H1222" s="140"/>
      <c r="I1222" s="140"/>
      <c r="J1222" s="141"/>
      <c r="K1222" s="139" t="str">
        <f t="shared" si="2465"/>
        <v/>
      </c>
      <c r="L1222" s="140"/>
      <c r="M1222" s="140"/>
      <c r="N1222" s="141"/>
      <c r="O1222" s="139" t="str">
        <f t="shared" si="2466"/>
        <v/>
      </c>
      <c r="P1222" s="140"/>
      <c r="Q1222" s="140"/>
      <c r="R1222" s="141"/>
      <c r="S1222" s="139" t="str">
        <f t="shared" si="2467"/>
        <v/>
      </c>
      <c r="T1222" s="140"/>
      <c r="U1222" s="140"/>
      <c r="V1222" s="141"/>
      <c r="W1222" s="139" t="str">
        <f t="shared" si="2468"/>
        <v/>
      </c>
      <c r="X1222" s="140"/>
      <c r="Y1222" s="140"/>
      <c r="Z1222" s="141"/>
      <c r="AA1222" s="139" t="str">
        <f t="shared" si="2469"/>
        <v/>
      </c>
      <c r="AB1222" s="140"/>
      <c r="AC1222" s="140"/>
      <c r="AD1222" s="141"/>
      <c r="AE1222" s="142">
        <f t="shared" si="2470"/>
        <v>0</v>
      </c>
      <c r="AF1222" s="143">
        <f t="shared" si="2394"/>
        <v>0</v>
      </c>
      <c r="AG1222" s="144">
        <f t="shared" si="2471"/>
        <v>0</v>
      </c>
      <c r="AH1222" s="76" t="str">
        <f t="shared" si="2472"/>
        <v/>
      </c>
      <c r="AI1222" s="143">
        <f> ( IF(ISNUMBER(G1222), VLOOKUP(G1222/$AH1222,F!$A1:$B101,2,1)*G1222*$H1222*$I1222,0)+IF(ISNUMBER(K1222), VLOOKUP(K1222/$AH1222,F!$A1:$B101,2,1)*K1222*$L1222*$M1222,0)+IF(ISNUMBER(O1222), VLOOKUP(O1222/$AH1222,F!$A1:$B101,2,1)*O1222*$P1222*$Q1222,0)+IF(ISNUMBER(S1222), VLOOKUP(S1222/$AH1222,F!$A1:$B101,2,1)*S1222*$T1222*$U1222,0)+IF(ISNUMBER(W1222), VLOOKUP(W1222/$AH1222,F!$A1:$B101,2,1)*W1222*$X1222*$Y1222,0)+IF(ISNUMBER(AA1222), VLOOKUP(AA1222/$AH1222,F!$A1:$B101,2,1)*AA1222*$AB1222*$AC1222,0))*IF(ISNUMBER(F1222),F1222,1)*IF(ISNUMBER(E1222),E1222,1)</f>
        <v>0</v>
      </c>
      <c r="AJ1222" s="140">
        <f t="shared" si="2473"/>
        <v>0</v>
      </c>
      <c r="AK1222" s="145">
        <f t="array" ref="AK1222">IFERROR(I1222*INDEX(F!$P$21:$AB$33, MATCH(G1222/$AH1222, F!$O$21:$O$33,1), MATCH(E1222, F!$P$20:$AB$20,1)), 0 ) +IFERROR( M1222*INDEX(F!$P$21:$AB$33, MATCH(K1222/$AH1222, F!$O$21:$O$33,1), MATCH(E1222, F!$P$20:$AB$20,1)),0) +  IFERROR( Q1222*INDEX(F!$P$21:$AB$33, MATCH(O1222/$AH1222, F!$O$21:$O$33,1), MATCH(E1222, F!$P$20:$AB$20,1)), 0) + IFERROR( U1222*INDEX(F!$P$21:$AB$33, MATCH(S1222/$AH1222, F!$O$21:$O$33,1), MATCH(E1222, F!$P$20:$AB$20,1)),0)  + IFERROR(Y1222*INDEX(F!$P$21:$AB$33, MATCH(W1222/$AH1222, F!$O$21:$O$33,1), MATCH(E1222, F!$P$20:$AB$20,1)),0)  + IFERROR( AC1222*INDEX(F!$P$21:$AB$33, MATCH(AA1222/$AH1222, F!$O$21:$O$33,1), MATCH(E1222, F!$P$20:$AB$20,1)),)</f>
        <v>0</v>
      </c>
      <c r="AL1222" s="59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</row>
    <row r="1223" ht="15.75" hidden="1" customHeight="1">
      <c r="A1223" s="59"/>
      <c r="B1223" s="126" t="str">
        <f t="shared" ref="B1223:F1223" si="2479">IF(B1167="","",B1167)</f>
        <v/>
      </c>
      <c r="C1223" s="127" t="str">
        <f t="shared" si="2479"/>
        <v/>
      </c>
      <c r="D1223" s="128" t="str">
        <f t="shared" si="2479"/>
        <v/>
      </c>
      <c r="E1223" s="48" t="str">
        <f t="shared" si="2479"/>
        <v/>
      </c>
      <c r="F1223" s="129" t="str">
        <f t="shared" si="2479"/>
        <v/>
      </c>
      <c r="G1223" s="130" t="str">
        <f t="shared" si="2464"/>
        <v/>
      </c>
      <c r="H1223" s="34"/>
      <c r="I1223" s="34"/>
      <c r="J1223" s="65"/>
      <c r="K1223" s="130" t="str">
        <f t="shared" si="2465"/>
        <v/>
      </c>
      <c r="L1223" s="34"/>
      <c r="M1223" s="34"/>
      <c r="N1223" s="65"/>
      <c r="O1223" s="130" t="str">
        <f t="shared" si="2466"/>
        <v/>
      </c>
      <c r="P1223" s="34"/>
      <c r="Q1223" s="34"/>
      <c r="R1223" s="65"/>
      <c r="S1223" s="130" t="str">
        <f t="shared" si="2467"/>
        <v/>
      </c>
      <c r="T1223" s="34"/>
      <c r="U1223" s="34"/>
      <c r="V1223" s="65"/>
      <c r="W1223" s="130" t="str">
        <f t="shared" si="2468"/>
        <v/>
      </c>
      <c r="X1223" s="34"/>
      <c r="Y1223" s="34"/>
      <c r="Z1223" s="65"/>
      <c r="AA1223" s="130" t="str">
        <f t="shared" si="2469"/>
        <v/>
      </c>
      <c r="AB1223" s="34"/>
      <c r="AC1223" s="34"/>
      <c r="AD1223" s="65"/>
      <c r="AE1223" s="131">
        <f t="shared" si="2470"/>
        <v>0</v>
      </c>
      <c r="AF1223" s="132">
        <f t="shared" si="2394"/>
        <v>0</v>
      </c>
      <c r="AG1223" s="133">
        <f t="shared" si="2471"/>
        <v>0</v>
      </c>
      <c r="AH1223" s="76" t="str">
        <f t="shared" si="2472"/>
        <v/>
      </c>
      <c r="AI1223" s="132">
        <f> ( IF(ISNUMBER(G1223), VLOOKUP(G1223/$AH1223,F!$A1:$B101,2,1)*G1223*$H1223*$I1223,0)+IF(ISNUMBER(K1223), VLOOKUP(K1223/$AH1223,F!$A1:$B101,2,1)*K1223*$L1223*$M1223,0)+IF(ISNUMBER(O1223), VLOOKUP(O1223/$AH1223,F!$A1:$B101,2,1)*O1223*$P1223*$Q1223,0)+IF(ISNUMBER(S1223), VLOOKUP(S1223/$AH1223,F!$A1:$B101,2,1)*S1223*$T1223*$U1223,0)+IF(ISNUMBER(W1223), VLOOKUP(W1223/$AH1223,F!$A1:$B101,2,1)*W1223*$X1223*$Y1223,0)+IF(ISNUMBER(AA1223), VLOOKUP(AA1223/$AH1223,F!$A1:$B101,2,1)*AA1223*$AB1223*$AC1223,0))*IF(ISNUMBER(F1223),F1223,1)*IF(ISNUMBER(E1223),E1223,1)</f>
        <v>0</v>
      </c>
      <c r="AJ1223" s="34">
        <f t="shared" si="2473"/>
        <v>0</v>
      </c>
      <c r="AK1223" s="134">
        <f t="array" ref="AK1223">IFERROR(I1223*INDEX(F!$P$21:$AB$33, MATCH(G1223/$AH1223, F!$O$21:$O$33,1), MATCH(E1223, F!$P$20:$AB$20,1)), 0 ) +IFERROR( M1223*INDEX(F!$P$21:$AB$33, MATCH(K1223/$AH1223, F!$O$21:$O$33,1), MATCH(E1223, F!$P$20:$AB$20,1)),0) +  IFERROR( Q1223*INDEX(F!$P$21:$AB$33, MATCH(O1223/$AH1223, F!$O$21:$O$33,1), MATCH(E1223, F!$P$20:$AB$20,1)), 0) + IFERROR( U1223*INDEX(F!$P$21:$AB$33, MATCH(S1223/$AH1223, F!$O$21:$O$33,1), MATCH(E1223, F!$P$20:$AB$20,1)),0)  + IFERROR(Y1223*INDEX(F!$P$21:$AB$33, MATCH(W1223/$AH1223, F!$O$21:$O$33,1), MATCH(E1223, F!$P$20:$AB$20,1)),0)  + IFERROR( AC1223*INDEX(F!$P$21:$AB$33, MATCH(AA1223/$AH1223, F!$O$21:$O$33,1), MATCH(E1223, F!$P$20:$AB$20,1)),)</f>
        <v>0</v>
      </c>
      <c r="AL1223" s="59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</row>
    <row r="1224" ht="15.75" hidden="1" customHeight="1">
      <c r="A1224" s="98"/>
      <c r="B1224" s="150"/>
      <c r="C1224" s="151"/>
      <c r="D1224" s="152"/>
      <c r="E1224" s="102">
        <f>ROUND(IFERROR(SUMPRODUCT(AJ1216:AJ1223,E1216:E1223)/AJ1224,0),3)</f>
        <v>0</v>
      </c>
      <c r="F1224" s="153"/>
      <c r="G1224" s="154"/>
      <c r="H1224" s="155"/>
      <c r="I1224" s="155"/>
      <c r="J1224" s="156"/>
      <c r="K1224" s="154"/>
      <c r="L1224" s="155"/>
      <c r="M1224" s="155"/>
      <c r="N1224" s="156"/>
      <c r="O1224" s="154"/>
      <c r="P1224" s="155"/>
      <c r="Q1224" s="155"/>
      <c r="R1224" s="156"/>
      <c r="S1224" s="154"/>
      <c r="T1224" s="155"/>
      <c r="U1224" s="155"/>
      <c r="V1224" s="156"/>
      <c r="W1224" s="154"/>
      <c r="X1224" s="155"/>
      <c r="Y1224" s="155"/>
      <c r="Z1224" s="156"/>
      <c r="AA1224" s="154"/>
      <c r="AB1224" s="155"/>
      <c r="AC1224" s="155"/>
      <c r="AD1224" s="156"/>
      <c r="AE1224" s="107">
        <f>SUM(AE1216:AE1223)</f>
        <v>0</v>
      </c>
      <c r="AF1224" s="108">
        <f t="shared" si="2394"/>
        <v>0</v>
      </c>
      <c r="AG1224" s="109">
        <f>IFERROR(  SUMPRODUCT(AG1216:AG1223,AJ1216:AJ1223)/AJ1224,0)</f>
        <v>0</v>
      </c>
      <c r="AH1224" s="157"/>
      <c r="AI1224" s="111">
        <f t="shared" ref="AI1224:AJ1224" si="2480">SUM(AI1216:AI1223)</f>
        <v>0</v>
      </c>
      <c r="AJ1224" s="111">
        <f t="shared" si="2480"/>
        <v>0</v>
      </c>
      <c r="AK1224" s="112">
        <f>IF(SUM(AK1216:AK1223)=0,TIME(,0,),TIME(,SUM(AK1216:AK1223)+F!$V$37,))</f>
        <v>0</v>
      </c>
      <c r="AL1224" s="98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</row>
    <row r="1225" ht="15.75" hidden="1" customHeight="1">
      <c r="A1225" s="158">
        <f>A1226</f>
        <v>43934</v>
      </c>
      <c r="B1225" s="159" t="str">
        <f t="shared" ref="B1225:F1225" si="2481">IF(B1169="","",B1169)</f>
        <v/>
      </c>
      <c r="C1225" s="160" t="str">
        <f t="shared" si="2481"/>
        <v/>
      </c>
      <c r="D1225" s="161" t="str">
        <f t="shared" si="2481"/>
        <v/>
      </c>
      <c r="E1225" s="29" t="str">
        <f t="shared" si="2481"/>
        <v/>
      </c>
      <c r="F1225" s="162" t="str">
        <f t="shared" si="2481"/>
        <v/>
      </c>
      <c r="G1225" s="163" t="str">
        <f t="shared" ref="G1225:G1232" si="2483">IF(J1225&lt;&gt;0, IFERROR(IF( $F1225=2,  MROUND($AH1225*J1225,1),    IF( OR($F1225="",$F1225=1),   MROUND($AH1225*J1225,2.5),  MROUND($AH1225*J1225, 0.1))), "" ), "")</f>
        <v/>
      </c>
      <c r="H1225" s="164"/>
      <c r="I1225" s="164"/>
      <c r="J1225" s="165"/>
      <c r="K1225" s="163" t="str">
        <f t="shared" ref="K1225:K1232" si="2484">IF(N1225&lt;&gt;0, IFERROR(IF( $F1225=2,  MROUND($AH1225*N1225,1),    IF( OR($F1225="",$F1225=1),   MROUND($AH1225*N1225,2.5),  MROUND($AH1225*N1225, 0.1))), "" ), "")</f>
        <v/>
      </c>
      <c r="L1225" s="164"/>
      <c r="M1225" s="164"/>
      <c r="N1225" s="165"/>
      <c r="O1225" s="163" t="str">
        <f t="shared" ref="O1225:O1232" si="2485">IF(R1225&lt;&gt;0, IFERROR(IF( $F1225=2,  MROUND($AH1225*R1225,1),    IF( OR($F1225="",$F1225=1),   MROUND($AH1225*R1225,2.5),  MROUND($AH1225*R1225, 0.1))), "" ), "")</f>
        <v/>
      </c>
      <c r="P1225" s="164"/>
      <c r="Q1225" s="164"/>
      <c r="R1225" s="165"/>
      <c r="S1225" s="163" t="str">
        <f t="shared" ref="S1225:S1232" si="2486">IF(V1225&lt;&gt;0, IFERROR(IF( $F1225=2,  MROUND($AH1225*V1225,1),    IF( OR($F1225="",$F1225=1),   MROUND($AH1225*V1225,2.5),  MROUND($AH1225*V1225, 0.1))), "" ), "")</f>
        <v/>
      </c>
      <c r="T1225" s="164"/>
      <c r="U1225" s="164"/>
      <c r="V1225" s="165"/>
      <c r="W1225" s="163" t="str">
        <f t="shared" ref="W1225:W1232" si="2487">IF(Z1225&lt;&gt;0, IFERROR(IF( $F1225=2,  MROUND($AH1225*Z1225,1),    IF( OR($F1225="",$F1225=1),   MROUND($AH1225*Z1225,2.5),  MROUND($AH1225*Z1225, 0.1))), "" ), "")</f>
        <v/>
      </c>
      <c r="X1225" s="164"/>
      <c r="Y1225" s="164"/>
      <c r="Z1225" s="165"/>
      <c r="AA1225" s="163" t="str">
        <f t="shared" ref="AA1225:AA1232" si="2488">IF(AD1225&lt;&gt;0, IFERROR(IF( $F1225=2,  MROUND($AH1225*AD1225,1),    IF( OR($F1225="",$F1225=1),   MROUND($AH1225*AD1225,2.5),  MROUND($AH1225*AD1225, 0.1))), "" ), "")</f>
        <v/>
      </c>
      <c r="AB1225" s="164"/>
      <c r="AC1225" s="164"/>
      <c r="AD1225" s="165"/>
      <c r="AE1225" s="166">
        <f t="shared" ref="AE1225:AE1232" si="2489">(IF(ISNUMBER(G1225),G1225,0)*H1225*I1225+IF(ISNUMBER(K1225),K1225,1)*L1225*M1225+IF(ISNUMBER(O1225),O1225,1)*P1225*Q1225+IF(ISNUMBER(S1225),S1225,1)*T1225*U1225+IF(ISNUMBER(W1225),W1225,1)*X1225*Y1225+IF(ISNUMBER(AA1225),AA1225,1)*AB1225*AC1225)*IF(ISNUMBER(F1225),F1225,1)</f>
        <v>0</v>
      </c>
      <c r="AF1225" s="167">
        <f t="shared" si="2394"/>
        <v>0</v>
      </c>
      <c r="AG1225" s="168">
        <f t="shared" ref="AG1225:AG1232" si="2490">IFERROR((AF1225/(AH1225*IF(ISNUMBER(F1225),F1225,1))),0)</f>
        <v>0</v>
      </c>
      <c r="AH1225" s="169" t="str">
        <f t="shared" ref="AH1225:AH1232" si="2491">IF(ISNUMBER(AH1169), AH1169+(AH1169*$AH$1178),"")</f>
        <v/>
      </c>
      <c r="AI1225" s="167">
        <f> ( IF(ISNUMBER(G1225), VLOOKUP(G1225/$AH1225,F!$A1:$B101,2,1)*G1225*$H1225*$I1225,0)+IF(ISNUMBER(K1225), VLOOKUP(K1225/$AH1225,F!$A1:$B101,2,1)*K1225*$L1225*$M1225,0)+IF(ISNUMBER(O1225), VLOOKUP(O1225/$AH1225,F!$A1:$B101,2,1)*O1225*$P1225*$Q1225,0)+IF(ISNUMBER(S1225), VLOOKUP(S1225/$AH1225,F!$A1:$B101,2,1)*S1225*$T1225*$U1225,0)+IF(ISNUMBER(W1225), VLOOKUP(W1225/$AH1225,F!$A1:$B101,2,1)*W1225*$X1225*$Y1225,0)+IF(ISNUMBER(AA1225), VLOOKUP(AA1225/$AH1225,F!$A1:$B101,2,1)*AA1225*$AB1225*$AC1225,0))*IF(ISNUMBER(F1225),F1225,1)*IF(ISNUMBER(E1225),E1225,1)</f>
        <v>0</v>
      </c>
      <c r="AJ1225" s="164">
        <f t="shared" ref="AJ1225:AJ1232" si="2492">H1225*I1225+L1225*M1225+P1225*Q1225+T1225*U1225+X1225*Y1225+AB1225*AC1225</f>
        <v>0</v>
      </c>
      <c r="AK1225" s="170">
        <f t="array" ref="AK1225">IFERROR(I1225*INDEX(F!$P$21:$AB$33, MATCH(G1225/$AH1225, F!$O$21:$O$33,1), MATCH(E1225, F!$P$20:$AB$20,1)), 0 ) +IFERROR( M1225*INDEX(F!$P$21:$AB$33, MATCH(K1225/$AH1225, F!$O$21:$O$33,1), MATCH(E1225, F!$P$20:$AB$20,1)),0) +  IFERROR( Q1225*INDEX(F!$P$21:$AB$33, MATCH(O1225/$AH1225, F!$O$21:$O$33,1), MATCH(E1225, F!$P$20:$AB$20,1)), 0) + IFERROR( U1225*INDEX(F!$P$21:$AB$33, MATCH(S1225/$AH1225, F!$O$21:$O$33,1), MATCH(E1225, F!$P$20:$AB$20,1)),0)  + IFERROR(Y1225*INDEX(F!$P$21:$AB$33, MATCH(W1225/$AH1225, F!$O$21:$O$33,1), MATCH(E1225, F!$P$20:$AB$20,1)),0)  + IFERROR( AC1225*INDEX(F!$P$21:$AB$33, MATCH(AA1225/$AH1225, F!$O$21:$O$33,1), MATCH(E1225, F!$P$20:$AB$20,1)),)</f>
        <v>0</v>
      </c>
      <c r="AL1225" s="42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</row>
    <row r="1226" ht="15.75" hidden="1" customHeight="1">
      <c r="A1226" s="44">
        <f>A1170+A1122</f>
        <v>43934</v>
      </c>
      <c r="B1226" s="135" t="str">
        <f t="shared" ref="B1226:F1226" si="2482">IF(B1170="","",B1170)</f>
        <v/>
      </c>
      <c r="C1226" s="136" t="str">
        <f t="shared" si="2482"/>
        <v/>
      </c>
      <c r="D1226" s="137" t="str">
        <f t="shared" si="2482"/>
        <v/>
      </c>
      <c r="E1226" s="48" t="str">
        <f t="shared" si="2482"/>
        <v/>
      </c>
      <c r="F1226" s="138" t="str">
        <f t="shared" si="2482"/>
        <v/>
      </c>
      <c r="G1226" s="139" t="str">
        <f t="shared" si="2483"/>
        <v/>
      </c>
      <c r="H1226" s="140"/>
      <c r="I1226" s="140"/>
      <c r="J1226" s="141"/>
      <c r="K1226" s="139" t="str">
        <f t="shared" si="2484"/>
        <v/>
      </c>
      <c r="L1226" s="140"/>
      <c r="M1226" s="140"/>
      <c r="N1226" s="141"/>
      <c r="O1226" s="139" t="str">
        <f t="shared" si="2485"/>
        <v/>
      </c>
      <c r="P1226" s="140"/>
      <c r="Q1226" s="140"/>
      <c r="R1226" s="141"/>
      <c r="S1226" s="139" t="str">
        <f t="shared" si="2486"/>
        <v/>
      </c>
      <c r="T1226" s="140"/>
      <c r="U1226" s="140"/>
      <c r="V1226" s="141"/>
      <c r="W1226" s="139" t="str">
        <f t="shared" si="2487"/>
        <v/>
      </c>
      <c r="X1226" s="140"/>
      <c r="Y1226" s="140"/>
      <c r="Z1226" s="141"/>
      <c r="AA1226" s="139" t="str">
        <f t="shared" si="2488"/>
        <v/>
      </c>
      <c r="AB1226" s="140"/>
      <c r="AC1226" s="140"/>
      <c r="AD1226" s="141"/>
      <c r="AE1226" s="142">
        <f t="shared" si="2489"/>
        <v>0</v>
      </c>
      <c r="AF1226" s="143">
        <f t="shared" si="2394"/>
        <v>0</v>
      </c>
      <c r="AG1226" s="144">
        <f t="shared" si="2490"/>
        <v>0</v>
      </c>
      <c r="AH1226" s="76" t="str">
        <f t="shared" si="2491"/>
        <v/>
      </c>
      <c r="AI1226" s="143">
        <f> ( IF(ISNUMBER(G1226), VLOOKUP(G1226/$AH1226,F!$A1:$B101,2,1)*G1226*$H1226*$I1226,0)+IF(ISNUMBER(K1226), VLOOKUP(K1226/$AH1226,F!$A1:$B101,2,1)*K1226*$L1226*$M1226,0)+IF(ISNUMBER(O1226), VLOOKUP(O1226/$AH1226,F!$A1:$B101,2,1)*O1226*$P1226*$Q1226,0)+IF(ISNUMBER(S1226), VLOOKUP(S1226/$AH1226,F!$A1:$B101,2,1)*S1226*$T1226*$U1226,0)+IF(ISNUMBER(W1226), VLOOKUP(W1226/$AH1226,F!$A1:$B101,2,1)*W1226*$X1226*$Y1226,0)+IF(ISNUMBER(AA1226), VLOOKUP(AA1226/$AH1226,F!$A1:$B101,2,1)*AA1226*$AB1226*$AC1226,0))*IF(ISNUMBER(F1226),F1226,1)*IF(ISNUMBER(E1226),E1226,1)</f>
        <v>0</v>
      </c>
      <c r="AJ1226" s="140">
        <f t="shared" si="2492"/>
        <v>0</v>
      </c>
      <c r="AK1226" s="145">
        <f t="array" ref="AK1226">IFERROR(I1226*INDEX(F!$P$21:$AB$33, MATCH(G1226/$AH1226, F!$O$21:$O$33,1), MATCH(E1226, F!$P$20:$AB$20,1)), 0 ) +IFERROR( M1226*INDEX(F!$P$21:$AB$33, MATCH(K1226/$AH1226, F!$O$21:$O$33,1), MATCH(E1226, F!$P$20:$AB$20,1)),0) +  IFERROR( Q1226*INDEX(F!$P$21:$AB$33, MATCH(O1226/$AH1226, F!$O$21:$O$33,1), MATCH(E1226, F!$P$20:$AB$20,1)), 0) + IFERROR( U1226*INDEX(F!$P$21:$AB$33, MATCH(S1226/$AH1226, F!$O$21:$O$33,1), MATCH(E1226, F!$P$20:$AB$20,1)),0)  + IFERROR(Y1226*INDEX(F!$P$21:$AB$33, MATCH(W1226/$AH1226, F!$O$21:$O$33,1), MATCH(E1226, F!$P$20:$AB$20,1)),0)  + IFERROR( AC1226*INDEX(F!$P$21:$AB$33, MATCH(AA1226/$AH1226, F!$O$21:$O$33,1), MATCH(E1226, F!$P$20:$AB$20,1)),)</f>
        <v>0</v>
      </c>
      <c r="AL1226" s="59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</row>
    <row r="1227" ht="15.75" hidden="1" customHeight="1">
      <c r="A1227" s="59"/>
      <c r="B1227" s="173" t="str">
        <f t="shared" ref="B1227:F1227" si="2493">IF(B1171="","",B1171)</f>
        <v/>
      </c>
      <c r="C1227" s="174" t="str">
        <f t="shared" si="2493"/>
        <v/>
      </c>
      <c r="D1227" s="175" t="str">
        <f t="shared" si="2493"/>
        <v/>
      </c>
      <c r="E1227" s="48" t="str">
        <f t="shared" si="2493"/>
        <v/>
      </c>
      <c r="F1227" s="176" t="str">
        <f t="shared" si="2493"/>
        <v/>
      </c>
      <c r="G1227" s="177" t="str">
        <f t="shared" si="2483"/>
        <v/>
      </c>
      <c r="H1227" s="178"/>
      <c r="I1227" s="178"/>
      <c r="J1227" s="179"/>
      <c r="K1227" s="177" t="str">
        <f t="shared" si="2484"/>
        <v/>
      </c>
      <c r="L1227" s="178"/>
      <c r="M1227" s="178"/>
      <c r="N1227" s="179"/>
      <c r="O1227" s="177" t="str">
        <f t="shared" si="2485"/>
        <v/>
      </c>
      <c r="P1227" s="178"/>
      <c r="Q1227" s="178"/>
      <c r="R1227" s="179"/>
      <c r="S1227" s="177" t="str">
        <f t="shared" si="2486"/>
        <v/>
      </c>
      <c r="T1227" s="178"/>
      <c r="U1227" s="178"/>
      <c r="V1227" s="179"/>
      <c r="W1227" s="177" t="str">
        <f t="shared" si="2487"/>
        <v/>
      </c>
      <c r="X1227" s="178"/>
      <c r="Y1227" s="178"/>
      <c r="Z1227" s="179"/>
      <c r="AA1227" s="177" t="str">
        <f t="shared" si="2488"/>
        <v/>
      </c>
      <c r="AB1227" s="178"/>
      <c r="AC1227" s="178"/>
      <c r="AD1227" s="179"/>
      <c r="AE1227" s="180">
        <f t="shared" si="2489"/>
        <v>0</v>
      </c>
      <c r="AF1227" s="181">
        <f t="shared" si="2394"/>
        <v>0</v>
      </c>
      <c r="AG1227" s="182">
        <f t="shared" si="2490"/>
        <v>0</v>
      </c>
      <c r="AH1227" s="76" t="str">
        <f t="shared" si="2491"/>
        <v/>
      </c>
      <c r="AI1227" s="181">
        <f> ( IF(ISNUMBER(G1227), VLOOKUP(G1227/$AH1227,F!$A1:$B101,2,1)*G1227*$H1227*$I1227,0)+IF(ISNUMBER(K1227), VLOOKUP(K1227/$AH1227,F!$A1:$B101,2,1)*K1227*$L1227*$M1227,0)+IF(ISNUMBER(O1227), VLOOKUP(O1227/$AH1227,F!$A1:$B101,2,1)*O1227*$P1227*$Q1227,0)+IF(ISNUMBER(S1227), VLOOKUP(S1227/$AH1227,F!$A1:$B101,2,1)*S1227*$T1227*$U1227,0)+IF(ISNUMBER(W1227), VLOOKUP(W1227/$AH1227,F!$A1:$B101,2,1)*W1227*$X1227*$Y1227,0)+IF(ISNUMBER(AA1227), VLOOKUP(AA1227/$AH1227,F!$A1:$B101,2,1)*AA1227*$AB1227*$AC1227,0))*IF(ISNUMBER(F1227),F1227,1)*IF(ISNUMBER(E1227),E1227,1)</f>
        <v>0</v>
      </c>
      <c r="AJ1227" s="178">
        <f t="shared" si="2492"/>
        <v>0</v>
      </c>
      <c r="AK1227" s="183">
        <f t="array" ref="AK1227">IFERROR(I1227*INDEX(F!$P$21:$AB$33, MATCH(G1227/$AH1227, F!$O$21:$O$33,1), MATCH(E1227, F!$P$20:$AB$20,1)), 0 ) +IFERROR( M1227*INDEX(F!$P$21:$AB$33, MATCH(K1227/$AH1227, F!$O$21:$O$33,1), MATCH(E1227, F!$P$20:$AB$20,1)),0) +  IFERROR( Q1227*INDEX(F!$P$21:$AB$33, MATCH(O1227/$AH1227, F!$O$21:$O$33,1), MATCH(E1227, F!$P$20:$AB$20,1)), 0) + IFERROR( U1227*INDEX(F!$P$21:$AB$33, MATCH(S1227/$AH1227, F!$O$21:$O$33,1), MATCH(E1227, F!$P$20:$AB$20,1)),0)  + IFERROR(Y1227*INDEX(F!$P$21:$AB$33, MATCH(W1227/$AH1227, F!$O$21:$O$33,1), MATCH(E1227, F!$P$20:$AB$20,1)),0)  + IFERROR( AC1227*INDEX(F!$P$21:$AB$33, MATCH(AA1227/$AH1227, F!$O$21:$O$33,1), MATCH(E1227, F!$P$20:$AB$20,1)),)</f>
        <v>0</v>
      </c>
      <c r="AL1227" s="59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</row>
    <row r="1228" ht="15.75" hidden="1" customHeight="1">
      <c r="A1228" s="59"/>
      <c r="B1228" s="135" t="str">
        <f t="shared" ref="B1228:F1228" si="2494">IF(B1172="","",B1172)</f>
        <v/>
      </c>
      <c r="C1228" s="136" t="str">
        <f t="shared" si="2494"/>
        <v/>
      </c>
      <c r="D1228" s="137" t="str">
        <f t="shared" si="2494"/>
        <v/>
      </c>
      <c r="E1228" s="48" t="str">
        <f t="shared" si="2494"/>
        <v/>
      </c>
      <c r="F1228" s="138" t="str">
        <f t="shared" si="2494"/>
        <v/>
      </c>
      <c r="G1228" s="139" t="str">
        <f t="shared" si="2483"/>
        <v/>
      </c>
      <c r="H1228" s="140"/>
      <c r="I1228" s="140"/>
      <c r="J1228" s="141"/>
      <c r="K1228" s="139" t="str">
        <f t="shared" si="2484"/>
        <v/>
      </c>
      <c r="L1228" s="140"/>
      <c r="M1228" s="140"/>
      <c r="N1228" s="141"/>
      <c r="O1228" s="139" t="str">
        <f t="shared" si="2485"/>
        <v/>
      </c>
      <c r="P1228" s="140"/>
      <c r="Q1228" s="140"/>
      <c r="R1228" s="141"/>
      <c r="S1228" s="139" t="str">
        <f t="shared" si="2486"/>
        <v/>
      </c>
      <c r="T1228" s="140"/>
      <c r="U1228" s="140"/>
      <c r="V1228" s="141"/>
      <c r="W1228" s="139" t="str">
        <f t="shared" si="2487"/>
        <v/>
      </c>
      <c r="X1228" s="140"/>
      <c r="Y1228" s="140"/>
      <c r="Z1228" s="141"/>
      <c r="AA1228" s="139" t="str">
        <f t="shared" si="2488"/>
        <v/>
      </c>
      <c r="AB1228" s="140"/>
      <c r="AC1228" s="140"/>
      <c r="AD1228" s="141"/>
      <c r="AE1228" s="142">
        <f t="shared" si="2489"/>
        <v>0</v>
      </c>
      <c r="AF1228" s="143">
        <f t="shared" si="2394"/>
        <v>0</v>
      </c>
      <c r="AG1228" s="144">
        <f t="shared" si="2490"/>
        <v>0</v>
      </c>
      <c r="AH1228" s="76" t="str">
        <f t="shared" si="2491"/>
        <v/>
      </c>
      <c r="AI1228" s="143">
        <f> ( IF(ISNUMBER(G1228), VLOOKUP(G1228/$AH1228,F!$A1:$B101,2,1)*G1228*$H1228*$I1228,0)+IF(ISNUMBER(K1228), VLOOKUP(K1228/$AH1228,F!$A1:$B101,2,1)*K1228*$L1228*$M1228,0)+IF(ISNUMBER(O1228), VLOOKUP(O1228/$AH1228,F!$A1:$B101,2,1)*O1228*$P1228*$Q1228,0)+IF(ISNUMBER(S1228), VLOOKUP(S1228/$AH1228,F!$A1:$B101,2,1)*S1228*$T1228*$U1228,0)+IF(ISNUMBER(W1228), VLOOKUP(W1228/$AH1228,F!$A1:$B101,2,1)*W1228*$X1228*$Y1228,0)+IF(ISNUMBER(AA1228), VLOOKUP(AA1228/$AH1228,F!$A1:$B101,2,1)*AA1228*$AB1228*$AC1228,0))*IF(ISNUMBER(F1228),F1228,1)*IF(ISNUMBER(E1228),E1228,1)</f>
        <v>0</v>
      </c>
      <c r="AJ1228" s="140">
        <f t="shared" si="2492"/>
        <v>0</v>
      </c>
      <c r="AK1228" s="145">
        <f t="array" ref="AK1228">IFERROR(I1228*INDEX(F!$P$21:$AB$33, MATCH(G1228/$AH1228, F!$O$21:$O$33,1), MATCH(E1228, F!$P$20:$AB$20,1)), 0 ) +IFERROR( M1228*INDEX(F!$P$21:$AB$33, MATCH(K1228/$AH1228, F!$O$21:$O$33,1), MATCH(E1228, F!$P$20:$AB$20,1)),0) +  IFERROR( Q1228*INDEX(F!$P$21:$AB$33, MATCH(O1228/$AH1228, F!$O$21:$O$33,1), MATCH(E1228, F!$P$20:$AB$20,1)), 0) + IFERROR( U1228*INDEX(F!$P$21:$AB$33, MATCH(S1228/$AH1228, F!$O$21:$O$33,1), MATCH(E1228, F!$P$20:$AB$20,1)),0)  + IFERROR(Y1228*INDEX(F!$P$21:$AB$33, MATCH(W1228/$AH1228, F!$O$21:$O$33,1), MATCH(E1228, F!$P$20:$AB$20,1)),0)  + IFERROR( AC1228*INDEX(F!$P$21:$AB$33, MATCH(AA1228/$AH1228, F!$O$21:$O$33,1), MATCH(E1228, F!$P$20:$AB$20,1)),)</f>
        <v>0</v>
      </c>
      <c r="AL1228" s="59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</row>
    <row r="1229" ht="15.75" hidden="1" customHeight="1">
      <c r="A1229" s="59"/>
      <c r="B1229" s="173" t="str">
        <f t="shared" ref="B1229:F1229" si="2495">IF(B1173="","",B1173)</f>
        <v/>
      </c>
      <c r="C1229" s="174" t="str">
        <f t="shared" si="2495"/>
        <v/>
      </c>
      <c r="D1229" s="175" t="str">
        <f t="shared" si="2495"/>
        <v/>
      </c>
      <c r="E1229" s="48" t="str">
        <f t="shared" si="2495"/>
        <v/>
      </c>
      <c r="F1229" s="176" t="str">
        <f t="shared" si="2495"/>
        <v/>
      </c>
      <c r="G1229" s="177" t="str">
        <f t="shared" si="2483"/>
        <v/>
      </c>
      <c r="H1229" s="178"/>
      <c r="I1229" s="178"/>
      <c r="J1229" s="179"/>
      <c r="K1229" s="177" t="str">
        <f t="shared" si="2484"/>
        <v/>
      </c>
      <c r="L1229" s="178"/>
      <c r="M1229" s="178"/>
      <c r="N1229" s="179"/>
      <c r="O1229" s="177" t="str">
        <f t="shared" si="2485"/>
        <v/>
      </c>
      <c r="P1229" s="178"/>
      <c r="Q1229" s="178"/>
      <c r="R1229" s="179"/>
      <c r="S1229" s="177" t="str">
        <f t="shared" si="2486"/>
        <v/>
      </c>
      <c r="T1229" s="178"/>
      <c r="U1229" s="178"/>
      <c r="V1229" s="179"/>
      <c r="W1229" s="177" t="str">
        <f t="shared" si="2487"/>
        <v/>
      </c>
      <c r="X1229" s="178"/>
      <c r="Y1229" s="178"/>
      <c r="Z1229" s="179"/>
      <c r="AA1229" s="177" t="str">
        <f t="shared" si="2488"/>
        <v/>
      </c>
      <c r="AB1229" s="178"/>
      <c r="AC1229" s="178"/>
      <c r="AD1229" s="179"/>
      <c r="AE1229" s="180">
        <f t="shared" si="2489"/>
        <v>0</v>
      </c>
      <c r="AF1229" s="181">
        <f t="shared" si="2394"/>
        <v>0</v>
      </c>
      <c r="AG1229" s="182">
        <f t="shared" si="2490"/>
        <v>0</v>
      </c>
      <c r="AH1229" s="76" t="str">
        <f t="shared" si="2491"/>
        <v/>
      </c>
      <c r="AI1229" s="181">
        <f> ( IF(ISNUMBER(G1229), VLOOKUP(G1229/$AH1229,F!$A1:$B101,2,1)*G1229*$H1229*$I1229,0)+IF(ISNUMBER(K1229), VLOOKUP(K1229/$AH1229,F!$A1:$B101,2,1)*K1229*$L1229*$M1229,0)+IF(ISNUMBER(O1229), VLOOKUP(O1229/$AH1229,F!$A1:$B101,2,1)*O1229*$P1229*$Q1229,0)+IF(ISNUMBER(S1229), VLOOKUP(S1229/$AH1229,F!$A1:$B101,2,1)*S1229*$T1229*$U1229,0)+IF(ISNUMBER(W1229), VLOOKUP(W1229/$AH1229,F!$A1:$B101,2,1)*W1229*$X1229*$Y1229,0)+IF(ISNUMBER(AA1229), VLOOKUP(AA1229/$AH1229,F!$A1:$B101,2,1)*AA1229*$AB1229*$AC1229,0))*IF(ISNUMBER(F1229),F1229,1)*IF(ISNUMBER(E1229),E1229,1)</f>
        <v>0</v>
      </c>
      <c r="AJ1229" s="178">
        <f t="shared" si="2492"/>
        <v>0</v>
      </c>
      <c r="AK1229" s="183">
        <f t="array" ref="AK1229">IFERROR(I1229*INDEX(F!$P$21:$AB$33, MATCH(G1229/$AH1229, F!$O$21:$O$33,1), MATCH(E1229, F!$P$20:$AB$20,1)), 0 ) +IFERROR( M1229*INDEX(F!$P$21:$AB$33, MATCH(K1229/$AH1229, F!$O$21:$O$33,1), MATCH(E1229, F!$P$20:$AB$20,1)),0) +  IFERROR( Q1229*INDEX(F!$P$21:$AB$33, MATCH(O1229/$AH1229, F!$O$21:$O$33,1), MATCH(E1229, F!$P$20:$AB$20,1)), 0) + IFERROR( U1229*INDEX(F!$P$21:$AB$33, MATCH(S1229/$AH1229, F!$O$21:$O$33,1), MATCH(E1229, F!$P$20:$AB$20,1)),0)  + IFERROR(Y1229*INDEX(F!$P$21:$AB$33, MATCH(W1229/$AH1229, F!$O$21:$O$33,1), MATCH(E1229, F!$P$20:$AB$20,1)),0)  + IFERROR( AC1229*INDEX(F!$P$21:$AB$33, MATCH(AA1229/$AH1229, F!$O$21:$O$33,1), MATCH(E1229, F!$P$20:$AB$20,1)),)</f>
        <v>0</v>
      </c>
      <c r="AL1229" s="59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</row>
    <row r="1230" ht="15.75" hidden="1" customHeight="1">
      <c r="A1230" s="59"/>
      <c r="B1230" s="135" t="str">
        <f t="shared" ref="B1230:F1230" si="2496">IF(B1174="","",B1174)</f>
        <v/>
      </c>
      <c r="C1230" s="136" t="str">
        <f t="shared" si="2496"/>
        <v/>
      </c>
      <c r="D1230" s="137" t="str">
        <f t="shared" si="2496"/>
        <v/>
      </c>
      <c r="E1230" s="48" t="str">
        <f t="shared" si="2496"/>
        <v/>
      </c>
      <c r="F1230" s="138" t="str">
        <f t="shared" si="2496"/>
        <v/>
      </c>
      <c r="G1230" s="139" t="str">
        <f t="shared" si="2483"/>
        <v/>
      </c>
      <c r="H1230" s="140"/>
      <c r="I1230" s="140"/>
      <c r="J1230" s="141"/>
      <c r="K1230" s="139" t="str">
        <f t="shared" si="2484"/>
        <v/>
      </c>
      <c r="L1230" s="140"/>
      <c r="M1230" s="140"/>
      <c r="N1230" s="141"/>
      <c r="O1230" s="139" t="str">
        <f t="shared" si="2485"/>
        <v/>
      </c>
      <c r="P1230" s="140"/>
      <c r="Q1230" s="140"/>
      <c r="R1230" s="141"/>
      <c r="S1230" s="139" t="str">
        <f t="shared" si="2486"/>
        <v/>
      </c>
      <c r="T1230" s="140"/>
      <c r="U1230" s="140"/>
      <c r="V1230" s="141"/>
      <c r="W1230" s="139" t="str">
        <f t="shared" si="2487"/>
        <v/>
      </c>
      <c r="X1230" s="140"/>
      <c r="Y1230" s="140"/>
      <c r="Z1230" s="141"/>
      <c r="AA1230" s="139" t="str">
        <f t="shared" si="2488"/>
        <v/>
      </c>
      <c r="AB1230" s="140"/>
      <c r="AC1230" s="140"/>
      <c r="AD1230" s="141"/>
      <c r="AE1230" s="142">
        <f t="shared" si="2489"/>
        <v>0</v>
      </c>
      <c r="AF1230" s="143">
        <f t="shared" si="2394"/>
        <v>0</v>
      </c>
      <c r="AG1230" s="144">
        <f t="shared" si="2490"/>
        <v>0</v>
      </c>
      <c r="AH1230" s="76" t="str">
        <f t="shared" si="2491"/>
        <v/>
      </c>
      <c r="AI1230" s="143">
        <f> ( IF(ISNUMBER(G1230), VLOOKUP(G1230/$AH1230,F!$A1:$B101,2,1)*G1230*$H1230*$I1230,0)+IF(ISNUMBER(K1230), VLOOKUP(K1230/$AH1230,F!$A1:$B101,2,1)*K1230*$L1230*$M1230,0)+IF(ISNUMBER(O1230), VLOOKUP(O1230/$AH1230,F!$A1:$B101,2,1)*O1230*$P1230*$Q1230,0)+IF(ISNUMBER(S1230), VLOOKUP(S1230/$AH1230,F!$A1:$B101,2,1)*S1230*$T1230*$U1230,0)+IF(ISNUMBER(W1230), VLOOKUP(W1230/$AH1230,F!$A1:$B101,2,1)*W1230*$X1230*$Y1230,0)+IF(ISNUMBER(AA1230), VLOOKUP(AA1230/$AH1230,F!$A1:$B101,2,1)*AA1230*$AB1230*$AC1230,0))*IF(ISNUMBER(F1230),F1230,1)*IF(ISNUMBER(E1230),E1230,1)</f>
        <v>0</v>
      </c>
      <c r="AJ1230" s="140">
        <f t="shared" si="2492"/>
        <v>0</v>
      </c>
      <c r="AK1230" s="145">
        <f t="array" ref="AK1230">IFERROR(I1230*INDEX(F!$P$21:$AB$33, MATCH(G1230/$AH1230, F!$O$21:$O$33,1), MATCH(E1230, F!$P$20:$AB$20,1)), 0 ) +IFERROR( M1230*INDEX(F!$P$21:$AB$33, MATCH(K1230/$AH1230, F!$O$21:$O$33,1), MATCH(E1230, F!$P$20:$AB$20,1)),0) +  IFERROR( Q1230*INDEX(F!$P$21:$AB$33, MATCH(O1230/$AH1230, F!$O$21:$O$33,1), MATCH(E1230, F!$P$20:$AB$20,1)), 0) + IFERROR( U1230*INDEX(F!$P$21:$AB$33, MATCH(S1230/$AH1230, F!$O$21:$O$33,1), MATCH(E1230, F!$P$20:$AB$20,1)),0)  + IFERROR(Y1230*INDEX(F!$P$21:$AB$33, MATCH(W1230/$AH1230, F!$O$21:$O$33,1), MATCH(E1230, F!$P$20:$AB$20,1)),0)  + IFERROR( AC1230*INDEX(F!$P$21:$AB$33, MATCH(AA1230/$AH1230, F!$O$21:$O$33,1), MATCH(E1230, F!$P$20:$AB$20,1)),)</f>
        <v>0</v>
      </c>
      <c r="AL1230" s="59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</row>
    <row r="1231" ht="15.75" hidden="1" customHeight="1">
      <c r="A1231" s="59"/>
      <c r="B1231" s="173" t="str">
        <f t="shared" ref="B1231:F1231" si="2497">IF(B1175="","",B1175)</f>
        <v/>
      </c>
      <c r="C1231" s="174" t="str">
        <f t="shared" si="2497"/>
        <v/>
      </c>
      <c r="D1231" s="175" t="str">
        <f t="shared" si="2497"/>
        <v/>
      </c>
      <c r="E1231" s="48" t="str">
        <f t="shared" si="2497"/>
        <v/>
      </c>
      <c r="F1231" s="176" t="str">
        <f t="shared" si="2497"/>
        <v/>
      </c>
      <c r="G1231" s="177" t="str">
        <f t="shared" si="2483"/>
        <v/>
      </c>
      <c r="H1231" s="178"/>
      <c r="I1231" s="178"/>
      <c r="J1231" s="179"/>
      <c r="K1231" s="177" t="str">
        <f t="shared" si="2484"/>
        <v/>
      </c>
      <c r="L1231" s="178"/>
      <c r="M1231" s="178"/>
      <c r="N1231" s="179"/>
      <c r="O1231" s="177" t="str">
        <f t="shared" si="2485"/>
        <v/>
      </c>
      <c r="P1231" s="178"/>
      <c r="Q1231" s="178"/>
      <c r="R1231" s="179"/>
      <c r="S1231" s="177" t="str">
        <f t="shared" si="2486"/>
        <v/>
      </c>
      <c r="T1231" s="178"/>
      <c r="U1231" s="178"/>
      <c r="V1231" s="179"/>
      <c r="W1231" s="177" t="str">
        <f t="shared" si="2487"/>
        <v/>
      </c>
      <c r="X1231" s="178"/>
      <c r="Y1231" s="178"/>
      <c r="Z1231" s="179"/>
      <c r="AA1231" s="177" t="str">
        <f t="shared" si="2488"/>
        <v/>
      </c>
      <c r="AB1231" s="178"/>
      <c r="AC1231" s="178"/>
      <c r="AD1231" s="179"/>
      <c r="AE1231" s="180">
        <f t="shared" si="2489"/>
        <v>0</v>
      </c>
      <c r="AF1231" s="181">
        <f t="shared" si="2394"/>
        <v>0</v>
      </c>
      <c r="AG1231" s="182">
        <f t="shared" si="2490"/>
        <v>0</v>
      </c>
      <c r="AH1231" s="76" t="str">
        <f t="shared" si="2491"/>
        <v/>
      </c>
      <c r="AI1231" s="181">
        <f> ( IF(ISNUMBER(G1231), VLOOKUP(G1231/$AH1231,F!$A1:$B101,2,1)*G1231*$H1231*$I1231,0)+IF(ISNUMBER(K1231), VLOOKUP(K1231/$AH1231,F!$A1:$B101,2,1)*K1231*$L1231*$M1231,0)+IF(ISNUMBER(O1231), VLOOKUP(O1231/$AH1231,F!$A1:$B101,2,1)*O1231*$P1231*$Q1231,0)+IF(ISNUMBER(S1231), VLOOKUP(S1231/$AH1231,F!$A1:$B101,2,1)*S1231*$T1231*$U1231,0)+IF(ISNUMBER(W1231), VLOOKUP(W1231/$AH1231,F!$A1:$B101,2,1)*W1231*$X1231*$Y1231,0)+IF(ISNUMBER(AA1231), VLOOKUP(AA1231/$AH1231,F!$A1:$B101,2,1)*AA1231*$AB1231*$AC1231,0))*IF(ISNUMBER(F1231),F1231,1)*IF(ISNUMBER(E1231),E1231,1)</f>
        <v>0</v>
      </c>
      <c r="AJ1231" s="178">
        <f t="shared" si="2492"/>
        <v>0</v>
      </c>
      <c r="AK1231" s="183">
        <f t="array" ref="AK1231">IFERROR(I1231*INDEX(F!$P$21:$AB$33, MATCH(G1231/$AH1231, F!$O$21:$O$33,1), MATCH(E1231, F!$P$20:$AB$20,1)), 0 ) +IFERROR( M1231*INDEX(F!$P$21:$AB$33, MATCH(K1231/$AH1231, F!$O$21:$O$33,1), MATCH(E1231, F!$P$20:$AB$20,1)),0) +  IFERROR( Q1231*INDEX(F!$P$21:$AB$33, MATCH(O1231/$AH1231, F!$O$21:$O$33,1), MATCH(E1231, F!$P$20:$AB$20,1)), 0) + IFERROR( U1231*INDEX(F!$P$21:$AB$33, MATCH(S1231/$AH1231, F!$O$21:$O$33,1), MATCH(E1231, F!$P$20:$AB$20,1)),0)  + IFERROR(Y1231*INDEX(F!$P$21:$AB$33, MATCH(W1231/$AH1231, F!$O$21:$O$33,1), MATCH(E1231, F!$P$20:$AB$20,1)),0)  + IFERROR( AC1231*INDEX(F!$P$21:$AB$33, MATCH(AA1231/$AH1231, F!$O$21:$O$33,1), MATCH(E1231, F!$P$20:$AB$20,1)),)</f>
        <v>0</v>
      </c>
      <c r="AL1231" s="59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</row>
    <row r="1232" ht="15.75" hidden="1" customHeight="1">
      <c r="A1232" s="59"/>
      <c r="B1232" s="135" t="str">
        <f t="shared" ref="B1232:F1232" si="2498">IF(B1176="","",B1176)</f>
        <v/>
      </c>
      <c r="C1232" s="136" t="str">
        <f t="shared" si="2498"/>
        <v/>
      </c>
      <c r="D1232" s="137" t="str">
        <f t="shared" si="2498"/>
        <v/>
      </c>
      <c r="E1232" s="48" t="str">
        <f t="shared" si="2498"/>
        <v/>
      </c>
      <c r="F1232" s="138" t="str">
        <f t="shared" si="2498"/>
        <v/>
      </c>
      <c r="G1232" s="139" t="str">
        <f t="shared" si="2483"/>
        <v/>
      </c>
      <c r="H1232" s="140"/>
      <c r="I1232" s="140"/>
      <c r="J1232" s="141"/>
      <c r="K1232" s="139" t="str">
        <f t="shared" si="2484"/>
        <v/>
      </c>
      <c r="L1232" s="140"/>
      <c r="M1232" s="140"/>
      <c r="N1232" s="141"/>
      <c r="O1232" s="139" t="str">
        <f t="shared" si="2485"/>
        <v/>
      </c>
      <c r="P1232" s="140"/>
      <c r="Q1232" s="140"/>
      <c r="R1232" s="141"/>
      <c r="S1232" s="139" t="str">
        <f t="shared" si="2486"/>
        <v/>
      </c>
      <c r="T1232" s="140"/>
      <c r="U1232" s="140"/>
      <c r="V1232" s="141"/>
      <c r="W1232" s="139" t="str">
        <f t="shared" si="2487"/>
        <v/>
      </c>
      <c r="X1232" s="140"/>
      <c r="Y1232" s="140"/>
      <c r="Z1232" s="141"/>
      <c r="AA1232" s="139" t="str">
        <f t="shared" si="2488"/>
        <v/>
      </c>
      <c r="AB1232" s="140"/>
      <c r="AC1232" s="140"/>
      <c r="AD1232" s="141"/>
      <c r="AE1232" s="142">
        <f t="shared" si="2489"/>
        <v>0</v>
      </c>
      <c r="AF1232" s="143">
        <f t="shared" si="2394"/>
        <v>0</v>
      </c>
      <c r="AG1232" s="144">
        <f t="shared" si="2490"/>
        <v>0</v>
      </c>
      <c r="AH1232" s="76" t="str">
        <f t="shared" si="2491"/>
        <v/>
      </c>
      <c r="AI1232" s="143">
        <f> ( IF(ISNUMBER(G1232), VLOOKUP(G1232/$AH1232,F!$A1:$B101,2,1)*G1232*$H1232*$I1232,0)+IF(ISNUMBER(K1232), VLOOKUP(K1232/$AH1232,F!$A1:$B101,2,1)*K1232*$L1232*$M1232,0)+IF(ISNUMBER(O1232), VLOOKUP(O1232/$AH1232,F!$A1:$B101,2,1)*O1232*$P1232*$Q1232,0)+IF(ISNUMBER(S1232), VLOOKUP(S1232/$AH1232,F!$A1:$B101,2,1)*S1232*$T1232*$U1232,0)+IF(ISNUMBER(W1232), VLOOKUP(W1232/$AH1232,F!$A1:$B101,2,1)*W1232*$X1232*$Y1232,0)+IF(ISNUMBER(AA1232), VLOOKUP(AA1232/$AH1232,F!$A1:$B101,2,1)*AA1232*$AB1232*$AC1232,0))*IF(ISNUMBER(F1232),F1232,1)*IF(ISNUMBER(E1232),E1232,1)</f>
        <v>0</v>
      </c>
      <c r="AJ1232" s="140">
        <f t="shared" si="2492"/>
        <v>0</v>
      </c>
      <c r="AK1232" s="145">
        <f t="array" ref="AK1232">IFERROR(I1232*INDEX(F!$P$21:$AB$33, MATCH(G1232/$AH1232, F!$O$21:$O$33,1), MATCH(E1232, F!$P$20:$AB$20,1)), 0 ) +IFERROR( M1232*INDEX(F!$P$21:$AB$33, MATCH(K1232/$AH1232, F!$O$21:$O$33,1), MATCH(E1232, F!$P$20:$AB$20,1)),0) +  IFERROR( Q1232*INDEX(F!$P$21:$AB$33, MATCH(O1232/$AH1232, F!$O$21:$O$33,1), MATCH(E1232, F!$P$20:$AB$20,1)), 0) + IFERROR( U1232*INDEX(F!$P$21:$AB$33, MATCH(S1232/$AH1232, F!$O$21:$O$33,1), MATCH(E1232, F!$P$20:$AB$20,1)),0)  + IFERROR(Y1232*INDEX(F!$P$21:$AB$33, MATCH(W1232/$AH1232, F!$O$21:$O$33,1), MATCH(E1232, F!$P$20:$AB$20,1)),0)  + IFERROR( AC1232*INDEX(F!$P$21:$AB$33, MATCH(AA1232/$AH1232, F!$O$21:$O$33,1), MATCH(E1232, F!$P$20:$AB$20,1)),)</f>
        <v>0</v>
      </c>
      <c r="AL1232" s="59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</row>
    <row r="1233" ht="15.75" hidden="1" customHeight="1">
      <c r="A1233" s="98"/>
      <c r="B1233" s="188"/>
      <c r="C1233" s="189"/>
      <c r="D1233" s="190"/>
      <c r="E1233" s="102">
        <f>ROUND(IFERROR(SUMPRODUCT(AJ1225:AJ1232,E1225:E1232)/AJ1233,0),3)</f>
        <v>0</v>
      </c>
      <c r="F1233" s="191"/>
      <c r="G1233" s="201"/>
      <c r="H1233" s="193"/>
      <c r="I1233" s="193"/>
      <c r="J1233" s="194"/>
      <c r="K1233" s="201"/>
      <c r="L1233" s="193"/>
      <c r="M1233" s="193"/>
      <c r="N1233" s="194"/>
      <c r="O1233" s="201"/>
      <c r="P1233" s="193"/>
      <c r="Q1233" s="193"/>
      <c r="R1233" s="194"/>
      <c r="S1233" s="201"/>
      <c r="T1233" s="193"/>
      <c r="U1233" s="193"/>
      <c r="V1233" s="194"/>
      <c r="W1233" s="201"/>
      <c r="X1233" s="193"/>
      <c r="Y1233" s="193"/>
      <c r="Z1233" s="194"/>
      <c r="AA1233" s="201"/>
      <c r="AB1233" s="193"/>
      <c r="AC1233" s="193"/>
      <c r="AD1233" s="194"/>
      <c r="AE1233" s="107">
        <f>SUM(AE1225:AE1232)</f>
        <v>0</v>
      </c>
      <c r="AF1233" s="108">
        <f t="shared" si="2394"/>
        <v>0</v>
      </c>
      <c r="AG1233" s="109">
        <f>IFERROR(  SUMPRODUCT(AG1225:AG1232,AJ1225:AJ1232)/AJ1233,0)</f>
        <v>0</v>
      </c>
      <c r="AH1233" s="157"/>
      <c r="AI1233" s="111">
        <f t="shared" ref="AI1233:AJ1233" si="2499">SUM(AI1225:AI1232)</f>
        <v>0</v>
      </c>
      <c r="AJ1233" s="111">
        <f t="shared" si="2499"/>
        <v>0</v>
      </c>
      <c r="AK1233" s="112">
        <f>IF(SUM(AK1225:AK1232)=0,TIME(,0,),TIME(,SUM(AK1225:AK1232)+F!$V$37,))</f>
        <v>0</v>
      </c>
      <c r="AL1233" s="98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</row>
    <row r="1234" ht="15.75" hidden="1" customHeight="1">
      <c r="A1234" s="5">
        <f>A1178</f>
        <v>7</v>
      </c>
      <c r="B1234" s="6"/>
      <c r="C1234" s="6"/>
      <c r="D1234" s="6"/>
      <c r="E1234" s="7">
        <f>IF(AJ1234=0,0,(E1244*AJ1244 + E1253*AJ1253 + E1262*AJ1262 + E1271*AJ1271 + E1280*AJ1280 + E1289*AJ1289   ) /AJ1234 )</f>
        <v>0</v>
      </c>
      <c r="F1234" s="8" t="s">
        <v>0</v>
      </c>
      <c r="G1234" s="9"/>
      <c r="H1234" s="9"/>
      <c r="I1234" s="9"/>
      <c r="J1234" s="9"/>
      <c r="K1234" s="9"/>
      <c r="L1234" s="9"/>
      <c r="M1234" s="10"/>
      <c r="N1234" s="228">
        <f>N1178+1</f>
        <v>23</v>
      </c>
      <c r="O1234" s="222"/>
      <c r="P1234" s="222"/>
      <c r="Q1234" s="222"/>
      <c r="R1234" s="222"/>
      <c r="S1234" s="222"/>
      <c r="T1234" s="222"/>
      <c r="U1234" s="222"/>
      <c r="V1234" s="222"/>
      <c r="W1234" s="222"/>
      <c r="X1234" s="222"/>
      <c r="Y1234" s="222"/>
      <c r="Z1234" s="222"/>
      <c r="AA1234" s="222"/>
      <c r="AB1234" s="222"/>
      <c r="AC1234" s="222"/>
      <c r="AD1234" s="223"/>
      <c r="AE1234" s="5">
        <f>AE1244+AE1253+AE1262+AE1271+AE1280+AE1289</f>
        <v>0</v>
      </c>
      <c r="AF1234" s="229">
        <f t="shared" si="2394"/>
        <v>0</v>
      </c>
      <c r="AG1234" s="230">
        <f>IF(AJ1234=0,0,(AG1244*AJ1244 + AG1253*AJ1253 + AG1262*AJ1262 + AG1271*AJ1271 + AG1280*AJ1280 + AG1289*AJ1289   ) /AJ1234 )</f>
        <v>0</v>
      </c>
      <c r="AH1234" s="210">
        <f>AH1178</f>
        <v>0.02</v>
      </c>
      <c r="AI1234" s="5">
        <f t="shared" ref="AI1234:AK1234" si="2500">AI1244+AI1253+AI1262+AI1271+AI1280+AI1289</f>
        <v>0</v>
      </c>
      <c r="AJ1234" s="5">
        <f t="shared" si="2500"/>
        <v>0</v>
      </c>
      <c r="AK1234" s="231">
        <f t="shared" si="2500"/>
        <v>0</v>
      </c>
      <c r="AL1234" s="218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</row>
    <row r="1235" ht="15.75" hidden="1" customHeight="1">
      <c r="A1235" s="19" t="s">
        <v>1</v>
      </c>
      <c r="B1235" s="20" t="s">
        <v>2</v>
      </c>
      <c r="C1235" s="20" t="s">
        <v>3</v>
      </c>
      <c r="D1235" s="20" t="s">
        <v>4</v>
      </c>
      <c r="E1235" s="20" t="s">
        <v>5</v>
      </c>
      <c r="F1235" s="20" t="s">
        <v>6</v>
      </c>
      <c r="G1235" s="20" t="s">
        <v>7</v>
      </c>
      <c r="H1235" s="20" t="s">
        <v>8</v>
      </c>
      <c r="I1235" s="20" t="s">
        <v>9</v>
      </c>
      <c r="J1235" s="20" t="s">
        <v>10</v>
      </c>
      <c r="K1235" s="20" t="s">
        <v>7</v>
      </c>
      <c r="L1235" s="20" t="s">
        <v>8</v>
      </c>
      <c r="M1235" s="20" t="s">
        <v>9</v>
      </c>
      <c r="N1235" s="20" t="s">
        <v>10</v>
      </c>
      <c r="O1235" s="20" t="s">
        <v>7</v>
      </c>
      <c r="P1235" s="20" t="s">
        <v>8</v>
      </c>
      <c r="Q1235" s="20" t="s">
        <v>9</v>
      </c>
      <c r="R1235" s="20" t="s">
        <v>10</v>
      </c>
      <c r="S1235" s="20" t="s">
        <v>7</v>
      </c>
      <c r="T1235" s="20" t="s">
        <v>8</v>
      </c>
      <c r="U1235" s="20" t="s">
        <v>9</v>
      </c>
      <c r="V1235" s="20" t="s">
        <v>10</v>
      </c>
      <c r="W1235" s="20" t="s">
        <v>7</v>
      </c>
      <c r="X1235" s="20" t="s">
        <v>8</v>
      </c>
      <c r="Y1235" s="20" t="s">
        <v>9</v>
      </c>
      <c r="Z1235" s="20" t="s">
        <v>10</v>
      </c>
      <c r="AA1235" s="20" t="s">
        <v>7</v>
      </c>
      <c r="AB1235" s="20" t="s">
        <v>8</v>
      </c>
      <c r="AC1235" s="20" t="s">
        <v>9</v>
      </c>
      <c r="AD1235" s="21" t="s">
        <v>10</v>
      </c>
      <c r="AE1235" s="20" t="s">
        <v>11</v>
      </c>
      <c r="AF1235" s="20" t="s">
        <v>12</v>
      </c>
      <c r="AG1235" s="20" t="s">
        <v>13</v>
      </c>
      <c r="AH1235" s="213" t="s">
        <v>14</v>
      </c>
      <c r="AI1235" s="23" t="s">
        <v>15</v>
      </c>
      <c r="AJ1235" s="20" t="s">
        <v>16</v>
      </c>
      <c r="AK1235" s="21" t="s">
        <v>17</v>
      </c>
      <c r="AL1235" s="214" t="s">
        <v>18</v>
      </c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</row>
    <row r="1236" ht="15.75" hidden="1" customHeight="1">
      <c r="A1236" s="25">
        <f>A1237</f>
        <v>43934</v>
      </c>
      <c r="B1236" s="26" t="str">
        <f t="shared" ref="B1236:F1236" si="2501">IF(B1180="","",B1180)</f>
        <v>Средняя</v>
      </c>
      <c r="C1236" s="27" t="str">
        <f t="shared" si="2501"/>
        <v>ПР</v>
      </c>
      <c r="D1236" s="28" t="str">
        <f t="shared" si="2501"/>
        <v>Присед</v>
      </c>
      <c r="E1236" s="29">
        <f t="shared" si="2501"/>
        <v>1.2</v>
      </c>
      <c r="F1236" s="30" t="str">
        <f t="shared" si="2501"/>
        <v/>
      </c>
      <c r="G1236" s="31" t="str">
        <f t="shared" ref="G1236:G1243" si="2503">IF(J1236&lt;&gt;0, IFERROR(IF( $F1236=2,  MROUND($AH1236*J1236,1),    IF( OR($F1236="",$F1236=1),   MROUND($AH1236*J1236,2.5),  MROUND($AH1236*J1236, 0.1))), "" ), "")</f>
        <v/>
      </c>
      <c r="H1236" s="32"/>
      <c r="I1236" s="32"/>
      <c r="J1236" s="33"/>
      <c r="K1236" s="31" t="str">
        <f t="shared" ref="K1236:K1243" si="2504">IF(N1236&lt;&gt;0, IFERROR(IF( $F1236=2,  MROUND($AH1236*N1236,1),    IF( OR($F1236="",$F1236=1),   MROUND($AH1236*N1236,2.5),  MROUND($AH1236*N1236, 0.1))), "" ), "")</f>
        <v/>
      </c>
      <c r="L1236" s="32"/>
      <c r="M1236" s="32"/>
      <c r="N1236" s="33"/>
      <c r="O1236" s="31" t="str">
        <f t="shared" ref="O1236:O1243" si="2505">IF(R1236&lt;&gt;0, IFERROR(IF( $F1236=2,  MROUND($AH1236*R1236,1),    IF( OR($F1236="",$F1236=1),   MROUND($AH1236*R1236,2.5),  MROUND($AH1236*R1236, 0.1))), "" ), "")</f>
        <v/>
      </c>
      <c r="P1236" s="32"/>
      <c r="Q1236" s="32"/>
      <c r="R1236" s="33"/>
      <c r="S1236" s="31" t="str">
        <f t="shared" ref="S1236:S1243" si="2506">IF(V1236&lt;&gt;0, IFERROR(IF( $F1236=2,  MROUND($AH1236*V1236,1),    IF( OR($F1236="",$F1236=1),   MROUND($AH1236*V1236,2.5),  MROUND($AH1236*V1236, 0.1))), "" ), "")</f>
        <v/>
      </c>
      <c r="T1236" s="32"/>
      <c r="U1236" s="32"/>
      <c r="V1236" s="33"/>
      <c r="W1236" s="31" t="str">
        <f t="shared" ref="W1236:W1243" si="2507">IF(Z1236&lt;&gt;0, IFERROR(IF( $F1236=2,  MROUND($AH1236*Z1236,1),    IF( OR($F1236="",$F1236=1),   MROUND($AH1236*Z1236,2.5),  MROUND($AH1236*Z1236, 0.1))), "" ), "")</f>
        <v/>
      </c>
      <c r="X1236" s="32"/>
      <c r="Y1236" s="32"/>
      <c r="Z1236" s="33"/>
      <c r="AA1236" s="31" t="str">
        <f t="shared" ref="AA1236:AA1243" si="2508">IF(AD1236&lt;&gt;0, IFERROR(IF( $F1236=2,  MROUND($AH1236*AD1236,1),    IF( OR($F1236="",$F1236=1),   MROUND($AH1236*AD1236,2.5),  MROUND($AH1236*AD1236, 0.1))), "" ), "")</f>
        <v/>
      </c>
      <c r="AB1236" s="32"/>
      <c r="AC1236" s="32"/>
      <c r="AD1236" s="33"/>
      <c r="AE1236" s="35">
        <f t="shared" ref="AE1236:AE1243" si="2509">(IF(ISNUMBER(G1236),G1236,0)*H1236*I1236+IF(ISNUMBER(K1236),K1236,1)*L1236*M1236+IF(ISNUMBER(O1236),O1236,1)*P1236*Q1236+IF(ISNUMBER(S1236),S1236,1)*T1236*U1236+IF(ISNUMBER(W1236),W1236,1)*X1236*Y1236+IF(ISNUMBER(AA1236),AA1236,1)*AB1236*AC1236)*IF(ISNUMBER(F1236),F1236,1)</f>
        <v>0</v>
      </c>
      <c r="AF1236" s="36">
        <f t="shared" ref="AF1236:AF1290" si="2510">IFERROR(AE1236/AJ1236,0)</f>
        <v>0</v>
      </c>
      <c r="AG1236" s="195">
        <f t="shared" ref="AG1236:AG1243" si="2511">IFERROR((AF1236/(AH1236*IF(ISNUMBER(F1236),F1236,1))),0)</f>
        <v>0</v>
      </c>
      <c r="AH1236" s="169">
        <f t="shared" ref="AH1236:AH1243" si="2512">IF(ISNUMBER(AH1180), AH1180+(AH1180*$AH$1234),"")</f>
        <v>208.7072556</v>
      </c>
      <c r="AI1236" s="70">
        <f> ( IF(ISNUMBER(G1236), VLOOKUP(G1236/$AH1236,F!$A1:$B101,2,1)*G1236*$H1236*$I1236,0)+IF(ISNUMBER(K1236), VLOOKUP(K1236/$AH1236,F!$A1:$B101,2,1)*K1236*$L1236*$M1236,0)+IF(ISNUMBER(O1236), VLOOKUP(O1236/$AH1236,F!$A1:$B101,2,1)*O1236*$P1236*$Q1236,0)+IF(ISNUMBER(S1236), VLOOKUP(S1236/$AH1236,F!$A1:$B101,2,1)*S1236*$T1236*$U1236,0)+IF(ISNUMBER(W1236), VLOOKUP(W1236/$AH1236,F!$A1:$B101,2,1)*W1236*$X1236*$Y1236,0)+IF(ISNUMBER(AA1236), VLOOKUP(AA1236/$AH1236,F!$A1:$B101,2,1)*AA1236*$AB1236*$AC1236,0))*IF(ISNUMBER(F1236),F1236,1)*IF(ISNUMBER(E1236),E1236,1)</f>
        <v>0</v>
      </c>
      <c r="AJ1236" s="40">
        <f t="shared" ref="AJ1236:AJ1243" si="2513">H1236*I1236+L1236*M1236+P1236*Q1236+T1236*U1236+X1236*Y1236+AB1236*AC1236</f>
        <v>0</v>
      </c>
      <c r="AK1236" s="41">
        <f t="array" ref="AK1236">IFERROR(I1236*INDEX(F!$P$21:$AB$33, MATCH(G1236/$AH1236, F!$O$21:$O$33,1), MATCH(E1236, F!$P$20:$AB$20,1)), 0 ) +IFERROR( M1236*INDEX(F!$P$21:$AB$33, MATCH(K1236/$AH1236, F!$O$21:$O$33,1), MATCH(E1236, F!$P$20:$AB$20,1)),0) +  IFERROR( Q1236*INDEX(F!$P$21:$AB$33, MATCH(O1236/$AH1236, F!$O$21:$O$33,1), MATCH(E1236, F!$P$20:$AB$20,1)), 0) + IFERROR( U1236*INDEX(F!$P$21:$AB$33, MATCH(S1236/$AH1236, F!$O$21:$O$33,1), MATCH(E1236, F!$P$20:$AB$20,1)),0)  + IFERROR(Y1236*INDEX(F!$P$21:$AB$33, MATCH(W1236/$AH1236, F!$O$21:$O$33,1), MATCH(E1236, F!$P$20:$AB$20,1)),0)  + IFERROR( AC1236*INDEX(F!$P$21:$AB$33, MATCH(AA1236/$AH1236, F!$O$21:$O$33,1), MATCH(E1236, F!$P$20:$AB$20,1)),)</f>
        <v>0</v>
      </c>
      <c r="AL1236" s="42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</row>
    <row r="1237" ht="15.75" hidden="1" customHeight="1">
      <c r="A1237" s="44">
        <f>A1181+A1178</f>
        <v>43934</v>
      </c>
      <c r="B1237" s="45" t="str">
        <f t="shared" ref="B1237:F1237" si="2502">IF(B1181="","",B1181)</f>
        <v>Средняя</v>
      </c>
      <c r="C1237" s="46" t="str">
        <f t="shared" si="2502"/>
        <v>ЖМ</v>
      </c>
      <c r="D1237" s="47" t="str">
        <f t="shared" si="2502"/>
        <v>Жим лежа</v>
      </c>
      <c r="E1237" s="48">
        <f t="shared" si="2502"/>
        <v>1</v>
      </c>
      <c r="F1237" s="49" t="str">
        <f t="shared" si="2502"/>
        <v/>
      </c>
      <c r="G1237" s="50" t="str">
        <f t="shared" si="2503"/>
        <v/>
      </c>
      <c r="H1237" s="51"/>
      <c r="I1237" s="51"/>
      <c r="J1237" s="52"/>
      <c r="K1237" s="50" t="str">
        <f t="shared" si="2504"/>
        <v/>
      </c>
      <c r="L1237" s="51"/>
      <c r="M1237" s="51"/>
      <c r="N1237" s="52"/>
      <c r="O1237" s="50" t="str">
        <f t="shared" si="2505"/>
        <v/>
      </c>
      <c r="P1237" s="51"/>
      <c r="Q1237" s="51"/>
      <c r="R1237" s="52"/>
      <c r="S1237" s="50" t="str">
        <f t="shared" si="2506"/>
        <v/>
      </c>
      <c r="T1237" s="51"/>
      <c r="U1237" s="51"/>
      <c r="V1237" s="52"/>
      <c r="W1237" s="50" t="str">
        <f t="shared" si="2507"/>
        <v/>
      </c>
      <c r="X1237" s="51"/>
      <c r="Y1237" s="51"/>
      <c r="Z1237" s="52"/>
      <c r="AA1237" s="50" t="str">
        <f t="shared" si="2508"/>
        <v/>
      </c>
      <c r="AB1237" s="51"/>
      <c r="AC1237" s="51"/>
      <c r="AD1237" s="52"/>
      <c r="AE1237" s="53">
        <f t="shared" si="2509"/>
        <v>0</v>
      </c>
      <c r="AF1237" s="54">
        <f t="shared" si="2510"/>
        <v>0</v>
      </c>
      <c r="AG1237" s="75">
        <f t="shared" si="2511"/>
        <v>0</v>
      </c>
      <c r="AH1237" s="76">
        <f t="shared" si="2512"/>
        <v>146.8680687</v>
      </c>
      <c r="AI1237" s="77">
        <f> ( IF(ISNUMBER(G1237), VLOOKUP(G1237/$AH1237,F!$A1:$B101,2,1)*G1237*$H1237*$I1237,0)+IF(ISNUMBER(K1237), VLOOKUP(K1237/$AH1237,F!$A1:$B101,2,1)*K1237*$L1237*$M1237,0)+IF(ISNUMBER(O1237), VLOOKUP(O1237/$AH1237,F!$A1:$B101,2,1)*O1237*$P1237*$Q1237,0)+IF(ISNUMBER(S1237), VLOOKUP(S1237/$AH1237,F!$A1:$B101,2,1)*S1237*$T1237*$U1237,0)+IF(ISNUMBER(W1237), VLOOKUP(W1237/$AH1237,F!$A1:$B101,2,1)*W1237*$X1237*$Y1237,0)+IF(ISNUMBER(AA1237), VLOOKUP(AA1237/$AH1237,F!$A1:$B101,2,1)*AA1237*$AB1237*$AC1237,0))*IF(ISNUMBER(F1237),F1237,1)*IF(ISNUMBER(E1237),E1237,1)</f>
        <v>0</v>
      </c>
      <c r="AJ1237" s="57">
        <f t="shared" si="2513"/>
        <v>0</v>
      </c>
      <c r="AK1237" s="58">
        <f t="array" ref="AK1237">IFERROR(I1237*INDEX(F!$P$21:$AB$33, MATCH(G1237/$AH1237, F!$O$21:$O$33,1), MATCH(E1237, F!$P$20:$AB$20,1)), 0 ) +IFERROR( M1237*INDEX(F!$P$21:$AB$33, MATCH(K1237/$AH1237, F!$O$21:$O$33,1), MATCH(E1237, F!$P$20:$AB$20,1)),0) +  IFERROR( Q1237*INDEX(F!$P$21:$AB$33, MATCH(O1237/$AH1237, F!$O$21:$O$33,1), MATCH(E1237, F!$P$20:$AB$20,1)), 0) + IFERROR( U1237*INDEX(F!$P$21:$AB$33, MATCH(S1237/$AH1237, F!$O$21:$O$33,1), MATCH(E1237, F!$P$20:$AB$20,1)),0)  + IFERROR(Y1237*INDEX(F!$P$21:$AB$33, MATCH(W1237/$AH1237, F!$O$21:$O$33,1), MATCH(E1237, F!$P$20:$AB$20,1)),0)  + IFERROR( AC1237*INDEX(F!$P$21:$AB$33, MATCH(AA1237/$AH1237, F!$O$21:$O$33,1), MATCH(E1237, F!$P$20:$AB$20,1)),)</f>
        <v>0</v>
      </c>
      <c r="AL1237" s="59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</row>
    <row r="1238" ht="15.75" hidden="1" customHeight="1">
      <c r="A1238" s="59"/>
      <c r="B1238" s="60" t="str">
        <f t="shared" ref="B1238:F1238" si="2514">IF(B1182="","",B1182)</f>
        <v>Тяжелая</v>
      </c>
      <c r="C1238" s="61" t="str">
        <f t="shared" si="2514"/>
        <v>ПР</v>
      </c>
      <c r="D1238" s="62" t="str">
        <f t="shared" si="2514"/>
        <v>Присед</v>
      </c>
      <c r="E1238" s="48">
        <f t="shared" si="2514"/>
        <v>1.2</v>
      </c>
      <c r="F1238" s="63" t="str">
        <f t="shared" si="2514"/>
        <v/>
      </c>
      <c r="G1238" s="64" t="str">
        <f t="shared" si="2503"/>
        <v/>
      </c>
      <c r="H1238" s="34"/>
      <c r="I1238" s="34"/>
      <c r="J1238" s="65"/>
      <c r="K1238" s="64" t="str">
        <f t="shared" si="2504"/>
        <v/>
      </c>
      <c r="L1238" s="34"/>
      <c r="M1238" s="34"/>
      <c r="N1238" s="65"/>
      <c r="O1238" s="64" t="str">
        <f t="shared" si="2505"/>
        <v/>
      </c>
      <c r="P1238" s="34"/>
      <c r="Q1238" s="34"/>
      <c r="R1238" s="65"/>
      <c r="S1238" s="64" t="str">
        <f t="shared" si="2506"/>
        <v/>
      </c>
      <c r="T1238" s="34"/>
      <c r="U1238" s="34"/>
      <c r="V1238" s="65"/>
      <c r="W1238" s="64" t="str">
        <f t="shared" si="2507"/>
        <v/>
      </c>
      <c r="X1238" s="34"/>
      <c r="Y1238" s="34"/>
      <c r="Z1238" s="65"/>
      <c r="AA1238" s="64" t="str">
        <f t="shared" si="2508"/>
        <v/>
      </c>
      <c r="AB1238" s="34"/>
      <c r="AC1238" s="34"/>
      <c r="AD1238" s="65"/>
      <c r="AE1238" s="66">
        <f t="shared" si="2509"/>
        <v>0</v>
      </c>
      <c r="AF1238" s="67">
        <f t="shared" si="2510"/>
        <v>0</v>
      </c>
      <c r="AG1238" s="68">
        <f t="shared" si="2511"/>
        <v>0</v>
      </c>
      <c r="AH1238" s="76">
        <f t="shared" si="2512"/>
        <v>208.7072556</v>
      </c>
      <c r="AI1238" s="70">
        <f> ( IF(ISNUMBER(G1238), VLOOKUP(G1238/$AH1238,F!$A1:$B101,2,1)*G1238*$H1238*$I1238,0)+IF(ISNUMBER(K1238), VLOOKUP(K1238/$AH1238,F!$A1:$B101,2,1)*K1238*$L1238*$M1238,0)+IF(ISNUMBER(O1238), VLOOKUP(O1238/$AH1238,F!$A1:$B101,2,1)*O1238*$P1238*$Q1238,0)+IF(ISNUMBER(S1238), VLOOKUP(S1238/$AH1238,F!$A1:$B101,2,1)*S1238*$T1238*$U1238,0)+IF(ISNUMBER(W1238), VLOOKUP(W1238/$AH1238,F!$A1:$B101,2,1)*W1238*$X1238*$Y1238,0)+IF(ISNUMBER(AA1238), VLOOKUP(AA1238/$AH1238,F!$A1:$B101,2,1)*AA1238*$AB1238*$AC1238,0))*IF(ISNUMBER(F1238),F1238,1)*IF(ISNUMBER(E1238),E1238,1)</f>
        <v>0</v>
      </c>
      <c r="AJ1238" s="71">
        <f t="shared" si="2513"/>
        <v>0</v>
      </c>
      <c r="AK1238" s="72">
        <f t="array" ref="AK1238">IFERROR(I1238*INDEX(F!$P$21:$AB$33, MATCH(G1238/$AH1238, F!$O$21:$O$33,1), MATCH(E1238, F!$P$20:$AB$20,1)), 0 ) +IFERROR( M1238*INDEX(F!$P$21:$AB$33, MATCH(K1238/$AH1238, F!$O$21:$O$33,1), MATCH(E1238, F!$P$20:$AB$20,1)),0) +  IFERROR( Q1238*INDEX(F!$P$21:$AB$33, MATCH(O1238/$AH1238, F!$O$21:$O$33,1), MATCH(E1238, F!$P$20:$AB$20,1)), 0) + IFERROR( U1238*INDEX(F!$P$21:$AB$33, MATCH(S1238/$AH1238, F!$O$21:$O$33,1), MATCH(E1238, F!$P$20:$AB$20,1)),0)  + IFERROR(Y1238*INDEX(F!$P$21:$AB$33, MATCH(W1238/$AH1238, F!$O$21:$O$33,1), MATCH(E1238, F!$P$20:$AB$20,1)),0)  + IFERROR( AC1238*INDEX(F!$P$21:$AB$33, MATCH(AA1238/$AH1238, F!$O$21:$O$33,1), MATCH(E1238, F!$P$20:$AB$20,1)),)</f>
        <v>0</v>
      </c>
      <c r="AL1238" s="59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</row>
    <row r="1239" ht="15.75" hidden="1" customHeight="1">
      <c r="A1239" s="59"/>
      <c r="B1239" s="215" t="str">
        <f t="shared" ref="B1239:F1239" si="2515">IF(B1183="","",B1183)</f>
        <v>Средняя</v>
      </c>
      <c r="C1239" s="73" t="str">
        <f t="shared" si="2515"/>
        <v>ЖМ</v>
      </c>
      <c r="D1239" s="47" t="str">
        <f t="shared" si="2515"/>
        <v>Жим гантелей</v>
      </c>
      <c r="E1239" s="48">
        <f t="shared" si="2515"/>
        <v>1</v>
      </c>
      <c r="F1239" s="74">
        <f t="shared" si="2515"/>
        <v>2</v>
      </c>
      <c r="G1239" s="50" t="str">
        <f t="shared" si="2503"/>
        <v/>
      </c>
      <c r="H1239" s="51"/>
      <c r="I1239" s="51"/>
      <c r="J1239" s="52"/>
      <c r="K1239" s="50" t="str">
        <f t="shared" si="2504"/>
        <v/>
      </c>
      <c r="L1239" s="51"/>
      <c r="M1239" s="51"/>
      <c r="N1239" s="52"/>
      <c r="O1239" s="50" t="str">
        <f t="shared" si="2505"/>
        <v/>
      </c>
      <c r="P1239" s="51"/>
      <c r="Q1239" s="51"/>
      <c r="R1239" s="52"/>
      <c r="S1239" s="50" t="str">
        <f t="shared" si="2506"/>
        <v/>
      </c>
      <c r="T1239" s="51"/>
      <c r="U1239" s="51"/>
      <c r="V1239" s="52"/>
      <c r="W1239" s="50" t="str">
        <f t="shared" si="2507"/>
        <v/>
      </c>
      <c r="X1239" s="51"/>
      <c r="Y1239" s="51"/>
      <c r="Z1239" s="52"/>
      <c r="AA1239" s="50" t="str">
        <f t="shared" si="2508"/>
        <v/>
      </c>
      <c r="AB1239" s="51"/>
      <c r="AC1239" s="51"/>
      <c r="AD1239" s="52"/>
      <c r="AE1239" s="53">
        <f t="shared" si="2509"/>
        <v>0</v>
      </c>
      <c r="AF1239" s="54">
        <f t="shared" si="2510"/>
        <v>0</v>
      </c>
      <c r="AG1239" s="75">
        <f t="shared" si="2511"/>
        <v>0</v>
      </c>
      <c r="AH1239" s="76">
        <f t="shared" si="2512"/>
        <v>46.99778199</v>
      </c>
      <c r="AI1239" s="77">
        <f> ( IF(ISNUMBER(G1239), VLOOKUP(G1239/$AH1239,F!$A1:$B101,2,1)*G1239*$H1239*$I1239,0)+IF(ISNUMBER(K1239), VLOOKUP(K1239/$AH1239,F!$A1:$B101,2,1)*K1239*$L1239*$M1239,0)+IF(ISNUMBER(O1239), VLOOKUP(O1239/$AH1239,F!$A1:$B101,2,1)*O1239*$P1239*$Q1239,0)+IF(ISNUMBER(S1239), VLOOKUP(S1239/$AH1239,F!$A1:$B101,2,1)*S1239*$T1239*$U1239,0)+IF(ISNUMBER(W1239), VLOOKUP(W1239/$AH1239,F!$A1:$B101,2,1)*W1239*$X1239*$Y1239,0)+IF(ISNUMBER(AA1239), VLOOKUP(AA1239/$AH1239,F!$A1:$B101,2,1)*AA1239*$AB1239*$AC1239,0))*IF(ISNUMBER(F1239),F1239,1)*IF(ISNUMBER(E1239),E1239,1)</f>
        <v>0</v>
      </c>
      <c r="AJ1239" s="57">
        <f t="shared" si="2513"/>
        <v>0</v>
      </c>
      <c r="AK1239" s="58">
        <f t="array" ref="AK1239">IFERROR(I1239*INDEX(F!$P$21:$AB$33, MATCH(G1239/$AH1239, F!$O$21:$O$33,1), MATCH(E1239, F!$P$20:$AB$20,1)), 0 ) +IFERROR( M1239*INDEX(F!$P$21:$AB$33, MATCH(K1239/$AH1239, F!$O$21:$O$33,1), MATCH(E1239, F!$P$20:$AB$20,1)),0) +  IFERROR( Q1239*INDEX(F!$P$21:$AB$33, MATCH(O1239/$AH1239, F!$O$21:$O$33,1), MATCH(E1239, F!$P$20:$AB$20,1)), 0) + IFERROR( U1239*INDEX(F!$P$21:$AB$33, MATCH(S1239/$AH1239, F!$O$21:$O$33,1), MATCH(E1239, F!$P$20:$AB$20,1)),0)  + IFERROR(Y1239*INDEX(F!$P$21:$AB$33, MATCH(W1239/$AH1239, F!$O$21:$O$33,1), MATCH(E1239, F!$P$20:$AB$20,1)),0)  + IFERROR( AC1239*INDEX(F!$P$21:$AB$33, MATCH(AA1239/$AH1239, F!$O$21:$O$33,1), MATCH(E1239, F!$P$20:$AB$20,1)),)</f>
        <v>0</v>
      </c>
      <c r="AL1239" s="59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</row>
    <row r="1240" ht="15.75" hidden="1" customHeight="1">
      <c r="A1240" s="59"/>
      <c r="B1240" s="216" t="str">
        <f t="shared" ref="B1240:F1240" si="2516">IF(B1184="","",B1184)</f>
        <v>Средняя</v>
      </c>
      <c r="C1240" s="78" t="str">
        <f t="shared" si="2516"/>
        <v>ОФП</v>
      </c>
      <c r="D1240" s="62" t="str">
        <f t="shared" si="2516"/>
        <v>Французский жим</v>
      </c>
      <c r="E1240" s="48">
        <f t="shared" si="2516"/>
        <v>0.4</v>
      </c>
      <c r="F1240" s="79" t="str">
        <f t="shared" si="2516"/>
        <v/>
      </c>
      <c r="G1240" s="64" t="str">
        <f t="shared" si="2503"/>
        <v/>
      </c>
      <c r="H1240" s="34"/>
      <c r="I1240" s="34"/>
      <c r="J1240" s="65"/>
      <c r="K1240" s="64" t="str">
        <f t="shared" si="2504"/>
        <v/>
      </c>
      <c r="L1240" s="34"/>
      <c r="M1240" s="34"/>
      <c r="N1240" s="65"/>
      <c r="O1240" s="64" t="str">
        <f t="shared" si="2505"/>
        <v/>
      </c>
      <c r="P1240" s="34"/>
      <c r="Q1240" s="34"/>
      <c r="R1240" s="65"/>
      <c r="S1240" s="64" t="str">
        <f t="shared" si="2506"/>
        <v/>
      </c>
      <c r="T1240" s="34"/>
      <c r="U1240" s="34"/>
      <c r="V1240" s="65"/>
      <c r="W1240" s="64" t="str">
        <f t="shared" si="2507"/>
        <v/>
      </c>
      <c r="X1240" s="34"/>
      <c r="Y1240" s="34"/>
      <c r="Z1240" s="65"/>
      <c r="AA1240" s="64" t="str">
        <f t="shared" si="2508"/>
        <v/>
      </c>
      <c r="AB1240" s="34"/>
      <c r="AC1240" s="34"/>
      <c r="AD1240" s="65"/>
      <c r="AE1240" s="66">
        <f t="shared" si="2509"/>
        <v>0</v>
      </c>
      <c r="AF1240" s="67">
        <f t="shared" si="2510"/>
        <v>0</v>
      </c>
      <c r="AG1240" s="68">
        <f t="shared" si="2511"/>
        <v>0</v>
      </c>
      <c r="AH1240" s="76">
        <f t="shared" si="2512"/>
        <v>67.55931161</v>
      </c>
      <c r="AI1240" s="70">
        <f> ( IF(ISNUMBER(G1240), VLOOKUP(G1240/$AH1240,F!$A1:$B101,2,1)*G1240*$H1240*$I1240,0)+IF(ISNUMBER(K1240), VLOOKUP(K1240/$AH1240,F!$A1:$B101,2,1)*K1240*$L1240*$M1240,0)+IF(ISNUMBER(O1240), VLOOKUP(O1240/$AH1240,F!$A1:$B101,2,1)*O1240*$P1240*$Q1240,0)+IF(ISNUMBER(S1240), VLOOKUP(S1240/$AH1240,F!$A1:$B101,2,1)*S1240*$T1240*$U1240,0)+IF(ISNUMBER(W1240), VLOOKUP(W1240/$AH1240,F!$A1:$B101,2,1)*W1240*$X1240*$Y1240,0)+IF(ISNUMBER(AA1240), VLOOKUP(AA1240/$AH1240,F!$A1:$B101,2,1)*AA1240*$AB1240*$AC1240,0))*IF(ISNUMBER(F1240),F1240,1)*IF(ISNUMBER(E1240),E1240,1)</f>
        <v>0</v>
      </c>
      <c r="AJ1240" s="71">
        <f t="shared" si="2513"/>
        <v>0</v>
      </c>
      <c r="AK1240" s="72">
        <f t="array" ref="AK1240">IFERROR(I1240*INDEX(F!$P$21:$AB$33, MATCH(G1240/$AH1240, F!$O$21:$O$33,1), MATCH(E1240, F!$P$20:$AB$20,1)), 0 ) +IFERROR( M1240*INDEX(F!$P$21:$AB$33, MATCH(K1240/$AH1240, F!$O$21:$O$33,1), MATCH(E1240, F!$P$20:$AB$20,1)),0) +  IFERROR( Q1240*INDEX(F!$P$21:$AB$33, MATCH(O1240/$AH1240, F!$O$21:$O$33,1), MATCH(E1240, F!$P$20:$AB$20,1)), 0) + IFERROR( U1240*INDEX(F!$P$21:$AB$33, MATCH(S1240/$AH1240, F!$O$21:$O$33,1), MATCH(E1240, F!$P$20:$AB$20,1)),0)  + IFERROR(Y1240*INDEX(F!$P$21:$AB$33, MATCH(W1240/$AH1240, F!$O$21:$O$33,1), MATCH(E1240, F!$P$20:$AB$20,1)),0)  + IFERROR( AC1240*INDEX(F!$P$21:$AB$33, MATCH(AA1240/$AH1240, F!$O$21:$O$33,1), MATCH(E1240, F!$P$20:$AB$20,1)),)</f>
        <v>0</v>
      </c>
      <c r="AL1240" s="59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</row>
    <row r="1241" ht="15.75" hidden="1" customHeight="1">
      <c r="A1241" s="59"/>
      <c r="B1241" s="45" t="str">
        <f t="shared" ref="B1241:F1241" si="2517">IF(B1185="","",B1185)</f>
        <v/>
      </c>
      <c r="C1241" s="46" t="str">
        <f t="shared" si="2517"/>
        <v/>
      </c>
      <c r="D1241" s="197" t="str">
        <f t="shared" si="2517"/>
        <v/>
      </c>
      <c r="E1241" s="48" t="str">
        <f t="shared" si="2517"/>
        <v/>
      </c>
      <c r="F1241" s="83" t="str">
        <f t="shared" si="2517"/>
        <v/>
      </c>
      <c r="G1241" s="50" t="str">
        <f t="shared" si="2503"/>
        <v/>
      </c>
      <c r="H1241" s="51"/>
      <c r="I1241" s="51"/>
      <c r="J1241" s="52"/>
      <c r="K1241" s="50" t="str">
        <f t="shared" si="2504"/>
        <v/>
      </c>
      <c r="L1241" s="51"/>
      <c r="M1241" s="51"/>
      <c r="N1241" s="52"/>
      <c r="O1241" s="50" t="str">
        <f t="shared" si="2505"/>
        <v/>
      </c>
      <c r="P1241" s="51"/>
      <c r="Q1241" s="51"/>
      <c r="R1241" s="52"/>
      <c r="S1241" s="50" t="str">
        <f t="shared" si="2506"/>
        <v/>
      </c>
      <c r="T1241" s="51"/>
      <c r="U1241" s="51"/>
      <c r="V1241" s="52"/>
      <c r="W1241" s="50" t="str">
        <f t="shared" si="2507"/>
        <v/>
      </c>
      <c r="X1241" s="51"/>
      <c r="Y1241" s="51"/>
      <c r="Z1241" s="52"/>
      <c r="AA1241" s="50" t="str">
        <f t="shared" si="2508"/>
        <v/>
      </c>
      <c r="AB1241" s="51"/>
      <c r="AC1241" s="51"/>
      <c r="AD1241" s="52"/>
      <c r="AE1241" s="53">
        <f t="shared" si="2509"/>
        <v>0</v>
      </c>
      <c r="AF1241" s="54">
        <f t="shared" si="2510"/>
        <v>0</v>
      </c>
      <c r="AG1241" s="75">
        <f t="shared" si="2511"/>
        <v>0</v>
      </c>
      <c r="AH1241" s="76" t="str">
        <f t="shared" si="2512"/>
        <v/>
      </c>
      <c r="AI1241" s="77">
        <f> ( IF(ISNUMBER(G1241), VLOOKUP(G1241/$AH1241,F!$A1:$B101,2,1)*G1241*$H1241*$I1241,0)+IF(ISNUMBER(K1241), VLOOKUP(K1241/$AH1241,F!$A1:$B101,2,1)*K1241*$L1241*$M1241,0)+IF(ISNUMBER(O1241), VLOOKUP(O1241/$AH1241,F!$A1:$B101,2,1)*O1241*$P1241*$Q1241,0)+IF(ISNUMBER(S1241), VLOOKUP(S1241/$AH1241,F!$A1:$B101,2,1)*S1241*$T1241*$U1241,0)+IF(ISNUMBER(W1241), VLOOKUP(W1241/$AH1241,F!$A1:$B101,2,1)*W1241*$X1241*$Y1241,0)+IF(ISNUMBER(AA1241), VLOOKUP(AA1241/$AH1241,F!$A1:$B101,2,1)*AA1241*$AB1241*$AC1241,0))*IF(ISNUMBER(F1241),F1241,1)*IF(ISNUMBER(E1241),E1241,1)</f>
        <v>0</v>
      </c>
      <c r="AJ1241" s="86">
        <f t="shared" si="2513"/>
        <v>0</v>
      </c>
      <c r="AK1241" s="58">
        <f t="array" ref="AK1241">IFERROR(I1241*INDEX(F!$P$21:$AB$33, MATCH(G1241/$AH1241, F!$O$21:$O$33,1), MATCH(E1241, F!$P$20:$AB$20,1)), 0 ) +IFERROR( M1241*INDEX(F!$P$21:$AB$33, MATCH(K1241/$AH1241, F!$O$21:$O$33,1), MATCH(E1241, F!$P$20:$AB$20,1)),0) +  IFERROR( Q1241*INDEX(F!$P$21:$AB$33, MATCH(O1241/$AH1241, F!$O$21:$O$33,1), MATCH(E1241, F!$P$20:$AB$20,1)), 0) + IFERROR( U1241*INDEX(F!$P$21:$AB$33, MATCH(S1241/$AH1241, F!$O$21:$O$33,1), MATCH(E1241, F!$P$20:$AB$20,1)),0)  + IFERROR(Y1241*INDEX(F!$P$21:$AB$33, MATCH(W1241/$AH1241, F!$O$21:$O$33,1), MATCH(E1241, F!$P$20:$AB$20,1)),0)  + IFERROR( AC1241*INDEX(F!$P$21:$AB$33, MATCH(AA1241/$AH1241, F!$O$21:$O$33,1), MATCH(E1241, F!$P$20:$AB$20,1)),)</f>
        <v>0</v>
      </c>
      <c r="AL1241" s="59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</row>
    <row r="1242" ht="15.0" hidden="1" customHeight="1">
      <c r="A1242" s="59"/>
      <c r="B1242" s="60" t="str">
        <f t="shared" ref="B1242:F1242" si="2518">IF(B1186="","",B1186)</f>
        <v/>
      </c>
      <c r="C1242" s="61" t="str">
        <f t="shared" si="2518"/>
        <v/>
      </c>
      <c r="D1242" s="198" t="str">
        <f t="shared" si="2518"/>
        <v/>
      </c>
      <c r="E1242" s="48" t="str">
        <f t="shared" si="2518"/>
        <v/>
      </c>
      <c r="F1242" s="79" t="str">
        <f t="shared" si="2518"/>
        <v/>
      </c>
      <c r="G1242" s="64" t="str">
        <f t="shared" si="2503"/>
        <v/>
      </c>
      <c r="H1242" s="34"/>
      <c r="I1242" s="34"/>
      <c r="J1242" s="65"/>
      <c r="K1242" s="64" t="str">
        <f t="shared" si="2504"/>
        <v/>
      </c>
      <c r="L1242" s="34"/>
      <c r="M1242" s="34"/>
      <c r="N1242" s="65"/>
      <c r="O1242" s="64" t="str">
        <f t="shared" si="2505"/>
        <v/>
      </c>
      <c r="P1242" s="34"/>
      <c r="Q1242" s="34"/>
      <c r="R1242" s="65"/>
      <c r="S1242" s="64" t="str">
        <f t="shared" si="2506"/>
        <v/>
      </c>
      <c r="T1242" s="34"/>
      <c r="U1242" s="34"/>
      <c r="V1242" s="65"/>
      <c r="W1242" s="64" t="str">
        <f t="shared" si="2507"/>
        <v/>
      </c>
      <c r="X1242" s="34"/>
      <c r="Y1242" s="34"/>
      <c r="Z1242" s="65"/>
      <c r="AA1242" s="64" t="str">
        <f t="shared" si="2508"/>
        <v/>
      </c>
      <c r="AB1242" s="34"/>
      <c r="AC1242" s="34"/>
      <c r="AD1242" s="65"/>
      <c r="AE1242" s="66">
        <f t="shared" si="2509"/>
        <v>0</v>
      </c>
      <c r="AF1242" s="67">
        <f t="shared" si="2510"/>
        <v>0</v>
      </c>
      <c r="AG1242" s="68">
        <f t="shared" si="2511"/>
        <v>0</v>
      </c>
      <c r="AH1242" s="76" t="str">
        <f t="shared" si="2512"/>
        <v/>
      </c>
      <c r="AI1242" s="90">
        <f> ( IF(ISNUMBER(G1242), VLOOKUP(G1242/$AH1242,F!$A1:$B101,2,1)*G1242*$H1242*$I1242,0)+IF(ISNUMBER(K1242), VLOOKUP(K1242/$AH1242,F!$A1:$B101,2,1)*K1242*$L1242*$M1242,0)+IF(ISNUMBER(O1242), VLOOKUP(O1242/$AH1242,F!$A1:$B101,2,1)*O1242*$P1242*$Q1242,0)+IF(ISNUMBER(S1242), VLOOKUP(S1242/$AH1242,F!$A1:$B101,2,1)*S1242*$T1242*$U1242,0)+IF(ISNUMBER(W1242), VLOOKUP(W1242/$AH1242,F!$A1:$B101,2,1)*W1242*$X1242*$Y1242,0)+IF(ISNUMBER(AA1242), VLOOKUP(AA1242/$AH1242,F!$A1:$B101,2,1)*AA1242*$AB1242*$AC1242,0))*IF(ISNUMBER(F1242),F1242,1)*IF(ISNUMBER(E1242),E1242,1)</f>
        <v>0</v>
      </c>
      <c r="AJ1242" s="34">
        <f t="shared" si="2513"/>
        <v>0</v>
      </c>
      <c r="AK1242" s="91">
        <f t="array" ref="AK1242">IFERROR(I1242*INDEX(F!$P$21:$AB$33, MATCH(G1242/$AH1242, F!$O$21:$O$33,1), MATCH(E1242, F!$P$20:$AB$20,1)), 0 ) +IFERROR( M1242*INDEX(F!$P$21:$AB$33, MATCH(K1242/$AH1242, F!$O$21:$O$33,1), MATCH(E1242, F!$P$20:$AB$20,1)),0) +  IFERROR( Q1242*INDEX(F!$P$21:$AB$33, MATCH(O1242/$AH1242, F!$O$21:$O$33,1), MATCH(E1242, F!$P$20:$AB$20,1)), 0) + IFERROR( U1242*INDEX(F!$P$21:$AB$33, MATCH(S1242/$AH1242, F!$O$21:$O$33,1), MATCH(E1242, F!$P$20:$AB$20,1)),0)  + IFERROR(Y1242*INDEX(F!$P$21:$AB$33, MATCH(W1242/$AH1242, F!$O$21:$O$33,1), MATCH(E1242, F!$P$20:$AB$20,1)),0)  + IFERROR( AC1242*INDEX(F!$P$21:$AB$33, MATCH(AA1242/$AH1242, F!$O$21:$O$33,1), MATCH(E1242, F!$P$20:$AB$20,1)),)</f>
        <v>0</v>
      </c>
      <c r="AL1242" s="59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</row>
    <row r="1243" ht="15.0" hidden="1" customHeight="1">
      <c r="A1243" s="59"/>
      <c r="B1243" s="45" t="str">
        <f t="shared" ref="B1243:F1243" si="2519">IF(B1187="","",B1187)</f>
        <v/>
      </c>
      <c r="C1243" s="46" t="str">
        <f t="shared" si="2519"/>
        <v/>
      </c>
      <c r="D1243" s="92" t="str">
        <f t="shared" si="2519"/>
        <v/>
      </c>
      <c r="E1243" s="48" t="str">
        <f t="shared" si="2519"/>
        <v/>
      </c>
      <c r="F1243" s="74" t="str">
        <f t="shared" si="2519"/>
        <v/>
      </c>
      <c r="G1243" s="50" t="str">
        <f t="shared" si="2503"/>
        <v/>
      </c>
      <c r="H1243" s="51"/>
      <c r="I1243" s="51"/>
      <c r="J1243" s="52"/>
      <c r="K1243" s="50" t="str">
        <f t="shared" si="2504"/>
        <v/>
      </c>
      <c r="L1243" s="51"/>
      <c r="M1243" s="51"/>
      <c r="N1243" s="52"/>
      <c r="O1243" s="50" t="str">
        <f t="shared" si="2505"/>
        <v/>
      </c>
      <c r="P1243" s="51"/>
      <c r="Q1243" s="51"/>
      <c r="R1243" s="52"/>
      <c r="S1243" s="50" t="str">
        <f t="shared" si="2506"/>
        <v/>
      </c>
      <c r="T1243" s="51"/>
      <c r="U1243" s="51"/>
      <c r="V1243" s="52"/>
      <c r="W1243" s="50" t="str">
        <f t="shared" si="2507"/>
        <v/>
      </c>
      <c r="X1243" s="51"/>
      <c r="Y1243" s="51"/>
      <c r="Z1243" s="52"/>
      <c r="AA1243" s="50" t="str">
        <f t="shared" si="2508"/>
        <v/>
      </c>
      <c r="AB1243" s="51"/>
      <c r="AC1243" s="51"/>
      <c r="AD1243" s="52"/>
      <c r="AE1243" s="53">
        <f t="shared" si="2509"/>
        <v>0</v>
      </c>
      <c r="AF1243" s="93">
        <f t="shared" si="2510"/>
        <v>0</v>
      </c>
      <c r="AG1243" s="94">
        <f t="shared" si="2511"/>
        <v>0</v>
      </c>
      <c r="AH1243" s="76" t="str">
        <f t="shared" si="2512"/>
        <v/>
      </c>
      <c r="AI1243" s="95">
        <f> ( IF(ISNUMBER(G1243), VLOOKUP(G1243/$AH1243,F!$A1:$B101,2,1)*G1243*$H1243*$I1243,0)+IF(ISNUMBER(K1243), VLOOKUP(K1243/$AH1243,F!$A1:$B101,2,1)*K1243*$L1243*$M1243,0)+IF(ISNUMBER(O1243), VLOOKUP(O1243/$AH1243,F!$A1:$B101,2,1)*O1243*$P1243*$Q1243,0)+IF(ISNUMBER(S1243), VLOOKUP(S1243/$AH1243,F!$A1:$B101,2,1)*S1243*$T1243*$U1243,0)+IF(ISNUMBER(W1243), VLOOKUP(W1243/$AH1243,F!$A1:$B101,2,1)*W1243*$X1243*$Y1243,0)+IF(ISNUMBER(AA1243), VLOOKUP(AA1243/$AH1243,F!$A1:$B101,2,1)*AA1243*$AB1243*$AC1243,0))*IF(ISNUMBER(F1243),F1243,1)*IF(ISNUMBER(E1243),E1243,1)</f>
        <v>0</v>
      </c>
      <c r="AJ1243" s="96">
        <f t="shared" si="2513"/>
        <v>0</v>
      </c>
      <c r="AK1243" s="97">
        <f t="array" ref="AK1243">IFERROR(I1243*INDEX(F!$P$21:$AB$33, MATCH(G1243/$AH1243, F!$O$21:$O$33,1), MATCH(E1243, F!$P$20:$AB$20,1)), 0 ) +IFERROR( M1243*INDEX(F!$P$21:$AB$33, MATCH(K1243/$AH1243, F!$O$21:$O$33,1), MATCH(E1243, F!$P$20:$AB$20,1)),0) +  IFERROR( Q1243*INDEX(F!$P$21:$AB$33, MATCH(O1243/$AH1243, F!$O$21:$O$33,1), MATCH(E1243, F!$P$20:$AB$20,1)), 0) + IFERROR( U1243*INDEX(F!$P$21:$AB$33, MATCH(S1243/$AH1243, F!$O$21:$O$33,1), MATCH(E1243, F!$P$20:$AB$20,1)),0)  + IFERROR(Y1243*INDEX(F!$P$21:$AB$33, MATCH(W1243/$AH1243, F!$O$21:$O$33,1), MATCH(E1243, F!$P$20:$AB$20,1)),0)  + IFERROR( AC1243*INDEX(F!$P$21:$AB$33, MATCH(AA1243/$AH1243, F!$O$21:$O$33,1), MATCH(E1243, F!$P$20:$AB$20,1)),)</f>
        <v>0</v>
      </c>
      <c r="AL1243" s="59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</row>
    <row r="1244" ht="15.75" hidden="1" customHeight="1">
      <c r="A1244" s="98"/>
      <c r="B1244" s="99"/>
      <c r="C1244" s="100"/>
      <c r="D1244" s="101"/>
      <c r="E1244" s="102">
        <f>ROUND(IFERROR(SUMPRODUCT(AJ1236:AJ1243,E1236:E1243)/AJ1244,0),3)</f>
        <v>0</v>
      </c>
      <c r="F1244" s="199"/>
      <c r="G1244" s="104"/>
      <c r="H1244" s="105"/>
      <c r="I1244" s="105"/>
      <c r="J1244" s="106"/>
      <c r="K1244" s="104"/>
      <c r="L1244" s="105"/>
      <c r="M1244" s="105"/>
      <c r="N1244" s="106"/>
      <c r="O1244" s="104"/>
      <c r="P1244" s="105"/>
      <c r="Q1244" s="105"/>
      <c r="R1244" s="106"/>
      <c r="S1244" s="104"/>
      <c r="T1244" s="105"/>
      <c r="U1244" s="105"/>
      <c r="V1244" s="106"/>
      <c r="W1244" s="104"/>
      <c r="X1244" s="105"/>
      <c r="Y1244" s="105"/>
      <c r="Z1244" s="106"/>
      <c r="AA1244" s="104"/>
      <c r="AB1244" s="105"/>
      <c r="AC1244" s="105"/>
      <c r="AD1244" s="106"/>
      <c r="AE1244" s="107">
        <f>SUM(AE1236:AE1243)</f>
        <v>0</v>
      </c>
      <c r="AF1244" s="108">
        <f t="shared" si="2510"/>
        <v>0</v>
      </c>
      <c r="AG1244" s="109">
        <f>IFERROR(  SUMPRODUCT(AG1236:AG1243,AJ1236:AJ1243)/AJ1244,0)</f>
        <v>0</v>
      </c>
      <c r="AH1244" s="157"/>
      <c r="AI1244" s="111">
        <f t="shared" ref="AI1244:AJ1244" si="2520">SUM(AI1236:AI1243)</f>
        <v>0</v>
      </c>
      <c r="AJ1244" s="111">
        <f t="shared" si="2520"/>
        <v>0</v>
      </c>
      <c r="AK1244" s="112">
        <f>IF(SUM(AK1236:AK1243)=0,TIME(,0,),TIME(,SUM(AK1236:AK1243)+F!$V$37,))</f>
        <v>0</v>
      </c>
      <c r="AL1244" s="98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</row>
    <row r="1245" ht="15.75" hidden="1" customHeight="1">
      <c r="A1245" s="113">
        <f>A1246</f>
        <v>43936</v>
      </c>
      <c r="B1245" s="114" t="str">
        <f t="shared" ref="B1245:F1245" si="2521">IF(B1189="","",B1189)</f>
        <v>Тяжелая</v>
      </c>
      <c r="C1245" s="115" t="str">
        <f t="shared" si="2521"/>
        <v>ТГ</v>
      </c>
      <c r="D1245" s="116" t="str">
        <f t="shared" si="2521"/>
        <v>Становая тяга</v>
      </c>
      <c r="E1245" s="29">
        <f t="shared" si="2521"/>
        <v>1.4</v>
      </c>
      <c r="F1245" s="117" t="str">
        <f t="shared" si="2521"/>
        <v/>
      </c>
      <c r="G1245" s="118" t="str">
        <f t="shared" ref="G1245:G1252" si="2523">IF(J1245&lt;&gt;0, IFERROR(IF( $F1245=2,  MROUND($AH1245*J1245,1),    IF( OR($F1245="",$F1245=1),   MROUND($AH1245*J1245,2.5),  MROUND($AH1245*J1245, 0.1))), "" ), "")</f>
        <v/>
      </c>
      <c r="H1245" s="119"/>
      <c r="I1245" s="119"/>
      <c r="J1245" s="120"/>
      <c r="K1245" s="118" t="str">
        <f t="shared" ref="K1245:K1252" si="2524">IF(N1245&lt;&gt;0, IFERROR(IF( $F1245=2,  MROUND($AH1245*N1245,1),    IF( OR($F1245="",$F1245=1),   MROUND($AH1245*N1245,2.5),  MROUND($AH1245*N1245, 0.1))), "" ), "")</f>
        <v/>
      </c>
      <c r="L1245" s="119"/>
      <c r="M1245" s="119"/>
      <c r="N1245" s="120"/>
      <c r="O1245" s="118" t="str">
        <f t="shared" ref="O1245:O1252" si="2525">IF(R1245&lt;&gt;0, IFERROR(IF( $F1245=2,  MROUND($AH1245*R1245,1),    IF( OR($F1245="",$F1245=1),   MROUND($AH1245*R1245,2.5),  MROUND($AH1245*R1245, 0.1))), "" ), "")</f>
        <v/>
      </c>
      <c r="P1245" s="119"/>
      <c r="Q1245" s="119"/>
      <c r="R1245" s="120"/>
      <c r="S1245" s="118" t="str">
        <f t="shared" ref="S1245:S1252" si="2526">IF(V1245&lt;&gt;0, IFERROR(IF( $F1245=2,  MROUND($AH1245*V1245,1),    IF( OR($F1245="",$F1245=1),   MROUND($AH1245*V1245,2.5),  MROUND($AH1245*V1245, 0.1))), "" ), "")</f>
        <v/>
      </c>
      <c r="T1245" s="119"/>
      <c r="U1245" s="119"/>
      <c r="V1245" s="120"/>
      <c r="W1245" s="118" t="str">
        <f t="shared" ref="W1245:W1252" si="2527">IF(Z1245&lt;&gt;0, IFERROR(IF( $F1245=2,  MROUND($AH1245*Z1245,1),    IF( OR($F1245="",$F1245=1),   MROUND($AH1245*Z1245,2.5),  MROUND($AH1245*Z1245, 0.1))), "" ), "")</f>
        <v/>
      </c>
      <c r="X1245" s="119"/>
      <c r="Y1245" s="119"/>
      <c r="Z1245" s="120"/>
      <c r="AA1245" s="118" t="str">
        <f t="shared" ref="AA1245:AA1252" si="2528">IF(AD1245&lt;&gt;0, IFERROR(IF( $F1245=2,  MROUND($AH1245*AD1245,1),    IF( OR($F1245="",$F1245=1),   MROUND($AH1245*AD1245,2.5),  MROUND($AH1245*AD1245, 0.1))), "" ), "")</f>
        <v/>
      </c>
      <c r="AB1245" s="119"/>
      <c r="AC1245" s="119"/>
      <c r="AD1245" s="120"/>
      <c r="AE1245" s="121">
        <f t="shared" ref="AE1245:AE1252" si="2529">(IF(ISNUMBER(G1245),G1245,0)*H1245*I1245+IF(ISNUMBER(K1245),K1245,1)*L1245*M1245+IF(ISNUMBER(O1245),O1245,1)*P1245*Q1245+IF(ISNUMBER(S1245),S1245,1)*T1245*U1245+IF(ISNUMBER(W1245),W1245,1)*X1245*Y1245+IF(ISNUMBER(AA1245),AA1245,1)*AB1245*AC1245)*IF(ISNUMBER(F1245),F1245,1)</f>
        <v>0</v>
      </c>
      <c r="AF1245" s="122">
        <f t="shared" si="2510"/>
        <v>0</v>
      </c>
      <c r="AG1245" s="200">
        <f t="shared" ref="AG1245:AG1252" si="2530">IFERROR((AF1245/(AH1245*IF(ISNUMBER(F1245),F1245,1))),0)</f>
        <v>0</v>
      </c>
      <c r="AH1245" s="169">
        <f t="shared" ref="AH1245:AH1252" si="2531">IF(ISNUMBER(AH1189), AH1189+(AH1189*$AH$1234),"")</f>
        <v>286.0062391</v>
      </c>
      <c r="AI1245" s="122">
        <f> ( IF(ISNUMBER(G1245), VLOOKUP(G1245/$AH1245,F!$A1:$B101,2,1)*G1245*$H1245*$I1245,0)+IF(ISNUMBER(K1245), VLOOKUP(K1245/$AH1245,F!$A1:$B101,2,1)*K1245*$L1245*$M1245,0)+IF(ISNUMBER(O1245), VLOOKUP(O1245/$AH1245,F!$A1:$B101,2,1)*O1245*$P1245*$Q1245,0)+IF(ISNUMBER(S1245), VLOOKUP(S1245/$AH1245,F!$A1:$B101,2,1)*S1245*$T1245*$U1245,0)+IF(ISNUMBER(W1245), VLOOKUP(W1245/$AH1245,F!$A1:$B101,2,1)*W1245*$X1245*$Y1245,0)+IF(ISNUMBER(AA1245), VLOOKUP(AA1245/$AH1245,F!$A1:$B101,2,1)*AA1245*$AB1245*$AC1245,0))*IF(ISNUMBER(F1245),F1245,1)*IF(ISNUMBER(E1245),E1245,1)</f>
        <v>0</v>
      </c>
      <c r="AJ1245" s="119">
        <f t="shared" ref="AJ1245:AJ1252" si="2532">H1245*I1245+L1245*M1245+P1245*Q1245+T1245*U1245+X1245*Y1245+AB1245*AC1245</f>
        <v>0</v>
      </c>
      <c r="AK1245" s="125">
        <f t="array" ref="AK1245">IFERROR(I1245*INDEX(F!$P$21:$AB$33, MATCH(G1245/$AH1245, F!$O$21:$O$33,1), MATCH(E1245, F!$P$20:$AB$20,1)), 0 ) +IFERROR( M1245*INDEX(F!$P$21:$AB$33, MATCH(K1245/$AH1245, F!$O$21:$O$33,1), MATCH(E1245, F!$P$20:$AB$20,1)),0) +  IFERROR( Q1245*INDEX(F!$P$21:$AB$33, MATCH(O1245/$AH1245, F!$O$21:$O$33,1), MATCH(E1245, F!$P$20:$AB$20,1)), 0) + IFERROR( U1245*INDEX(F!$P$21:$AB$33, MATCH(S1245/$AH1245, F!$O$21:$O$33,1), MATCH(E1245, F!$P$20:$AB$20,1)),0)  + IFERROR(Y1245*INDEX(F!$P$21:$AB$33, MATCH(W1245/$AH1245, F!$O$21:$O$33,1), MATCH(E1245, F!$P$20:$AB$20,1)),0)  + IFERROR( AC1245*INDEX(F!$P$21:$AB$33, MATCH(AA1245/$AH1245, F!$O$21:$O$33,1), MATCH(E1245, F!$P$20:$AB$20,1)),)</f>
        <v>0</v>
      </c>
      <c r="AL1245" s="42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</row>
    <row r="1246" ht="15.75" hidden="1" customHeight="1">
      <c r="A1246" s="44">
        <f>A1190+A1178</f>
        <v>43936</v>
      </c>
      <c r="B1246" s="126" t="str">
        <f t="shared" ref="B1246:F1246" si="2522">IF(B1190="","",B1190)</f>
        <v>Средняя</v>
      </c>
      <c r="C1246" s="127" t="str">
        <f t="shared" si="2522"/>
        <v>ЖМ</v>
      </c>
      <c r="D1246" s="128" t="str">
        <f t="shared" si="2522"/>
        <v>Жим лежа</v>
      </c>
      <c r="E1246" s="48">
        <f t="shared" si="2522"/>
        <v>1</v>
      </c>
      <c r="F1246" s="129" t="str">
        <f t="shared" si="2522"/>
        <v/>
      </c>
      <c r="G1246" s="130" t="str">
        <f t="shared" si="2523"/>
        <v/>
      </c>
      <c r="H1246" s="34"/>
      <c r="I1246" s="34"/>
      <c r="J1246" s="65"/>
      <c r="K1246" s="130" t="str">
        <f t="shared" si="2524"/>
        <v/>
      </c>
      <c r="L1246" s="34"/>
      <c r="M1246" s="34"/>
      <c r="N1246" s="65"/>
      <c r="O1246" s="130" t="str">
        <f t="shared" si="2525"/>
        <v/>
      </c>
      <c r="P1246" s="34"/>
      <c r="Q1246" s="34"/>
      <c r="R1246" s="65"/>
      <c r="S1246" s="130" t="str">
        <f t="shared" si="2526"/>
        <v/>
      </c>
      <c r="T1246" s="34"/>
      <c r="U1246" s="34"/>
      <c r="V1246" s="65"/>
      <c r="W1246" s="130" t="str">
        <f t="shared" si="2527"/>
        <v/>
      </c>
      <c r="X1246" s="34"/>
      <c r="Y1246" s="34"/>
      <c r="Z1246" s="65"/>
      <c r="AA1246" s="130" t="str">
        <f t="shared" si="2528"/>
        <v/>
      </c>
      <c r="AB1246" s="34"/>
      <c r="AC1246" s="34"/>
      <c r="AD1246" s="65"/>
      <c r="AE1246" s="131">
        <f t="shared" si="2529"/>
        <v>0</v>
      </c>
      <c r="AF1246" s="132">
        <f t="shared" si="2510"/>
        <v>0</v>
      </c>
      <c r="AG1246" s="133">
        <f t="shared" si="2530"/>
        <v>0</v>
      </c>
      <c r="AH1246" s="76">
        <f t="shared" si="2531"/>
        <v>146.8680687</v>
      </c>
      <c r="AI1246" s="132">
        <f> ( IF(ISNUMBER(G1246), VLOOKUP(G1246/$AH1246,F!$A1:$B101,2,1)*G1246*$H1246*$I1246,0)+IF(ISNUMBER(K1246), VLOOKUP(K1246/$AH1246,F!$A1:$B101,2,1)*K1246*$L1246*$M1246,0)+IF(ISNUMBER(O1246), VLOOKUP(O1246/$AH1246,F!$A1:$B101,2,1)*O1246*$P1246*$Q1246,0)+IF(ISNUMBER(S1246), VLOOKUP(S1246/$AH1246,F!$A1:$B101,2,1)*S1246*$T1246*$U1246,0)+IF(ISNUMBER(W1246), VLOOKUP(W1246/$AH1246,F!$A1:$B101,2,1)*W1246*$X1246*$Y1246,0)+IF(ISNUMBER(AA1246), VLOOKUP(AA1246/$AH1246,F!$A1:$B101,2,1)*AA1246*$AB1246*$AC1246,0))*IF(ISNUMBER(F1246),F1246,1)*IF(ISNUMBER(E1246),E1246,1)</f>
        <v>0</v>
      </c>
      <c r="AJ1246" s="34">
        <f t="shared" si="2532"/>
        <v>0</v>
      </c>
      <c r="AK1246" s="134">
        <f t="array" ref="AK1246">IFERROR(I1246*INDEX(F!$P$21:$AB$33, MATCH(G1246/$AH1246, F!$O$21:$O$33,1), MATCH(E1246, F!$P$20:$AB$20,1)), 0 ) +IFERROR( M1246*INDEX(F!$P$21:$AB$33, MATCH(K1246/$AH1246, F!$O$21:$O$33,1), MATCH(E1246, F!$P$20:$AB$20,1)),0) +  IFERROR( Q1246*INDEX(F!$P$21:$AB$33, MATCH(O1246/$AH1246, F!$O$21:$O$33,1), MATCH(E1246, F!$P$20:$AB$20,1)), 0) + IFERROR( U1246*INDEX(F!$P$21:$AB$33, MATCH(S1246/$AH1246, F!$O$21:$O$33,1), MATCH(E1246, F!$P$20:$AB$20,1)),0)  + IFERROR(Y1246*INDEX(F!$P$21:$AB$33, MATCH(W1246/$AH1246, F!$O$21:$O$33,1), MATCH(E1246, F!$P$20:$AB$20,1)),0)  + IFERROR( AC1246*INDEX(F!$P$21:$AB$33, MATCH(AA1246/$AH1246, F!$O$21:$O$33,1), MATCH(E1246, F!$P$20:$AB$20,1)),)</f>
        <v>0</v>
      </c>
      <c r="AL1246" s="59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</row>
    <row r="1247" ht="15.75" hidden="1" customHeight="1">
      <c r="A1247" s="59"/>
      <c r="B1247" s="135" t="str">
        <f t="shared" ref="B1247:F1247" si="2533">IF(B1191="","",B1191)</f>
        <v>Легкая</v>
      </c>
      <c r="C1247" s="136" t="str">
        <f t="shared" si="2533"/>
        <v>ОФП</v>
      </c>
      <c r="D1247" s="137" t="str">
        <f t="shared" si="2533"/>
        <v>Наклоны со штангой</v>
      </c>
      <c r="E1247" s="48">
        <f t="shared" si="2533"/>
        <v>0.8</v>
      </c>
      <c r="F1247" s="138" t="str">
        <f t="shared" si="2533"/>
        <v/>
      </c>
      <c r="G1247" s="139" t="str">
        <f t="shared" si="2523"/>
        <v/>
      </c>
      <c r="H1247" s="140"/>
      <c r="I1247" s="140"/>
      <c r="J1247" s="141"/>
      <c r="K1247" s="139" t="str">
        <f t="shared" si="2524"/>
        <v/>
      </c>
      <c r="L1247" s="140"/>
      <c r="M1247" s="140"/>
      <c r="N1247" s="141"/>
      <c r="O1247" s="139" t="str">
        <f t="shared" si="2525"/>
        <v/>
      </c>
      <c r="P1247" s="140"/>
      <c r="Q1247" s="140"/>
      <c r="R1247" s="141"/>
      <c r="S1247" s="139" t="str">
        <f t="shared" si="2526"/>
        <v/>
      </c>
      <c r="T1247" s="140"/>
      <c r="U1247" s="140"/>
      <c r="V1247" s="141"/>
      <c r="W1247" s="139" t="str">
        <f t="shared" si="2527"/>
        <v/>
      </c>
      <c r="X1247" s="140"/>
      <c r="Y1247" s="140"/>
      <c r="Z1247" s="141"/>
      <c r="AA1247" s="139" t="str">
        <f t="shared" si="2528"/>
        <v/>
      </c>
      <c r="AB1247" s="140"/>
      <c r="AC1247" s="140"/>
      <c r="AD1247" s="141"/>
      <c r="AE1247" s="142">
        <f t="shared" si="2529"/>
        <v>0</v>
      </c>
      <c r="AF1247" s="143">
        <f t="shared" si="2510"/>
        <v>0</v>
      </c>
      <c r="AG1247" s="144">
        <f t="shared" si="2530"/>
        <v>0</v>
      </c>
      <c r="AH1247" s="76">
        <f t="shared" si="2531"/>
        <v>157.3034315</v>
      </c>
      <c r="AI1247" s="143">
        <f> ( IF(ISNUMBER(G1247), VLOOKUP(G1247/$AH1247,F!$A1:$B101,2,1)*G1247*$H1247*$I1247,0)+IF(ISNUMBER(K1247), VLOOKUP(K1247/$AH1247,F!$A1:$B101,2,1)*K1247*$L1247*$M1247,0)+IF(ISNUMBER(O1247), VLOOKUP(O1247/$AH1247,F!$A1:$B101,2,1)*O1247*$P1247*$Q1247,0)+IF(ISNUMBER(S1247), VLOOKUP(S1247/$AH1247,F!$A1:$B101,2,1)*S1247*$T1247*$U1247,0)+IF(ISNUMBER(W1247), VLOOKUP(W1247/$AH1247,F!$A1:$B101,2,1)*W1247*$X1247*$Y1247,0)+IF(ISNUMBER(AA1247), VLOOKUP(AA1247/$AH1247,F!$A1:$B101,2,1)*AA1247*$AB1247*$AC1247,0))*IF(ISNUMBER(F1247),F1247,1)*IF(ISNUMBER(E1247),E1247,1)</f>
        <v>0</v>
      </c>
      <c r="AJ1247" s="140">
        <f t="shared" si="2532"/>
        <v>0</v>
      </c>
      <c r="AK1247" s="145">
        <f t="array" ref="AK1247">IFERROR(I1247*INDEX(F!$P$21:$AB$33, MATCH(G1247/$AH1247, F!$O$21:$O$33,1), MATCH(E1247, F!$P$20:$AB$20,1)), 0 ) +IFERROR( M1247*INDEX(F!$P$21:$AB$33, MATCH(K1247/$AH1247, F!$O$21:$O$33,1), MATCH(E1247, F!$P$20:$AB$20,1)),0) +  IFERROR( Q1247*INDEX(F!$P$21:$AB$33, MATCH(O1247/$AH1247, F!$O$21:$O$33,1), MATCH(E1247, F!$P$20:$AB$20,1)), 0) + IFERROR( U1247*INDEX(F!$P$21:$AB$33, MATCH(S1247/$AH1247, F!$O$21:$O$33,1), MATCH(E1247, F!$P$20:$AB$20,1)),0)  + IFERROR(Y1247*INDEX(F!$P$21:$AB$33, MATCH(W1247/$AH1247, F!$O$21:$O$33,1), MATCH(E1247, F!$P$20:$AB$20,1)),0)  + IFERROR( AC1247*INDEX(F!$P$21:$AB$33, MATCH(AA1247/$AH1247, F!$O$21:$O$33,1), MATCH(E1247, F!$P$20:$AB$20,1)),)</f>
        <v>0</v>
      </c>
      <c r="AL1247" s="59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</row>
    <row r="1248" ht="15.75" hidden="1" customHeight="1">
      <c r="A1248" s="59"/>
      <c r="B1248" s="126" t="str">
        <f t="shared" ref="B1248:F1248" si="2534">IF(B1192="","",B1192)</f>
        <v>Средняя</v>
      </c>
      <c r="C1248" s="127" t="str">
        <f t="shared" si="2534"/>
        <v>ОФП</v>
      </c>
      <c r="D1248" s="128" t="str">
        <f t="shared" si="2534"/>
        <v>Жим стоя</v>
      </c>
      <c r="E1248" s="48">
        <f t="shared" si="2534"/>
        <v>1</v>
      </c>
      <c r="F1248" s="129" t="str">
        <f t="shared" si="2534"/>
        <v/>
      </c>
      <c r="G1248" s="130" t="str">
        <f t="shared" si="2523"/>
        <v/>
      </c>
      <c r="H1248" s="34"/>
      <c r="I1248" s="34"/>
      <c r="J1248" s="65"/>
      <c r="K1248" s="130" t="str">
        <f t="shared" si="2524"/>
        <v/>
      </c>
      <c r="L1248" s="34"/>
      <c r="M1248" s="34"/>
      <c r="N1248" s="65"/>
      <c r="O1248" s="130" t="str">
        <f t="shared" si="2525"/>
        <v/>
      </c>
      <c r="P1248" s="34"/>
      <c r="Q1248" s="34"/>
      <c r="R1248" s="65"/>
      <c r="S1248" s="130" t="str">
        <f t="shared" si="2526"/>
        <v/>
      </c>
      <c r="T1248" s="34"/>
      <c r="U1248" s="34"/>
      <c r="V1248" s="65"/>
      <c r="W1248" s="130" t="str">
        <f t="shared" si="2527"/>
        <v/>
      </c>
      <c r="X1248" s="34"/>
      <c r="Y1248" s="34"/>
      <c r="Z1248" s="65"/>
      <c r="AA1248" s="130" t="str">
        <f t="shared" si="2528"/>
        <v/>
      </c>
      <c r="AB1248" s="34"/>
      <c r="AC1248" s="34"/>
      <c r="AD1248" s="65"/>
      <c r="AE1248" s="131">
        <f t="shared" si="2529"/>
        <v>0</v>
      </c>
      <c r="AF1248" s="132">
        <f t="shared" si="2510"/>
        <v>0</v>
      </c>
      <c r="AG1248" s="133">
        <f t="shared" si="2530"/>
        <v>0</v>
      </c>
      <c r="AH1248" s="76">
        <f t="shared" si="2531"/>
        <v>88.12084123</v>
      </c>
      <c r="AI1248" s="132">
        <f> ( IF(ISNUMBER(G1248), VLOOKUP(G1248/$AH1248,F!$A1:$B101,2,1)*G1248*$H1248*$I1248,0)+IF(ISNUMBER(K1248), VLOOKUP(K1248/$AH1248,F!$A1:$B101,2,1)*K1248*$L1248*$M1248,0)+IF(ISNUMBER(O1248), VLOOKUP(O1248/$AH1248,F!$A1:$B101,2,1)*O1248*$P1248*$Q1248,0)+IF(ISNUMBER(S1248), VLOOKUP(S1248/$AH1248,F!$A1:$B101,2,1)*S1248*$T1248*$U1248,0)+IF(ISNUMBER(W1248), VLOOKUP(W1248/$AH1248,F!$A1:$B101,2,1)*W1248*$X1248*$Y1248,0)+IF(ISNUMBER(AA1248), VLOOKUP(AA1248/$AH1248,F!$A1:$B101,2,1)*AA1248*$AB1248*$AC1248,0))*IF(ISNUMBER(F1248),F1248,1)*IF(ISNUMBER(E1248),E1248,1)</f>
        <v>0</v>
      </c>
      <c r="AJ1248" s="34">
        <f t="shared" si="2532"/>
        <v>0</v>
      </c>
      <c r="AK1248" s="134">
        <f t="array" ref="AK1248">IFERROR(I1248*INDEX(F!$P$21:$AB$33, MATCH(G1248/$AH1248, F!$O$21:$O$33,1), MATCH(E1248, F!$P$20:$AB$20,1)), 0 ) +IFERROR( M1248*INDEX(F!$P$21:$AB$33, MATCH(K1248/$AH1248, F!$O$21:$O$33,1), MATCH(E1248, F!$P$20:$AB$20,1)),0) +  IFERROR( Q1248*INDEX(F!$P$21:$AB$33, MATCH(O1248/$AH1248, F!$O$21:$O$33,1), MATCH(E1248, F!$P$20:$AB$20,1)), 0) + IFERROR( U1248*INDEX(F!$P$21:$AB$33, MATCH(S1248/$AH1248, F!$O$21:$O$33,1), MATCH(E1248, F!$P$20:$AB$20,1)),0)  + IFERROR(Y1248*INDEX(F!$P$21:$AB$33, MATCH(W1248/$AH1248, F!$O$21:$O$33,1), MATCH(E1248, F!$P$20:$AB$20,1)),0)  + IFERROR( AC1248*INDEX(F!$P$21:$AB$33, MATCH(AA1248/$AH1248, F!$O$21:$O$33,1), MATCH(E1248, F!$P$20:$AB$20,1)),)</f>
        <v>0</v>
      </c>
      <c r="AL1248" s="59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</row>
    <row r="1249" ht="15.75" hidden="1" customHeight="1">
      <c r="A1249" s="59"/>
      <c r="B1249" s="135" t="str">
        <f t="shared" ref="B1249:F1249" si="2535">IF(B1193="","",B1193)</f>
        <v>Средняя</v>
      </c>
      <c r="C1249" s="136" t="str">
        <f t="shared" si="2535"/>
        <v>ЖМ</v>
      </c>
      <c r="D1249" s="137" t="str">
        <f t="shared" si="2535"/>
        <v>Жим средним хватом</v>
      </c>
      <c r="E1249" s="48">
        <f t="shared" si="2535"/>
        <v>1</v>
      </c>
      <c r="F1249" s="138" t="str">
        <f t="shared" si="2535"/>
        <v/>
      </c>
      <c r="G1249" s="139" t="str">
        <f t="shared" si="2523"/>
        <v/>
      </c>
      <c r="H1249" s="140"/>
      <c r="I1249" s="140"/>
      <c r="J1249" s="141"/>
      <c r="K1249" s="139" t="str">
        <f t="shared" si="2524"/>
        <v/>
      </c>
      <c r="L1249" s="140"/>
      <c r="M1249" s="140"/>
      <c r="N1249" s="141"/>
      <c r="O1249" s="139" t="str">
        <f t="shared" si="2525"/>
        <v/>
      </c>
      <c r="P1249" s="140"/>
      <c r="Q1249" s="140"/>
      <c r="R1249" s="141"/>
      <c r="S1249" s="139" t="str">
        <f t="shared" si="2526"/>
        <v/>
      </c>
      <c r="T1249" s="140"/>
      <c r="U1249" s="140"/>
      <c r="V1249" s="141"/>
      <c r="W1249" s="139" t="str">
        <f t="shared" si="2527"/>
        <v/>
      </c>
      <c r="X1249" s="140"/>
      <c r="Y1249" s="140"/>
      <c r="Z1249" s="141"/>
      <c r="AA1249" s="139" t="str">
        <f t="shared" si="2528"/>
        <v/>
      </c>
      <c r="AB1249" s="140"/>
      <c r="AC1249" s="140"/>
      <c r="AD1249" s="141"/>
      <c r="AE1249" s="142">
        <f t="shared" si="2529"/>
        <v>0</v>
      </c>
      <c r="AF1249" s="143">
        <f t="shared" si="2510"/>
        <v>0</v>
      </c>
      <c r="AG1249" s="144">
        <f t="shared" si="2530"/>
        <v>0</v>
      </c>
      <c r="AH1249" s="76">
        <f t="shared" si="2531"/>
        <v>124.8378584</v>
      </c>
      <c r="AI1249" s="143">
        <f> ( IF(ISNUMBER(G1249), VLOOKUP(G1249/$AH1249,F!$A1:$B101,2,1)*G1249*$H1249*$I1249,0)+IF(ISNUMBER(K1249), VLOOKUP(K1249/$AH1249,F!$A1:$B101,2,1)*K1249*$L1249*$M1249,0)+IF(ISNUMBER(O1249), VLOOKUP(O1249/$AH1249,F!$A1:$B101,2,1)*O1249*$P1249*$Q1249,0)+IF(ISNUMBER(S1249), VLOOKUP(S1249/$AH1249,F!$A1:$B101,2,1)*S1249*$T1249*$U1249,0)+IF(ISNUMBER(W1249), VLOOKUP(W1249/$AH1249,F!$A1:$B101,2,1)*W1249*$X1249*$Y1249,0)+IF(ISNUMBER(AA1249), VLOOKUP(AA1249/$AH1249,F!$A1:$B101,2,1)*AA1249*$AB1249*$AC1249,0))*IF(ISNUMBER(F1249),F1249,1)*IF(ISNUMBER(E1249),E1249,1)</f>
        <v>0</v>
      </c>
      <c r="AJ1249" s="140">
        <f t="shared" si="2532"/>
        <v>0</v>
      </c>
      <c r="AK1249" s="145">
        <f t="array" ref="AK1249">IFERROR(I1249*INDEX(F!$P$21:$AB$33, MATCH(G1249/$AH1249, F!$O$21:$O$33,1), MATCH(E1249, F!$P$20:$AB$20,1)), 0 ) +IFERROR( M1249*INDEX(F!$P$21:$AB$33, MATCH(K1249/$AH1249, F!$O$21:$O$33,1), MATCH(E1249, F!$P$20:$AB$20,1)),0) +  IFERROR( Q1249*INDEX(F!$P$21:$AB$33, MATCH(O1249/$AH1249, F!$O$21:$O$33,1), MATCH(E1249, F!$P$20:$AB$20,1)), 0) + IFERROR( U1249*INDEX(F!$P$21:$AB$33, MATCH(S1249/$AH1249, F!$O$21:$O$33,1), MATCH(E1249, F!$P$20:$AB$20,1)),0)  + IFERROR(Y1249*INDEX(F!$P$21:$AB$33, MATCH(W1249/$AH1249, F!$O$21:$O$33,1), MATCH(E1249, F!$P$20:$AB$20,1)),0)  + IFERROR( AC1249*INDEX(F!$P$21:$AB$33, MATCH(AA1249/$AH1249, F!$O$21:$O$33,1), MATCH(E1249, F!$P$20:$AB$20,1)),)</f>
        <v>0</v>
      </c>
      <c r="AL1249" s="59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</row>
    <row r="1250" ht="15.75" hidden="1" customHeight="1">
      <c r="A1250" s="59"/>
      <c r="B1250" s="126" t="str">
        <f t="shared" ref="B1250:F1250" si="2536">IF(B1194="","",B1194)</f>
        <v/>
      </c>
      <c r="C1250" s="127" t="str">
        <f t="shared" si="2536"/>
        <v/>
      </c>
      <c r="D1250" s="128" t="str">
        <f t="shared" si="2536"/>
        <v/>
      </c>
      <c r="E1250" s="48" t="str">
        <f t="shared" si="2536"/>
        <v/>
      </c>
      <c r="F1250" s="129" t="str">
        <f t="shared" si="2536"/>
        <v/>
      </c>
      <c r="G1250" s="130" t="str">
        <f t="shared" si="2523"/>
        <v/>
      </c>
      <c r="H1250" s="34"/>
      <c r="I1250" s="34"/>
      <c r="J1250" s="65"/>
      <c r="K1250" s="130" t="str">
        <f t="shared" si="2524"/>
        <v/>
      </c>
      <c r="L1250" s="34"/>
      <c r="M1250" s="34"/>
      <c r="N1250" s="65"/>
      <c r="O1250" s="130" t="str">
        <f t="shared" si="2525"/>
        <v/>
      </c>
      <c r="P1250" s="34"/>
      <c r="Q1250" s="34"/>
      <c r="R1250" s="65"/>
      <c r="S1250" s="130" t="str">
        <f t="shared" si="2526"/>
        <v/>
      </c>
      <c r="T1250" s="34"/>
      <c r="U1250" s="34"/>
      <c r="V1250" s="65"/>
      <c r="W1250" s="130" t="str">
        <f t="shared" si="2527"/>
        <v/>
      </c>
      <c r="X1250" s="34"/>
      <c r="Y1250" s="34"/>
      <c r="Z1250" s="65"/>
      <c r="AA1250" s="130" t="str">
        <f t="shared" si="2528"/>
        <v/>
      </c>
      <c r="AB1250" s="34"/>
      <c r="AC1250" s="34"/>
      <c r="AD1250" s="65"/>
      <c r="AE1250" s="131">
        <f t="shared" si="2529"/>
        <v>0</v>
      </c>
      <c r="AF1250" s="132">
        <f t="shared" si="2510"/>
        <v>0</v>
      </c>
      <c r="AG1250" s="133">
        <f t="shared" si="2530"/>
        <v>0</v>
      </c>
      <c r="AH1250" s="76" t="str">
        <f t="shared" si="2531"/>
        <v/>
      </c>
      <c r="AI1250" s="132">
        <f> ( IF(ISNUMBER(G1250), VLOOKUP(G1250/$AH1250,F!$A1:$B101,2,1)*G1250*$H1250*$I1250,0)+IF(ISNUMBER(K1250), VLOOKUP(K1250/$AH1250,F!$A1:$B101,2,1)*K1250*$L1250*$M1250,0)+IF(ISNUMBER(O1250), VLOOKUP(O1250/$AH1250,F!$A1:$B101,2,1)*O1250*$P1250*$Q1250,0)+IF(ISNUMBER(S1250), VLOOKUP(S1250/$AH1250,F!$A1:$B101,2,1)*S1250*$T1250*$U1250,0)+IF(ISNUMBER(W1250), VLOOKUP(W1250/$AH1250,F!$A1:$B101,2,1)*W1250*$X1250*$Y1250,0)+IF(ISNUMBER(AA1250), VLOOKUP(AA1250/$AH1250,F!$A1:$B101,2,1)*AA1250*$AB1250*$AC1250,0))*IF(ISNUMBER(F1250),F1250,1)*IF(ISNUMBER(E1250),E1250,1)</f>
        <v>0</v>
      </c>
      <c r="AJ1250" s="34">
        <f t="shared" si="2532"/>
        <v>0</v>
      </c>
      <c r="AK1250" s="134">
        <f t="array" ref="AK1250">IFERROR(I1250*INDEX(F!$P$21:$AB$33, MATCH(G1250/$AH1250, F!$O$21:$O$33,1), MATCH(E1250, F!$P$20:$AB$20,1)), 0 ) +IFERROR( M1250*INDEX(F!$P$21:$AB$33, MATCH(K1250/$AH1250, F!$O$21:$O$33,1), MATCH(E1250, F!$P$20:$AB$20,1)),0) +  IFERROR( Q1250*INDEX(F!$P$21:$AB$33, MATCH(O1250/$AH1250, F!$O$21:$O$33,1), MATCH(E1250, F!$P$20:$AB$20,1)), 0) + IFERROR( U1250*INDEX(F!$P$21:$AB$33, MATCH(S1250/$AH1250, F!$O$21:$O$33,1), MATCH(E1250, F!$P$20:$AB$20,1)),0)  + IFERROR(Y1250*INDEX(F!$P$21:$AB$33, MATCH(W1250/$AH1250, F!$O$21:$O$33,1), MATCH(E1250, F!$P$20:$AB$20,1)),0)  + IFERROR( AC1250*INDEX(F!$P$21:$AB$33, MATCH(AA1250/$AH1250, F!$O$21:$O$33,1), MATCH(E1250, F!$P$20:$AB$20,1)),)</f>
        <v>0</v>
      </c>
      <c r="AL1250" s="59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</row>
    <row r="1251" ht="15.75" hidden="1" customHeight="1">
      <c r="A1251" s="59"/>
      <c r="B1251" s="135" t="str">
        <f t="shared" ref="B1251:F1251" si="2537">IF(B1195="","",B1195)</f>
        <v/>
      </c>
      <c r="C1251" s="136" t="str">
        <f t="shared" si="2537"/>
        <v/>
      </c>
      <c r="D1251" s="137" t="str">
        <f t="shared" si="2537"/>
        <v/>
      </c>
      <c r="E1251" s="48" t="str">
        <f t="shared" si="2537"/>
        <v/>
      </c>
      <c r="F1251" s="138" t="str">
        <f t="shared" si="2537"/>
        <v/>
      </c>
      <c r="G1251" s="139" t="str">
        <f t="shared" si="2523"/>
        <v/>
      </c>
      <c r="H1251" s="140"/>
      <c r="I1251" s="140"/>
      <c r="J1251" s="141"/>
      <c r="K1251" s="139" t="str">
        <f t="shared" si="2524"/>
        <v/>
      </c>
      <c r="L1251" s="140"/>
      <c r="M1251" s="140"/>
      <c r="N1251" s="141"/>
      <c r="O1251" s="139" t="str">
        <f t="shared" si="2525"/>
        <v/>
      </c>
      <c r="P1251" s="140"/>
      <c r="Q1251" s="140"/>
      <c r="R1251" s="141"/>
      <c r="S1251" s="139" t="str">
        <f t="shared" si="2526"/>
        <v/>
      </c>
      <c r="T1251" s="140"/>
      <c r="U1251" s="140"/>
      <c r="V1251" s="141"/>
      <c r="W1251" s="139" t="str">
        <f t="shared" si="2527"/>
        <v/>
      </c>
      <c r="X1251" s="140"/>
      <c r="Y1251" s="140"/>
      <c r="Z1251" s="141"/>
      <c r="AA1251" s="139" t="str">
        <f t="shared" si="2528"/>
        <v/>
      </c>
      <c r="AB1251" s="140"/>
      <c r="AC1251" s="140"/>
      <c r="AD1251" s="141"/>
      <c r="AE1251" s="142">
        <f t="shared" si="2529"/>
        <v>0</v>
      </c>
      <c r="AF1251" s="143">
        <f t="shared" si="2510"/>
        <v>0</v>
      </c>
      <c r="AG1251" s="144">
        <f t="shared" si="2530"/>
        <v>0</v>
      </c>
      <c r="AH1251" s="76" t="str">
        <f t="shared" si="2531"/>
        <v/>
      </c>
      <c r="AI1251" s="143">
        <f> ( IF(ISNUMBER(G1251), VLOOKUP(G1251/$AH1251,F!$A1:$B101,2,1)*G1251*$H1251*$I1251,0)+IF(ISNUMBER(K1251), VLOOKUP(K1251/$AH1251,F!$A1:$B101,2,1)*K1251*$L1251*$M1251,0)+IF(ISNUMBER(O1251), VLOOKUP(O1251/$AH1251,F!$A1:$B101,2,1)*O1251*$P1251*$Q1251,0)+IF(ISNUMBER(S1251), VLOOKUP(S1251/$AH1251,F!$A1:$B101,2,1)*S1251*$T1251*$U1251,0)+IF(ISNUMBER(W1251), VLOOKUP(W1251/$AH1251,F!$A1:$B101,2,1)*W1251*$X1251*$Y1251,0)+IF(ISNUMBER(AA1251), VLOOKUP(AA1251/$AH1251,F!$A1:$B101,2,1)*AA1251*$AB1251*$AC1251,0))*IF(ISNUMBER(F1251),F1251,1)*IF(ISNUMBER(E1251),E1251,1)</f>
        <v>0</v>
      </c>
      <c r="AJ1251" s="140">
        <f t="shared" si="2532"/>
        <v>0</v>
      </c>
      <c r="AK1251" s="145">
        <f t="array" ref="AK1251">IFERROR(I1251*INDEX(F!$P$21:$AB$33, MATCH(G1251/$AH1251, F!$O$21:$O$33,1), MATCH(E1251, F!$P$20:$AB$20,1)), 0 ) +IFERROR( M1251*INDEX(F!$P$21:$AB$33, MATCH(K1251/$AH1251, F!$O$21:$O$33,1), MATCH(E1251, F!$P$20:$AB$20,1)),0) +  IFERROR( Q1251*INDEX(F!$P$21:$AB$33, MATCH(O1251/$AH1251, F!$O$21:$O$33,1), MATCH(E1251, F!$P$20:$AB$20,1)), 0) + IFERROR( U1251*INDEX(F!$P$21:$AB$33, MATCH(S1251/$AH1251, F!$O$21:$O$33,1), MATCH(E1251, F!$P$20:$AB$20,1)),0)  + IFERROR(Y1251*INDEX(F!$P$21:$AB$33, MATCH(W1251/$AH1251, F!$O$21:$O$33,1), MATCH(E1251, F!$P$20:$AB$20,1)),0)  + IFERROR( AC1251*INDEX(F!$P$21:$AB$33, MATCH(AA1251/$AH1251, F!$O$21:$O$33,1), MATCH(E1251, F!$P$20:$AB$20,1)),)</f>
        <v>0</v>
      </c>
      <c r="AL1251" s="59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</row>
    <row r="1252" ht="15.75" hidden="1" customHeight="1">
      <c r="A1252" s="59"/>
      <c r="B1252" s="126" t="str">
        <f t="shared" ref="B1252:F1252" si="2538">IF(B1196="","",B1196)</f>
        <v/>
      </c>
      <c r="C1252" s="127" t="str">
        <f t="shared" si="2538"/>
        <v/>
      </c>
      <c r="D1252" s="128" t="str">
        <f t="shared" si="2538"/>
        <v/>
      </c>
      <c r="E1252" s="48" t="str">
        <f t="shared" si="2538"/>
        <v/>
      </c>
      <c r="F1252" s="129" t="str">
        <f t="shared" si="2538"/>
        <v/>
      </c>
      <c r="G1252" s="130" t="str">
        <f t="shared" si="2523"/>
        <v/>
      </c>
      <c r="H1252" s="34"/>
      <c r="I1252" s="34"/>
      <c r="J1252" s="65"/>
      <c r="K1252" s="130" t="str">
        <f t="shared" si="2524"/>
        <v/>
      </c>
      <c r="L1252" s="34"/>
      <c r="M1252" s="34"/>
      <c r="N1252" s="65"/>
      <c r="O1252" s="130" t="str">
        <f t="shared" si="2525"/>
        <v/>
      </c>
      <c r="P1252" s="34"/>
      <c r="Q1252" s="34"/>
      <c r="R1252" s="65"/>
      <c r="S1252" s="130" t="str">
        <f t="shared" si="2526"/>
        <v/>
      </c>
      <c r="T1252" s="34"/>
      <c r="U1252" s="34"/>
      <c r="V1252" s="65"/>
      <c r="W1252" s="130" t="str">
        <f t="shared" si="2527"/>
        <v/>
      </c>
      <c r="X1252" s="34"/>
      <c r="Y1252" s="34"/>
      <c r="Z1252" s="65"/>
      <c r="AA1252" s="130" t="str">
        <f t="shared" si="2528"/>
        <v/>
      </c>
      <c r="AB1252" s="34"/>
      <c r="AC1252" s="34"/>
      <c r="AD1252" s="65"/>
      <c r="AE1252" s="131">
        <f t="shared" si="2529"/>
        <v>0</v>
      </c>
      <c r="AF1252" s="132">
        <f t="shared" si="2510"/>
        <v>0</v>
      </c>
      <c r="AG1252" s="133">
        <f t="shared" si="2530"/>
        <v>0</v>
      </c>
      <c r="AH1252" s="76" t="str">
        <f t="shared" si="2531"/>
        <v/>
      </c>
      <c r="AI1252" s="132">
        <f> ( IF(ISNUMBER(G1252), VLOOKUP(G1252/$AH1252,F!$A1:$B101,2,1)*G1252*$H1252*$I1252,0)+IF(ISNUMBER(K1252), VLOOKUP(K1252/$AH1252,F!$A1:$B101,2,1)*K1252*$L1252*$M1252,0)+IF(ISNUMBER(O1252), VLOOKUP(O1252/$AH1252,F!$A1:$B101,2,1)*O1252*$P1252*$Q1252,0)+IF(ISNUMBER(S1252), VLOOKUP(S1252/$AH1252,F!$A1:$B101,2,1)*S1252*$T1252*$U1252,0)+IF(ISNUMBER(W1252), VLOOKUP(W1252/$AH1252,F!$A1:$B101,2,1)*W1252*$X1252*$Y1252,0)+IF(ISNUMBER(AA1252), VLOOKUP(AA1252/$AH1252,F!$A1:$B101,2,1)*AA1252*$AB1252*$AC1252,0))*IF(ISNUMBER(F1252),F1252,1)*IF(ISNUMBER(E1252),E1252,1)</f>
        <v>0</v>
      </c>
      <c r="AJ1252" s="34">
        <f t="shared" si="2532"/>
        <v>0</v>
      </c>
      <c r="AK1252" s="134">
        <f t="array" ref="AK1252">IFERROR(I1252*INDEX(F!$P$21:$AB$33, MATCH(G1252/$AH1252, F!$O$21:$O$33,1), MATCH(E1252, F!$P$20:$AB$20,1)), 0 ) +IFERROR( M1252*INDEX(F!$P$21:$AB$33, MATCH(K1252/$AH1252, F!$O$21:$O$33,1), MATCH(E1252, F!$P$20:$AB$20,1)),0) +  IFERROR( Q1252*INDEX(F!$P$21:$AB$33, MATCH(O1252/$AH1252, F!$O$21:$O$33,1), MATCH(E1252, F!$P$20:$AB$20,1)), 0) + IFERROR( U1252*INDEX(F!$P$21:$AB$33, MATCH(S1252/$AH1252, F!$O$21:$O$33,1), MATCH(E1252, F!$P$20:$AB$20,1)),0)  + IFERROR(Y1252*INDEX(F!$P$21:$AB$33, MATCH(W1252/$AH1252, F!$O$21:$O$33,1), MATCH(E1252, F!$P$20:$AB$20,1)),0)  + IFERROR( AC1252*INDEX(F!$P$21:$AB$33, MATCH(AA1252/$AH1252, F!$O$21:$O$33,1), MATCH(E1252, F!$P$20:$AB$20,1)),)</f>
        <v>0</v>
      </c>
      <c r="AL1252" s="59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</row>
    <row r="1253" ht="15.75" hidden="1" customHeight="1">
      <c r="A1253" s="98"/>
      <c r="B1253" s="150"/>
      <c r="C1253" s="151"/>
      <c r="D1253" s="152"/>
      <c r="E1253" s="102">
        <f>ROUND(IFERROR(SUMPRODUCT(AJ1245:AJ1252,E1245:E1252)/AJ1253,0),3)</f>
        <v>0</v>
      </c>
      <c r="F1253" s="153"/>
      <c r="G1253" s="154"/>
      <c r="H1253" s="155"/>
      <c r="I1253" s="155"/>
      <c r="J1253" s="156"/>
      <c r="K1253" s="154"/>
      <c r="L1253" s="155"/>
      <c r="M1253" s="155"/>
      <c r="N1253" s="156"/>
      <c r="O1253" s="154"/>
      <c r="P1253" s="155"/>
      <c r="Q1253" s="155"/>
      <c r="R1253" s="156"/>
      <c r="S1253" s="154"/>
      <c r="T1253" s="155"/>
      <c r="U1253" s="155"/>
      <c r="V1253" s="156"/>
      <c r="W1253" s="154"/>
      <c r="X1253" s="155"/>
      <c r="Y1253" s="155"/>
      <c r="Z1253" s="156"/>
      <c r="AA1253" s="154"/>
      <c r="AB1253" s="155"/>
      <c r="AC1253" s="155"/>
      <c r="AD1253" s="156"/>
      <c r="AE1253" s="107">
        <f>SUM(AE1245:AE1252)</f>
        <v>0</v>
      </c>
      <c r="AF1253" s="108">
        <f t="shared" si="2510"/>
        <v>0</v>
      </c>
      <c r="AG1253" s="109">
        <f>IFERROR(  SUMPRODUCT(AG1245:AG1252,AJ1245:AJ1252)/AJ1253,0)</f>
        <v>0</v>
      </c>
      <c r="AH1253" s="157"/>
      <c r="AI1253" s="111">
        <f t="shared" ref="AI1253:AJ1253" si="2539">SUM(AI1245:AI1252)</f>
        <v>0</v>
      </c>
      <c r="AJ1253" s="111">
        <f t="shared" si="2539"/>
        <v>0</v>
      </c>
      <c r="AK1253" s="112">
        <f>IF(SUM(AK1245:AK1252)=0,TIME(,0,),TIME(,SUM(AK1245:AK1252)+F!$V$37,))</f>
        <v>0</v>
      </c>
      <c r="AL1253" s="98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</row>
    <row r="1254" ht="15.75" hidden="1" customHeight="1">
      <c r="A1254" s="158">
        <f>A1255</f>
        <v>43938</v>
      </c>
      <c r="B1254" s="159" t="str">
        <f t="shared" ref="B1254:F1254" si="2540">IF(B1198="","",B1198)</f>
        <v>Тяжелая</v>
      </c>
      <c r="C1254" s="160" t="str">
        <f t="shared" si="2540"/>
        <v>ПР</v>
      </c>
      <c r="D1254" s="161" t="str">
        <f t="shared" si="2540"/>
        <v>Присед</v>
      </c>
      <c r="E1254" s="29">
        <f t="shared" si="2540"/>
        <v>1.2</v>
      </c>
      <c r="F1254" s="162" t="str">
        <f t="shared" si="2540"/>
        <v/>
      </c>
      <c r="G1254" s="163" t="str">
        <f t="shared" ref="G1254:G1261" si="2542">IF(J1254&lt;&gt;0, IFERROR(IF( $F1254=2,  MROUND($AH1254*J1254,1),    IF( OR($F1254="",$F1254=1),   MROUND($AH1254*J1254,2.5),  MROUND($AH1254*J1254, 0.1))), "" ), "")</f>
        <v/>
      </c>
      <c r="H1254" s="164"/>
      <c r="I1254" s="164"/>
      <c r="J1254" s="165"/>
      <c r="K1254" s="163" t="str">
        <f t="shared" ref="K1254:K1261" si="2543">IF(N1254&lt;&gt;0, IFERROR(IF( $F1254=2,  MROUND($AH1254*N1254,1),    IF( OR($F1254="",$F1254=1),   MROUND($AH1254*N1254,2.5),  MROUND($AH1254*N1254, 0.1))), "" ), "")</f>
        <v/>
      </c>
      <c r="L1254" s="164"/>
      <c r="M1254" s="164"/>
      <c r="N1254" s="165"/>
      <c r="O1254" s="163" t="str">
        <f t="shared" ref="O1254:O1261" si="2544">IF(R1254&lt;&gt;0, IFERROR(IF( $F1254=2,  MROUND($AH1254*R1254,1),    IF( OR($F1254="",$F1254=1),   MROUND($AH1254*R1254,2.5),  MROUND($AH1254*R1254, 0.1))), "" ), "")</f>
        <v/>
      </c>
      <c r="P1254" s="164"/>
      <c r="Q1254" s="164"/>
      <c r="R1254" s="165"/>
      <c r="S1254" s="163" t="str">
        <f t="shared" ref="S1254:S1261" si="2545">IF(V1254&lt;&gt;0, IFERROR(IF( $F1254=2,  MROUND($AH1254*V1254,1),    IF( OR($F1254="",$F1254=1),   MROUND($AH1254*V1254,2.5),  MROUND($AH1254*V1254, 0.1))), "" ), "")</f>
        <v/>
      </c>
      <c r="T1254" s="164"/>
      <c r="U1254" s="164"/>
      <c r="V1254" s="165"/>
      <c r="W1254" s="163" t="str">
        <f t="shared" ref="W1254:W1261" si="2546">IF(Z1254&lt;&gt;0, IFERROR(IF( $F1254=2,  MROUND($AH1254*Z1254,1),    IF( OR($F1254="",$F1254=1),   MROUND($AH1254*Z1254,2.5),  MROUND($AH1254*Z1254, 0.1))), "" ), "")</f>
        <v/>
      </c>
      <c r="X1254" s="164"/>
      <c r="Y1254" s="164"/>
      <c r="Z1254" s="165"/>
      <c r="AA1254" s="163" t="str">
        <f t="shared" ref="AA1254:AA1261" si="2547">IF(AD1254&lt;&gt;0, IFERROR(IF( $F1254=2,  MROUND($AH1254*AD1254,1),    IF( OR($F1254="",$F1254=1),   MROUND($AH1254*AD1254,2.5),  MROUND($AH1254*AD1254, 0.1))), "" ), "")</f>
        <v/>
      </c>
      <c r="AB1254" s="164"/>
      <c r="AC1254" s="164"/>
      <c r="AD1254" s="165"/>
      <c r="AE1254" s="166">
        <f t="shared" ref="AE1254:AE1261" si="2548">(IF(ISNUMBER(G1254),G1254,0)*H1254*I1254+IF(ISNUMBER(K1254),K1254,1)*L1254*M1254+IF(ISNUMBER(O1254),O1254,1)*P1254*Q1254+IF(ISNUMBER(S1254),S1254,1)*T1254*U1254+IF(ISNUMBER(W1254),W1254,1)*X1254*Y1254+IF(ISNUMBER(AA1254),AA1254,1)*AB1254*AC1254)*IF(ISNUMBER(F1254),F1254,1)</f>
        <v>0</v>
      </c>
      <c r="AF1254" s="167">
        <f t="shared" si="2510"/>
        <v>0</v>
      </c>
      <c r="AG1254" s="168">
        <f t="shared" ref="AG1254:AG1261" si="2549">IFERROR((AF1254/(AH1254*IF(ISNUMBER(F1254),F1254,1))),0)</f>
        <v>0</v>
      </c>
      <c r="AH1254" s="169">
        <f t="shared" ref="AH1254:AH1261" si="2550">IF(ISNUMBER(AH1198), AH1198+(AH1198*$AH$1234),"")</f>
        <v>208.7072556</v>
      </c>
      <c r="AI1254" s="167">
        <f> ( IF(ISNUMBER(G1254), VLOOKUP(G1254/$AH1254,F!$A1:$B101,2,1)*G1254*$H1254*$I1254,0)+IF(ISNUMBER(K1254), VLOOKUP(K1254/$AH1254,F!$A1:$B101,2,1)*K1254*$L1254*$M1254,0)+IF(ISNUMBER(O1254), VLOOKUP(O1254/$AH1254,F!$A1:$B101,2,1)*O1254*$P1254*$Q1254,0)+IF(ISNUMBER(S1254), VLOOKUP(S1254/$AH1254,F!$A1:$B101,2,1)*S1254*$T1254*$U1254,0)+IF(ISNUMBER(W1254), VLOOKUP(W1254/$AH1254,F!$A1:$B101,2,1)*W1254*$X1254*$Y1254,0)+IF(ISNUMBER(AA1254), VLOOKUP(AA1254/$AH1254,F!$A1:$B101,2,1)*AA1254*$AB1254*$AC1254,0))*IF(ISNUMBER(F1254),F1254,1)*IF(ISNUMBER(E1254),E1254,1)</f>
        <v>0</v>
      </c>
      <c r="AJ1254" s="164">
        <f t="shared" ref="AJ1254:AJ1261" si="2551">H1254*I1254+L1254*M1254+P1254*Q1254+T1254*U1254+X1254*Y1254+AB1254*AC1254</f>
        <v>0</v>
      </c>
      <c r="AK1254" s="170">
        <f t="array" ref="AK1254">IFERROR(I1254*INDEX(F!$P$21:$AB$33, MATCH(G1254/$AH1254, F!$O$21:$O$33,1), MATCH(E1254, F!$P$20:$AB$20,1)), 0 ) +IFERROR( M1254*INDEX(F!$P$21:$AB$33, MATCH(K1254/$AH1254, F!$O$21:$O$33,1), MATCH(E1254, F!$P$20:$AB$20,1)),0) +  IFERROR( Q1254*INDEX(F!$P$21:$AB$33, MATCH(O1254/$AH1254, F!$O$21:$O$33,1), MATCH(E1254, F!$P$20:$AB$20,1)), 0) + IFERROR( U1254*INDEX(F!$P$21:$AB$33, MATCH(S1254/$AH1254, F!$O$21:$O$33,1), MATCH(E1254, F!$P$20:$AB$20,1)),0)  + IFERROR(Y1254*INDEX(F!$P$21:$AB$33, MATCH(W1254/$AH1254, F!$O$21:$O$33,1), MATCH(E1254, F!$P$20:$AB$20,1)),0)  + IFERROR( AC1254*INDEX(F!$P$21:$AB$33, MATCH(AA1254/$AH1254, F!$O$21:$O$33,1), MATCH(E1254, F!$P$20:$AB$20,1)),)</f>
        <v>0</v>
      </c>
      <c r="AL1254" s="42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</row>
    <row r="1255" ht="15.75" hidden="1" customHeight="1">
      <c r="A1255" s="44">
        <f>A1199+A1178</f>
        <v>43938</v>
      </c>
      <c r="B1255" s="135" t="str">
        <f t="shared" ref="B1255:F1255" si="2541">IF(B1199="","",B1199)</f>
        <v>Тяжелая</v>
      </c>
      <c r="C1255" s="136" t="str">
        <f t="shared" si="2541"/>
        <v>ЖМ</v>
      </c>
      <c r="D1255" s="137" t="str">
        <f t="shared" si="2541"/>
        <v>Жим лежа</v>
      </c>
      <c r="E1255" s="48">
        <f t="shared" si="2541"/>
        <v>1</v>
      </c>
      <c r="F1255" s="138" t="str">
        <f t="shared" si="2541"/>
        <v/>
      </c>
      <c r="G1255" s="139" t="str">
        <f t="shared" si="2542"/>
        <v/>
      </c>
      <c r="H1255" s="140"/>
      <c r="I1255" s="140"/>
      <c r="J1255" s="141"/>
      <c r="K1255" s="139" t="str">
        <f t="shared" si="2543"/>
        <v/>
      </c>
      <c r="L1255" s="140"/>
      <c r="M1255" s="140"/>
      <c r="N1255" s="141"/>
      <c r="O1255" s="139" t="str">
        <f t="shared" si="2544"/>
        <v/>
      </c>
      <c r="P1255" s="140"/>
      <c r="Q1255" s="140"/>
      <c r="R1255" s="141"/>
      <c r="S1255" s="139" t="str">
        <f t="shared" si="2545"/>
        <v/>
      </c>
      <c r="T1255" s="140"/>
      <c r="U1255" s="140"/>
      <c r="V1255" s="141"/>
      <c r="W1255" s="139" t="str">
        <f t="shared" si="2546"/>
        <v/>
      </c>
      <c r="X1255" s="140"/>
      <c r="Y1255" s="140"/>
      <c r="Z1255" s="141"/>
      <c r="AA1255" s="139" t="str">
        <f t="shared" si="2547"/>
        <v/>
      </c>
      <c r="AB1255" s="140"/>
      <c r="AC1255" s="140"/>
      <c r="AD1255" s="141"/>
      <c r="AE1255" s="142">
        <f t="shared" si="2548"/>
        <v>0</v>
      </c>
      <c r="AF1255" s="143">
        <f t="shared" si="2510"/>
        <v>0</v>
      </c>
      <c r="AG1255" s="144">
        <f t="shared" si="2549"/>
        <v>0</v>
      </c>
      <c r="AH1255" s="76">
        <f t="shared" si="2550"/>
        <v>146.8680687</v>
      </c>
      <c r="AI1255" s="143">
        <f> ( IF(ISNUMBER(G1255), VLOOKUP(G1255/$AH1255,F!$A1:$B101,2,1)*G1255*$H1255*$I1255,0)+IF(ISNUMBER(K1255), VLOOKUP(K1255/$AH1255,F!$A1:$B101,2,1)*K1255*$L1255*$M1255,0)+IF(ISNUMBER(O1255), VLOOKUP(O1255/$AH1255,F!$A1:$B101,2,1)*O1255*$P1255*$Q1255,0)+IF(ISNUMBER(S1255), VLOOKUP(S1255/$AH1255,F!$A1:$B101,2,1)*S1255*$T1255*$U1255,0)+IF(ISNUMBER(W1255), VLOOKUP(W1255/$AH1255,F!$A1:$B101,2,1)*W1255*$X1255*$Y1255,0)+IF(ISNUMBER(AA1255), VLOOKUP(AA1255/$AH1255,F!$A1:$B101,2,1)*AA1255*$AB1255*$AC1255,0))*IF(ISNUMBER(F1255),F1255,1)*IF(ISNUMBER(E1255),E1255,1)</f>
        <v>0</v>
      </c>
      <c r="AJ1255" s="140">
        <f t="shared" si="2551"/>
        <v>0</v>
      </c>
      <c r="AK1255" s="145">
        <f t="array" ref="AK1255">IFERROR(I1255*INDEX(F!$P$21:$AB$33, MATCH(G1255/$AH1255, F!$O$21:$O$33,1), MATCH(E1255, F!$P$20:$AB$20,1)), 0 ) +IFERROR( M1255*INDEX(F!$P$21:$AB$33, MATCH(K1255/$AH1255, F!$O$21:$O$33,1), MATCH(E1255, F!$P$20:$AB$20,1)),0) +  IFERROR( Q1255*INDEX(F!$P$21:$AB$33, MATCH(O1255/$AH1255, F!$O$21:$O$33,1), MATCH(E1255, F!$P$20:$AB$20,1)), 0) + IFERROR( U1255*INDEX(F!$P$21:$AB$33, MATCH(S1255/$AH1255, F!$O$21:$O$33,1), MATCH(E1255, F!$P$20:$AB$20,1)),0)  + IFERROR(Y1255*INDEX(F!$P$21:$AB$33, MATCH(W1255/$AH1255, F!$O$21:$O$33,1), MATCH(E1255, F!$P$20:$AB$20,1)),0)  + IFERROR( AC1255*INDEX(F!$P$21:$AB$33, MATCH(AA1255/$AH1255, F!$O$21:$O$33,1), MATCH(E1255, F!$P$20:$AB$20,1)),)</f>
        <v>0</v>
      </c>
      <c r="AL1255" s="59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</row>
    <row r="1256" ht="15.75" hidden="1" customHeight="1">
      <c r="A1256" s="59"/>
      <c r="B1256" s="173" t="str">
        <f t="shared" ref="B1256:F1256" si="2552">IF(B1200="","",B1200)</f>
        <v>Средняя</v>
      </c>
      <c r="C1256" s="174" t="str">
        <f t="shared" si="2552"/>
        <v>ПР</v>
      </c>
      <c r="D1256" s="175" t="str">
        <f t="shared" si="2552"/>
        <v>Присед</v>
      </c>
      <c r="E1256" s="48">
        <f t="shared" si="2552"/>
        <v>1.2</v>
      </c>
      <c r="F1256" s="176" t="str">
        <f t="shared" si="2552"/>
        <v/>
      </c>
      <c r="G1256" s="177" t="str">
        <f t="shared" si="2542"/>
        <v/>
      </c>
      <c r="H1256" s="178"/>
      <c r="I1256" s="178"/>
      <c r="J1256" s="179"/>
      <c r="K1256" s="177" t="str">
        <f t="shared" si="2543"/>
        <v/>
      </c>
      <c r="L1256" s="178"/>
      <c r="M1256" s="178"/>
      <c r="N1256" s="179"/>
      <c r="O1256" s="177" t="str">
        <f t="shared" si="2544"/>
        <v/>
      </c>
      <c r="P1256" s="178"/>
      <c r="Q1256" s="178"/>
      <c r="R1256" s="179"/>
      <c r="S1256" s="177" t="str">
        <f t="shared" si="2545"/>
        <v/>
      </c>
      <c r="T1256" s="178"/>
      <c r="U1256" s="178"/>
      <c r="V1256" s="179"/>
      <c r="W1256" s="177" t="str">
        <f t="shared" si="2546"/>
        <v/>
      </c>
      <c r="X1256" s="178"/>
      <c r="Y1256" s="178"/>
      <c r="Z1256" s="179"/>
      <c r="AA1256" s="177" t="str">
        <f t="shared" si="2547"/>
        <v/>
      </c>
      <c r="AB1256" s="178"/>
      <c r="AC1256" s="178"/>
      <c r="AD1256" s="179"/>
      <c r="AE1256" s="180">
        <f t="shared" si="2548"/>
        <v>0</v>
      </c>
      <c r="AF1256" s="181">
        <f t="shared" si="2510"/>
        <v>0</v>
      </c>
      <c r="AG1256" s="182">
        <f t="shared" si="2549"/>
        <v>0</v>
      </c>
      <c r="AH1256" s="76">
        <f t="shared" si="2550"/>
        <v>208.7072556</v>
      </c>
      <c r="AI1256" s="181">
        <f> ( IF(ISNUMBER(G1256), VLOOKUP(G1256/$AH1256,F!$A1:$B101,2,1)*G1256*$H1256*$I1256,0)+IF(ISNUMBER(K1256), VLOOKUP(K1256/$AH1256,F!$A1:$B101,2,1)*K1256*$L1256*$M1256,0)+IF(ISNUMBER(O1256), VLOOKUP(O1256/$AH1256,F!$A1:$B101,2,1)*O1256*$P1256*$Q1256,0)+IF(ISNUMBER(S1256), VLOOKUP(S1256/$AH1256,F!$A1:$B101,2,1)*S1256*$T1256*$U1256,0)+IF(ISNUMBER(W1256), VLOOKUP(W1256/$AH1256,F!$A1:$B101,2,1)*W1256*$X1256*$Y1256,0)+IF(ISNUMBER(AA1256), VLOOKUP(AA1256/$AH1256,F!$A1:$B101,2,1)*AA1256*$AB1256*$AC1256,0))*IF(ISNUMBER(F1256),F1256,1)*IF(ISNUMBER(E1256),E1256,1)</f>
        <v>0</v>
      </c>
      <c r="AJ1256" s="178">
        <f t="shared" si="2551"/>
        <v>0</v>
      </c>
      <c r="AK1256" s="183">
        <f t="array" ref="AK1256">IFERROR(I1256*INDEX(F!$P$21:$AB$33, MATCH(G1256/$AH1256, F!$O$21:$O$33,1), MATCH(E1256, F!$P$20:$AB$20,1)), 0 ) +IFERROR( M1256*INDEX(F!$P$21:$AB$33, MATCH(K1256/$AH1256, F!$O$21:$O$33,1), MATCH(E1256, F!$P$20:$AB$20,1)),0) +  IFERROR( Q1256*INDEX(F!$P$21:$AB$33, MATCH(O1256/$AH1256, F!$O$21:$O$33,1), MATCH(E1256, F!$P$20:$AB$20,1)), 0) + IFERROR( U1256*INDEX(F!$P$21:$AB$33, MATCH(S1256/$AH1256, F!$O$21:$O$33,1), MATCH(E1256, F!$P$20:$AB$20,1)),0)  + IFERROR(Y1256*INDEX(F!$P$21:$AB$33, MATCH(W1256/$AH1256, F!$O$21:$O$33,1), MATCH(E1256, F!$P$20:$AB$20,1)),0)  + IFERROR( AC1256*INDEX(F!$P$21:$AB$33, MATCH(AA1256/$AH1256, F!$O$21:$O$33,1), MATCH(E1256, F!$P$20:$AB$20,1)),)</f>
        <v>0</v>
      </c>
      <c r="AL1256" s="59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</row>
    <row r="1257" ht="15.75" hidden="1" customHeight="1">
      <c r="A1257" s="59"/>
      <c r="B1257" s="135" t="str">
        <f t="shared" ref="B1257:F1257" si="2553">IF(B1201="","",B1201)</f>
        <v>Средняя</v>
      </c>
      <c r="C1257" s="136" t="str">
        <f t="shared" si="2553"/>
        <v>ЖМ</v>
      </c>
      <c r="D1257" s="137" t="str">
        <f t="shared" si="2553"/>
        <v>Жим на наклонной скамье</v>
      </c>
      <c r="E1257" s="48">
        <f t="shared" si="2553"/>
        <v>1</v>
      </c>
      <c r="F1257" s="138" t="str">
        <f t="shared" si="2553"/>
        <v/>
      </c>
      <c r="G1257" s="139" t="str">
        <f t="shared" si="2542"/>
        <v/>
      </c>
      <c r="H1257" s="140"/>
      <c r="I1257" s="140"/>
      <c r="J1257" s="141"/>
      <c r="K1257" s="139" t="str">
        <f t="shared" si="2543"/>
        <v/>
      </c>
      <c r="L1257" s="140"/>
      <c r="M1257" s="140"/>
      <c r="N1257" s="141"/>
      <c r="O1257" s="139" t="str">
        <f t="shared" si="2544"/>
        <v/>
      </c>
      <c r="P1257" s="140"/>
      <c r="Q1257" s="140"/>
      <c r="R1257" s="141"/>
      <c r="S1257" s="139" t="str">
        <f t="shared" si="2545"/>
        <v/>
      </c>
      <c r="T1257" s="140"/>
      <c r="U1257" s="140"/>
      <c r="V1257" s="141"/>
      <c r="W1257" s="139" t="str">
        <f t="shared" si="2546"/>
        <v/>
      </c>
      <c r="X1257" s="140"/>
      <c r="Y1257" s="140"/>
      <c r="Z1257" s="141"/>
      <c r="AA1257" s="139" t="str">
        <f t="shared" si="2547"/>
        <v/>
      </c>
      <c r="AB1257" s="140"/>
      <c r="AC1257" s="140"/>
      <c r="AD1257" s="141"/>
      <c r="AE1257" s="142">
        <f t="shared" si="2548"/>
        <v>0</v>
      </c>
      <c r="AF1257" s="143">
        <f t="shared" si="2510"/>
        <v>0</v>
      </c>
      <c r="AG1257" s="144">
        <f t="shared" si="2549"/>
        <v>0</v>
      </c>
      <c r="AH1257" s="76">
        <f t="shared" si="2550"/>
        <v>117.494455</v>
      </c>
      <c r="AI1257" s="143">
        <f> ( IF(ISNUMBER(G1257), VLOOKUP(G1257/$AH1257,F!$A1:$B101,2,1)*G1257*$H1257*$I1257,0)+IF(ISNUMBER(K1257), VLOOKUP(K1257/$AH1257,F!$A1:$B101,2,1)*K1257*$L1257*$M1257,0)+IF(ISNUMBER(O1257), VLOOKUP(O1257/$AH1257,F!$A1:$B101,2,1)*O1257*$P1257*$Q1257,0)+IF(ISNUMBER(S1257), VLOOKUP(S1257/$AH1257,F!$A1:$B101,2,1)*S1257*$T1257*$U1257,0)+IF(ISNUMBER(W1257), VLOOKUP(W1257/$AH1257,F!$A1:$B101,2,1)*W1257*$X1257*$Y1257,0)+IF(ISNUMBER(AA1257), VLOOKUP(AA1257/$AH1257,F!$A1:$B101,2,1)*AA1257*$AB1257*$AC1257,0))*IF(ISNUMBER(F1257),F1257,1)*IF(ISNUMBER(E1257),E1257,1)</f>
        <v>0</v>
      </c>
      <c r="AJ1257" s="140">
        <f t="shared" si="2551"/>
        <v>0</v>
      </c>
      <c r="AK1257" s="145">
        <f t="array" ref="AK1257">IFERROR(I1257*INDEX(F!$P$21:$AB$33, MATCH(G1257/$AH1257, F!$O$21:$O$33,1), MATCH(E1257, F!$P$20:$AB$20,1)), 0 ) +IFERROR( M1257*INDEX(F!$P$21:$AB$33, MATCH(K1257/$AH1257, F!$O$21:$O$33,1), MATCH(E1257, F!$P$20:$AB$20,1)),0) +  IFERROR( Q1257*INDEX(F!$P$21:$AB$33, MATCH(O1257/$AH1257, F!$O$21:$O$33,1), MATCH(E1257, F!$P$20:$AB$20,1)), 0) + IFERROR( U1257*INDEX(F!$P$21:$AB$33, MATCH(S1257/$AH1257, F!$O$21:$O$33,1), MATCH(E1257, F!$P$20:$AB$20,1)),0)  + IFERROR(Y1257*INDEX(F!$P$21:$AB$33, MATCH(W1257/$AH1257, F!$O$21:$O$33,1), MATCH(E1257, F!$P$20:$AB$20,1)),0)  + IFERROR( AC1257*INDEX(F!$P$21:$AB$33, MATCH(AA1257/$AH1257, F!$O$21:$O$33,1), MATCH(E1257, F!$P$20:$AB$20,1)),)</f>
        <v>0</v>
      </c>
      <c r="AL1257" s="59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</row>
    <row r="1258" ht="15.75" hidden="1" customHeight="1">
      <c r="A1258" s="59"/>
      <c r="B1258" s="173" t="str">
        <f t="shared" ref="B1258:F1258" si="2554">IF(B1202="","",B1202)</f>
        <v>Средняя</v>
      </c>
      <c r="C1258" s="174" t="str">
        <f t="shared" si="2554"/>
        <v>ОФП</v>
      </c>
      <c r="D1258" s="175" t="str">
        <f t="shared" si="2554"/>
        <v>Бицепс стоя</v>
      </c>
      <c r="E1258" s="48">
        <f t="shared" si="2554"/>
        <v>0.5</v>
      </c>
      <c r="F1258" s="176" t="str">
        <f t="shared" si="2554"/>
        <v/>
      </c>
      <c r="G1258" s="177" t="str">
        <f t="shared" si="2542"/>
        <v/>
      </c>
      <c r="H1258" s="178"/>
      <c r="I1258" s="178"/>
      <c r="J1258" s="179"/>
      <c r="K1258" s="177" t="str">
        <f t="shared" si="2543"/>
        <v/>
      </c>
      <c r="L1258" s="178"/>
      <c r="M1258" s="178"/>
      <c r="N1258" s="179"/>
      <c r="O1258" s="177" t="str">
        <f t="shared" si="2544"/>
        <v/>
      </c>
      <c r="P1258" s="178"/>
      <c r="Q1258" s="178"/>
      <c r="R1258" s="179"/>
      <c r="S1258" s="177" t="str">
        <f t="shared" si="2545"/>
        <v/>
      </c>
      <c r="T1258" s="178"/>
      <c r="U1258" s="178"/>
      <c r="V1258" s="179"/>
      <c r="W1258" s="177" t="str">
        <f t="shared" si="2546"/>
        <v/>
      </c>
      <c r="X1258" s="178"/>
      <c r="Y1258" s="178"/>
      <c r="Z1258" s="179"/>
      <c r="AA1258" s="177" t="str">
        <f t="shared" si="2547"/>
        <v/>
      </c>
      <c r="AB1258" s="178"/>
      <c r="AC1258" s="178"/>
      <c r="AD1258" s="179"/>
      <c r="AE1258" s="180">
        <f t="shared" si="2548"/>
        <v>0</v>
      </c>
      <c r="AF1258" s="181">
        <f t="shared" si="2510"/>
        <v>0</v>
      </c>
      <c r="AG1258" s="182">
        <f t="shared" si="2549"/>
        <v>0</v>
      </c>
      <c r="AH1258" s="76" t="str">
        <f t="shared" si="2550"/>
        <v/>
      </c>
      <c r="AI1258" s="181">
        <f> ( IF(ISNUMBER(G1258), VLOOKUP(G1258/$AH1258,F!$A1:$B101,2,1)*G1258*$H1258*$I1258,0)+IF(ISNUMBER(K1258), VLOOKUP(K1258/$AH1258,F!$A1:$B101,2,1)*K1258*$L1258*$M1258,0)+IF(ISNUMBER(O1258), VLOOKUP(O1258/$AH1258,F!$A1:$B101,2,1)*O1258*$P1258*$Q1258,0)+IF(ISNUMBER(S1258), VLOOKUP(S1258/$AH1258,F!$A1:$B101,2,1)*S1258*$T1258*$U1258,0)+IF(ISNUMBER(W1258), VLOOKUP(W1258/$AH1258,F!$A1:$B101,2,1)*W1258*$X1258*$Y1258,0)+IF(ISNUMBER(AA1258), VLOOKUP(AA1258/$AH1258,F!$A1:$B101,2,1)*AA1258*$AB1258*$AC1258,0))*IF(ISNUMBER(F1258),F1258,1)*IF(ISNUMBER(E1258),E1258,1)</f>
        <v>0</v>
      </c>
      <c r="AJ1258" s="178">
        <f t="shared" si="2551"/>
        <v>0</v>
      </c>
      <c r="AK1258" s="183">
        <f t="array" ref="AK1258">IFERROR(I1258*INDEX(F!$P$21:$AB$33, MATCH(G1258/$AH1258, F!$O$21:$O$33,1), MATCH(E1258, F!$P$20:$AB$20,1)), 0 ) +IFERROR( M1258*INDEX(F!$P$21:$AB$33, MATCH(K1258/$AH1258, F!$O$21:$O$33,1), MATCH(E1258, F!$P$20:$AB$20,1)),0) +  IFERROR( Q1258*INDEX(F!$P$21:$AB$33, MATCH(O1258/$AH1258, F!$O$21:$O$33,1), MATCH(E1258, F!$P$20:$AB$20,1)), 0) + IFERROR( U1258*INDEX(F!$P$21:$AB$33, MATCH(S1258/$AH1258, F!$O$21:$O$33,1), MATCH(E1258, F!$P$20:$AB$20,1)),0)  + IFERROR(Y1258*INDEX(F!$P$21:$AB$33, MATCH(W1258/$AH1258, F!$O$21:$O$33,1), MATCH(E1258, F!$P$20:$AB$20,1)),0)  + IFERROR( AC1258*INDEX(F!$P$21:$AB$33, MATCH(AA1258/$AH1258, F!$O$21:$O$33,1), MATCH(E1258, F!$P$20:$AB$20,1)),)</f>
        <v>0</v>
      </c>
      <c r="AL1258" s="59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</row>
    <row r="1259" ht="15.75" hidden="1" customHeight="1">
      <c r="A1259" s="59"/>
      <c r="B1259" s="135" t="str">
        <f t="shared" ref="B1259:F1259" si="2555">IF(B1203="","",B1203)</f>
        <v/>
      </c>
      <c r="C1259" s="136" t="str">
        <f t="shared" si="2555"/>
        <v/>
      </c>
      <c r="D1259" s="137" t="str">
        <f t="shared" si="2555"/>
        <v/>
      </c>
      <c r="E1259" s="48" t="str">
        <f t="shared" si="2555"/>
        <v/>
      </c>
      <c r="F1259" s="138" t="str">
        <f t="shared" si="2555"/>
        <v/>
      </c>
      <c r="G1259" s="139" t="str">
        <f t="shared" si="2542"/>
        <v/>
      </c>
      <c r="H1259" s="140"/>
      <c r="I1259" s="140"/>
      <c r="J1259" s="141"/>
      <c r="K1259" s="139" t="str">
        <f t="shared" si="2543"/>
        <v/>
      </c>
      <c r="L1259" s="140"/>
      <c r="M1259" s="140"/>
      <c r="N1259" s="141"/>
      <c r="O1259" s="139" t="str">
        <f t="shared" si="2544"/>
        <v/>
      </c>
      <c r="P1259" s="140"/>
      <c r="Q1259" s="140"/>
      <c r="R1259" s="141"/>
      <c r="S1259" s="139" t="str">
        <f t="shared" si="2545"/>
        <v/>
      </c>
      <c r="T1259" s="140"/>
      <c r="U1259" s="140"/>
      <c r="V1259" s="141"/>
      <c r="W1259" s="139" t="str">
        <f t="shared" si="2546"/>
        <v/>
      </c>
      <c r="X1259" s="140"/>
      <c r="Y1259" s="140"/>
      <c r="Z1259" s="141"/>
      <c r="AA1259" s="139" t="str">
        <f t="shared" si="2547"/>
        <v/>
      </c>
      <c r="AB1259" s="140"/>
      <c r="AC1259" s="140"/>
      <c r="AD1259" s="141"/>
      <c r="AE1259" s="142">
        <f t="shared" si="2548"/>
        <v>0</v>
      </c>
      <c r="AF1259" s="143">
        <f t="shared" si="2510"/>
        <v>0</v>
      </c>
      <c r="AG1259" s="144">
        <f t="shared" si="2549"/>
        <v>0</v>
      </c>
      <c r="AH1259" s="76" t="str">
        <f t="shared" si="2550"/>
        <v/>
      </c>
      <c r="AI1259" s="143">
        <f> ( IF(ISNUMBER(G1259), VLOOKUP(G1259/$AH1259,F!$A1:$B101,2,1)*G1259*$H1259*$I1259,0)+IF(ISNUMBER(K1259), VLOOKUP(K1259/$AH1259,F!$A1:$B101,2,1)*K1259*$L1259*$M1259,0)+IF(ISNUMBER(O1259), VLOOKUP(O1259/$AH1259,F!$A1:$B101,2,1)*O1259*$P1259*$Q1259,0)+IF(ISNUMBER(S1259), VLOOKUP(S1259/$AH1259,F!$A1:$B101,2,1)*S1259*$T1259*$U1259,0)+IF(ISNUMBER(W1259), VLOOKUP(W1259/$AH1259,F!$A1:$B101,2,1)*W1259*$X1259*$Y1259,0)+IF(ISNUMBER(AA1259), VLOOKUP(AA1259/$AH1259,F!$A1:$B101,2,1)*AA1259*$AB1259*$AC1259,0))*IF(ISNUMBER(F1259),F1259,1)*IF(ISNUMBER(E1259),E1259,1)</f>
        <v>0</v>
      </c>
      <c r="AJ1259" s="140">
        <f t="shared" si="2551"/>
        <v>0</v>
      </c>
      <c r="AK1259" s="145">
        <f t="array" ref="AK1259">IFERROR(I1259*INDEX(F!$P$21:$AB$33, MATCH(G1259/$AH1259, F!$O$21:$O$33,1), MATCH(E1259, F!$P$20:$AB$20,1)), 0 ) +IFERROR( M1259*INDEX(F!$P$21:$AB$33, MATCH(K1259/$AH1259, F!$O$21:$O$33,1), MATCH(E1259, F!$P$20:$AB$20,1)),0) +  IFERROR( Q1259*INDEX(F!$P$21:$AB$33, MATCH(O1259/$AH1259, F!$O$21:$O$33,1), MATCH(E1259, F!$P$20:$AB$20,1)), 0) + IFERROR( U1259*INDEX(F!$P$21:$AB$33, MATCH(S1259/$AH1259, F!$O$21:$O$33,1), MATCH(E1259, F!$P$20:$AB$20,1)),0)  + IFERROR(Y1259*INDEX(F!$P$21:$AB$33, MATCH(W1259/$AH1259, F!$O$21:$O$33,1), MATCH(E1259, F!$P$20:$AB$20,1)),0)  + IFERROR( AC1259*INDEX(F!$P$21:$AB$33, MATCH(AA1259/$AH1259, F!$O$21:$O$33,1), MATCH(E1259, F!$P$20:$AB$20,1)),)</f>
        <v>0</v>
      </c>
      <c r="AL1259" s="59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</row>
    <row r="1260" ht="15.75" hidden="1" customHeight="1">
      <c r="A1260" s="59"/>
      <c r="B1260" s="173" t="str">
        <f t="shared" ref="B1260:F1260" si="2556">IF(B1204="","",B1204)</f>
        <v/>
      </c>
      <c r="C1260" s="174" t="str">
        <f t="shared" si="2556"/>
        <v/>
      </c>
      <c r="D1260" s="175" t="str">
        <f t="shared" si="2556"/>
        <v/>
      </c>
      <c r="E1260" s="48" t="str">
        <f t="shared" si="2556"/>
        <v/>
      </c>
      <c r="F1260" s="176" t="str">
        <f t="shared" si="2556"/>
        <v/>
      </c>
      <c r="G1260" s="177" t="str">
        <f t="shared" si="2542"/>
        <v/>
      </c>
      <c r="H1260" s="178"/>
      <c r="I1260" s="178"/>
      <c r="J1260" s="179"/>
      <c r="K1260" s="177" t="str">
        <f t="shared" si="2543"/>
        <v/>
      </c>
      <c r="L1260" s="178"/>
      <c r="M1260" s="178"/>
      <c r="N1260" s="179"/>
      <c r="O1260" s="177" t="str">
        <f t="shared" si="2544"/>
        <v/>
      </c>
      <c r="P1260" s="178"/>
      <c r="Q1260" s="178"/>
      <c r="R1260" s="179"/>
      <c r="S1260" s="177" t="str">
        <f t="shared" si="2545"/>
        <v/>
      </c>
      <c r="T1260" s="178"/>
      <c r="U1260" s="178"/>
      <c r="V1260" s="179"/>
      <c r="W1260" s="177" t="str">
        <f t="shared" si="2546"/>
        <v/>
      </c>
      <c r="X1260" s="178"/>
      <c r="Y1260" s="178"/>
      <c r="Z1260" s="179"/>
      <c r="AA1260" s="177" t="str">
        <f t="shared" si="2547"/>
        <v/>
      </c>
      <c r="AB1260" s="178"/>
      <c r="AC1260" s="178"/>
      <c r="AD1260" s="179"/>
      <c r="AE1260" s="180">
        <f t="shared" si="2548"/>
        <v>0</v>
      </c>
      <c r="AF1260" s="181">
        <f t="shared" si="2510"/>
        <v>0</v>
      </c>
      <c r="AG1260" s="182">
        <f t="shared" si="2549"/>
        <v>0</v>
      </c>
      <c r="AH1260" s="76" t="str">
        <f t="shared" si="2550"/>
        <v/>
      </c>
      <c r="AI1260" s="181">
        <f> ( IF(ISNUMBER(G1260), VLOOKUP(G1260/$AH1260,F!$A1:$B101,2,1)*G1260*$H1260*$I1260,0)+IF(ISNUMBER(K1260), VLOOKUP(K1260/$AH1260,F!$A1:$B101,2,1)*K1260*$L1260*$M1260,0)+IF(ISNUMBER(O1260), VLOOKUP(O1260/$AH1260,F!$A1:$B101,2,1)*O1260*$P1260*$Q1260,0)+IF(ISNUMBER(S1260), VLOOKUP(S1260/$AH1260,F!$A1:$B101,2,1)*S1260*$T1260*$U1260,0)+IF(ISNUMBER(W1260), VLOOKUP(W1260/$AH1260,F!$A1:$B101,2,1)*W1260*$X1260*$Y1260,0)+IF(ISNUMBER(AA1260), VLOOKUP(AA1260/$AH1260,F!$A1:$B101,2,1)*AA1260*$AB1260*$AC1260,0))*IF(ISNUMBER(F1260),F1260,1)*IF(ISNUMBER(E1260),E1260,1)</f>
        <v>0</v>
      </c>
      <c r="AJ1260" s="178">
        <f t="shared" si="2551"/>
        <v>0</v>
      </c>
      <c r="AK1260" s="183">
        <f t="array" ref="AK1260">IFERROR(I1260*INDEX(F!$P$21:$AB$33, MATCH(G1260/$AH1260, F!$O$21:$O$33,1), MATCH(E1260, F!$P$20:$AB$20,1)), 0 ) +IFERROR( M1260*INDEX(F!$P$21:$AB$33, MATCH(K1260/$AH1260, F!$O$21:$O$33,1), MATCH(E1260, F!$P$20:$AB$20,1)),0) +  IFERROR( Q1260*INDEX(F!$P$21:$AB$33, MATCH(O1260/$AH1260, F!$O$21:$O$33,1), MATCH(E1260, F!$P$20:$AB$20,1)), 0) + IFERROR( U1260*INDEX(F!$P$21:$AB$33, MATCH(S1260/$AH1260, F!$O$21:$O$33,1), MATCH(E1260, F!$P$20:$AB$20,1)),0)  + IFERROR(Y1260*INDEX(F!$P$21:$AB$33, MATCH(W1260/$AH1260, F!$O$21:$O$33,1), MATCH(E1260, F!$P$20:$AB$20,1)),0)  + IFERROR( AC1260*INDEX(F!$P$21:$AB$33, MATCH(AA1260/$AH1260, F!$O$21:$O$33,1), MATCH(E1260, F!$P$20:$AB$20,1)),)</f>
        <v>0</v>
      </c>
      <c r="AL1260" s="59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</row>
    <row r="1261" ht="15.75" hidden="1" customHeight="1">
      <c r="A1261" s="59"/>
      <c r="B1261" s="135" t="str">
        <f t="shared" ref="B1261:F1261" si="2557">IF(B1205="","",B1205)</f>
        <v/>
      </c>
      <c r="C1261" s="136" t="str">
        <f t="shared" si="2557"/>
        <v/>
      </c>
      <c r="D1261" s="137" t="str">
        <f t="shared" si="2557"/>
        <v/>
      </c>
      <c r="E1261" s="48" t="str">
        <f t="shared" si="2557"/>
        <v/>
      </c>
      <c r="F1261" s="138" t="str">
        <f t="shared" si="2557"/>
        <v/>
      </c>
      <c r="G1261" s="139" t="str">
        <f t="shared" si="2542"/>
        <v/>
      </c>
      <c r="H1261" s="140"/>
      <c r="I1261" s="140"/>
      <c r="J1261" s="141"/>
      <c r="K1261" s="139" t="str">
        <f t="shared" si="2543"/>
        <v/>
      </c>
      <c r="L1261" s="140"/>
      <c r="M1261" s="140"/>
      <c r="N1261" s="141"/>
      <c r="O1261" s="139" t="str">
        <f t="shared" si="2544"/>
        <v/>
      </c>
      <c r="P1261" s="140"/>
      <c r="Q1261" s="140"/>
      <c r="R1261" s="141"/>
      <c r="S1261" s="139" t="str">
        <f t="shared" si="2545"/>
        <v/>
      </c>
      <c r="T1261" s="140"/>
      <c r="U1261" s="140"/>
      <c r="V1261" s="141"/>
      <c r="W1261" s="139" t="str">
        <f t="shared" si="2546"/>
        <v/>
      </c>
      <c r="X1261" s="140"/>
      <c r="Y1261" s="140"/>
      <c r="Z1261" s="141"/>
      <c r="AA1261" s="139" t="str">
        <f t="shared" si="2547"/>
        <v/>
      </c>
      <c r="AB1261" s="140"/>
      <c r="AC1261" s="140"/>
      <c r="AD1261" s="141"/>
      <c r="AE1261" s="142">
        <f t="shared" si="2548"/>
        <v>0</v>
      </c>
      <c r="AF1261" s="143">
        <f t="shared" si="2510"/>
        <v>0</v>
      </c>
      <c r="AG1261" s="144">
        <f t="shared" si="2549"/>
        <v>0</v>
      </c>
      <c r="AH1261" s="76" t="str">
        <f t="shared" si="2550"/>
        <v/>
      </c>
      <c r="AI1261" s="143">
        <f> ( IF(ISNUMBER(G1261), VLOOKUP(G1261/$AH1261,F!$A1:$B101,2,1)*G1261*$H1261*$I1261,0)+IF(ISNUMBER(K1261), VLOOKUP(K1261/$AH1261,F!$A1:$B101,2,1)*K1261*$L1261*$M1261,0)+IF(ISNUMBER(O1261), VLOOKUP(O1261/$AH1261,F!$A1:$B101,2,1)*O1261*$P1261*$Q1261,0)+IF(ISNUMBER(S1261), VLOOKUP(S1261/$AH1261,F!$A1:$B101,2,1)*S1261*$T1261*$U1261,0)+IF(ISNUMBER(W1261), VLOOKUP(W1261/$AH1261,F!$A1:$B101,2,1)*W1261*$X1261*$Y1261,0)+IF(ISNUMBER(AA1261), VLOOKUP(AA1261/$AH1261,F!$A1:$B101,2,1)*AA1261*$AB1261*$AC1261,0))*IF(ISNUMBER(F1261),F1261,1)*IF(ISNUMBER(E1261),E1261,1)</f>
        <v>0</v>
      </c>
      <c r="AJ1261" s="140">
        <f t="shared" si="2551"/>
        <v>0</v>
      </c>
      <c r="AK1261" s="145">
        <f t="array" ref="AK1261">IFERROR(I1261*INDEX(F!$P$21:$AB$33, MATCH(G1261/$AH1261, F!$O$21:$O$33,1), MATCH(E1261, F!$P$20:$AB$20,1)), 0 ) +IFERROR( M1261*INDEX(F!$P$21:$AB$33, MATCH(K1261/$AH1261, F!$O$21:$O$33,1), MATCH(E1261, F!$P$20:$AB$20,1)),0) +  IFERROR( Q1261*INDEX(F!$P$21:$AB$33, MATCH(O1261/$AH1261, F!$O$21:$O$33,1), MATCH(E1261, F!$P$20:$AB$20,1)), 0) + IFERROR( U1261*INDEX(F!$P$21:$AB$33, MATCH(S1261/$AH1261, F!$O$21:$O$33,1), MATCH(E1261, F!$P$20:$AB$20,1)),0)  + IFERROR(Y1261*INDEX(F!$P$21:$AB$33, MATCH(W1261/$AH1261, F!$O$21:$O$33,1), MATCH(E1261, F!$P$20:$AB$20,1)),0)  + IFERROR( AC1261*INDEX(F!$P$21:$AB$33, MATCH(AA1261/$AH1261, F!$O$21:$O$33,1), MATCH(E1261, F!$P$20:$AB$20,1)),)</f>
        <v>0</v>
      </c>
      <c r="AL1261" s="59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</row>
    <row r="1262" ht="15.75" hidden="1" customHeight="1">
      <c r="A1262" s="98"/>
      <c r="B1262" s="188"/>
      <c r="C1262" s="189"/>
      <c r="D1262" s="190"/>
      <c r="E1262" s="102">
        <f>ROUND(IFERROR(SUMPRODUCT(AJ1254:AJ1261,E1254:E1261)/AJ1262,0),3)</f>
        <v>0</v>
      </c>
      <c r="F1262" s="191"/>
      <c r="G1262" s="192"/>
      <c r="H1262" s="193"/>
      <c r="I1262" s="193"/>
      <c r="J1262" s="194"/>
      <c r="K1262" s="192"/>
      <c r="L1262" s="193"/>
      <c r="M1262" s="193"/>
      <c r="N1262" s="194"/>
      <c r="O1262" s="192"/>
      <c r="P1262" s="193"/>
      <c r="Q1262" s="193"/>
      <c r="R1262" s="194"/>
      <c r="S1262" s="192"/>
      <c r="T1262" s="193"/>
      <c r="U1262" s="193"/>
      <c r="V1262" s="194"/>
      <c r="W1262" s="192"/>
      <c r="X1262" s="193"/>
      <c r="Y1262" s="193"/>
      <c r="Z1262" s="194"/>
      <c r="AA1262" s="192"/>
      <c r="AB1262" s="193"/>
      <c r="AC1262" s="193"/>
      <c r="AD1262" s="194"/>
      <c r="AE1262" s="107">
        <f>SUM(AE1254:AE1261)</f>
        <v>0</v>
      </c>
      <c r="AF1262" s="108">
        <f t="shared" si="2510"/>
        <v>0</v>
      </c>
      <c r="AG1262" s="109">
        <f>IFERROR(  SUMPRODUCT(AG1254:AG1261,AJ1254:AJ1261)/AJ1262,0)</f>
        <v>0</v>
      </c>
      <c r="AH1262" s="157"/>
      <c r="AI1262" s="111">
        <f t="shared" ref="AI1262:AJ1262" si="2558">SUM(AI1254:AI1261)</f>
        <v>0</v>
      </c>
      <c r="AJ1262" s="111">
        <f t="shared" si="2558"/>
        <v>0</v>
      </c>
      <c r="AK1262" s="112">
        <f>IF(SUM(AK1254:AK1261)=0,TIME(,0,),TIME(,SUM(AK1254:AK1261)+F!$V$37,))</f>
        <v>0</v>
      </c>
      <c r="AL1262" s="98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</row>
    <row r="1263" ht="15.75" hidden="1" customHeight="1">
      <c r="A1263" s="25">
        <f>A1264</f>
        <v>43939</v>
      </c>
      <c r="B1263" s="26" t="str">
        <f t="shared" ref="B1263:F1263" si="2559">IF(B1207="","",B1207)</f>
        <v/>
      </c>
      <c r="C1263" s="27" t="str">
        <f t="shared" si="2559"/>
        <v/>
      </c>
      <c r="D1263" s="28" t="str">
        <f t="shared" si="2559"/>
        <v/>
      </c>
      <c r="E1263" s="29" t="str">
        <f t="shared" si="2559"/>
        <v/>
      </c>
      <c r="F1263" s="30" t="str">
        <f t="shared" si="2559"/>
        <v/>
      </c>
      <c r="G1263" s="31" t="str">
        <f t="shared" ref="G1263:G1270" si="2561">IF(J1263&lt;&gt;0, IFERROR(IF( $F1263=2,  MROUND($AH1263*J1263,1),    IF( OR($F1263="",$F1263=1),   MROUND($AH1263*J1263,2.5),  MROUND($AH1263*J1263, 0.1))), "" ), "")</f>
        <v/>
      </c>
      <c r="H1263" s="32"/>
      <c r="I1263" s="32"/>
      <c r="J1263" s="33"/>
      <c r="K1263" s="31" t="str">
        <f t="shared" ref="K1263:K1270" si="2562">IF(N1263&lt;&gt;0, IFERROR(IF( $F1263=2,  MROUND($AH1263*N1263,1),    IF( OR($F1263="",$F1263=1),   MROUND($AH1263*N1263,2.5),  MROUND($AH1263*N1263, 0.1))), "" ), "")</f>
        <v/>
      </c>
      <c r="L1263" s="32"/>
      <c r="M1263" s="32"/>
      <c r="N1263" s="33"/>
      <c r="O1263" s="31" t="str">
        <f t="shared" ref="O1263:O1270" si="2563">IF(R1263&lt;&gt;0, IFERROR(IF( $F1263=2,  MROUND($AH1263*R1263,1),    IF( OR($F1263="",$F1263=1),   MROUND($AH1263*R1263,2.5),  MROUND($AH1263*R1263, 0.1))), "" ), "")</f>
        <v/>
      </c>
      <c r="P1263" s="32"/>
      <c r="Q1263" s="32"/>
      <c r="R1263" s="33"/>
      <c r="S1263" s="31" t="str">
        <f t="shared" ref="S1263:S1270" si="2564">IF(V1263&lt;&gt;0, IFERROR(IF( $F1263=2,  MROUND($AH1263*V1263,1),    IF( OR($F1263="",$F1263=1),   MROUND($AH1263*V1263,2.5),  MROUND($AH1263*V1263, 0.1))), "" ), "")</f>
        <v/>
      </c>
      <c r="T1263" s="32"/>
      <c r="U1263" s="32"/>
      <c r="V1263" s="33"/>
      <c r="W1263" s="31" t="str">
        <f t="shared" ref="W1263:W1270" si="2565">IF(Z1263&lt;&gt;0, IFERROR(IF( $F1263=2,  MROUND($AH1263*Z1263,1),    IF( OR($F1263="",$F1263=1),   MROUND($AH1263*Z1263,2.5),  MROUND($AH1263*Z1263, 0.1))), "" ), "")</f>
        <v/>
      </c>
      <c r="X1263" s="32"/>
      <c r="Y1263" s="32"/>
      <c r="Z1263" s="33"/>
      <c r="AA1263" s="31" t="str">
        <f t="shared" ref="AA1263:AA1270" si="2566">IF(AD1263&lt;&gt;0, IFERROR(IF( $F1263=2,  MROUND($AH1263*AD1263,1),    IF( OR($F1263="",$F1263=1),   MROUND($AH1263*AD1263,2.5),  MROUND($AH1263*AD1263, 0.1))), "" ), "")</f>
        <v/>
      </c>
      <c r="AB1263" s="32"/>
      <c r="AC1263" s="32"/>
      <c r="AD1263" s="33"/>
      <c r="AE1263" s="35">
        <f t="shared" ref="AE1263:AE1270" si="2567">(IF(ISNUMBER(G1263),G1263,0)*H1263*I1263+IF(ISNUMBER(K1263),K1263,1)*L1263*M1263+IF(ISNUMBER(O1263),O1263,1)*P1263*Q1263+IF(ISNUMBER(S1263),S1263,1)*T1263*U1263+IF(ISNUMBER(W1263),W1263,1)*X1263*Y1263+IF(ISNUMBER(AA1263),AA1263,1)*AB1263*AC1263)*IF(ISNUMBER(F1263),F1263,1)</f>
        <v>0</v>
      </c>
      <c r="AF1263" s="36">
        <f t="shared" si="2510"/>
        <v>0</v>
      </c>
      <c r="AG1263" s="195">
        <f t="shared" ref="AG1263:AG1270" si="2568">IFERROR((AF1263/(AH1263*IF(ISNUMBER(F1263),F1263,1))),0)</f>
        <v>0</v>
      </c>
      <c r="AH1263" s="169" t="str">
        <f t="shared" ref="AH1263:AH1270" si="2569">IF(ISNUMBER(AH1207), AH1207+(AH1207*$AH$1234),"")</f>
        <v/>
      </c>
      <c r="AI1263" s="196">
        <f> ( IF(ISNUMBER(G1263), VLOOKUP(G1263/$AH1263,F!$A1:$B101,2,1)*G1263*$H1263*$I1263,0)+IF(ISNUMBER(K1263), VLOOKUP(K1263/$AH1263,F!$A1:$B101,2,1)*K1263*$L1263*$M1263,0)+IF(ISNUMBER(O1263), VLOOKUP(O1263/$AH1263,F!$A1:$B101,2,1)*O1263*$P1263*$Q1263,0)+IF(ISNUMBER(S1263), VLOOKUP(S1263/$AH1263,F!$A1:$B101,2,1)*S1263*$T1263*$U1263,0)+IF(ISNUMBER(W1263), VLOOKUP(W1263/$AH1263,F!$A1:$B101,2,1)*W1263*$X1263*$Y1263,0)+IF(ISNUMBER(AA1263), VLOOKUP(AA1263/$AH1263,F!$A1:$B101,2,1)*AA1263*$AB1263*$AC1263,0))*IF(ISNUMBER(F1263),F1263,1)*IF(ISNUMBER(E1263),E1263,1)</f>
        <v>0</v>
      </c>
      <c r="AJ1263" s="40">
        <f t="shared" ref="AJ1263:AJ1270" si="2570">H1263*I1263+L1263*M1263+P1263*Q1263+T1263*U1263+X1263*Y1263+AB1263*AC1263</f>
        <v>0</v>
      </c>
      <c r="AK1263" s="41">
        <f t="array" ref="AK1263">IFERROR(I1263*INDEX(F!$P$21:$AB$33, MATCH(G1263/$AH1263, F!$O$21:$O$33,1), MATCH(E1263, F!$P$20:$AB$20,1)), 0 ) +IFERROR( M1263*INDEX(F!$P$21:$AB$33, MATCH(K1263/$AH1263, F!$O$21:$O$33,1), MATCH(E1263, F!$P$20:$AB$20,1)),0) +  IFERROR( Q1263*INDEX(F!$P$21:$AB$33, MATCH(O1263/$AH1263, F!$O$21:$O$33,1), MATCH(E1263, F!$P$20:$AB$20,1)), 0) + IFERROR( U1263*INDEX(F!$P$21:$AB$33, MATCH(S1263/$AH1263, F!$O$21:$O$33,1), MATCH(E1263, F!$P$20:$AB$20,1)),0)  + IFERROR(Y1263*INDEX(F!$P$21:$AB$33, MATCH(W1263/$AH1263, F!$O$21:$O$33,1), MATCH(E1263, F!$P$20:$AB$20,1)),0)  + IFERROR( AC1263*INDEX(F!$P$21:$AB$33, MATCH(AA1263/$AH1263, F!$O$21:$O$33,1), MATCH(E1263, F!$P$20:$AB$20,1)),)</f>
        <v>0</v>
      </c>
      <c r="AL1263" s="42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</row>
    <row r="1264" ht="15.75" hidden="1" customHeight="1">
      <c r="A1264" s="44">
        <f>A1208+A1178</f>
        <v>43939</v>
      </c>
      <c r="B1264" s="45" t="str">
        <f t="shared" ref="B1264:F1264" si="2560">IF(B1208="","",B1208)</f>
        <v/>
      </c>
      <c r="C1264" s="46" t="str">
        <f t="shared" si="2560"/>
        <v/>
      </c>
      <c r="D1264" s="47" t="str">
        <f t="shared" si="2560"/>
        <v/>
      </c>
      <c r="E1264" s="48" t="str">
        <f t="shared" si="2560"/>
        <v/>
      </c>
      <c r="F1264" s="49" t="str">
        <f t="shared" si="2560"/>
        <v/>
      </c>
      <c r="G1264" s="50" t="str">
        <f t="shared" si="2561"/>
        <v/>
      </c>
      <c r="H1264" s="51"/>
      <c r="I1264" s="51"/>
      <c r="J1264" s="52"/>
      <c r="K1264" s="50" t="str">
        <f t="shared" si="2562"/>
        <v/>
      </c>
      <c r="L1264" s="51"/>
      <c r="M1264" s="51"/>
      <c r="N1264" s="52"/>
      <c r="O1264" s="50" t="str">
        <f t="shared" si="2563"/>
        <v/>
      </c>
      <c r="P1264" s="51"/>
      <c r="Q1264" s="51"/>
      <c r="R1264" s="52"/>
      <c r="S1264" s="50" t="str">
        <f t="shared" si="2564"/>
        <v/>
      </c>
      <c r="T1264" s="51"/>
      <c r="U1264" s="51"/>
      <c r="V1264" s="52"/>
      <c r="W1264" s="50" t="str">
        <f t="shared" si="2565"/>
        <v/>
      </c>
      <c r="X1264" s="51"/>
      <c r="Y1264" s="51"/>
      <c r="Z1264" s="52"/>
      <c r="AA1264" s="50" t="str">
        <f t="shared" si="2566"/>
        <v/>
      </c>
      <c r="AB1264" s="51"/>
      <c r="AC1264" s="51"/>
      <c r="AD1264" s="52"/>
      <c r="AE1264" s="53">
        <f t="shared" si="2567"/>
        <v>0</v>
      </c>
      <c r="AF1264" s="54">
        <f t="shared" si="2510"/>
        <v>0</v>
      </c>
      <c r="AG1264" s="75">
        <f t="shared" si="2568"/>
        <v>0</v>
      </c>
      <c r="AH1264" s="76" t="str">
        <f t="shared" si="2569"/>
        <v/>
      </c>
      <c r="AI1264" s="77">
        <f> ( IF(ISNUMBER(G1264), VLOOKUP(G1264/$AH1264,F!$A1:$B101,2,1)*G1264*$H1264*$I1264,0)+IF(ISNUMBER(K1264), VLOOKUP(K1264/$AH1264,F!$A1:$B101,2,1)*K1264*$L1264*$M1264,0)+IF(ISNUMBER(O1264), VLOOKUP(O1264/$AH1264,F!$A1:$B101,2,1)*O1264*$P1264*$Q1264,0)+IF(ISNUMBER(S1264), VLOOKUP(S1264/$AH1264,F!$A1:$B101,2,1)*S1264*$T1264*$U1264,0)+IF(ISNUMBER(W1264), VLOOKUP(W1264/$AH1264,F!$A1:$B101,2,1)*W1264*$X1264*$Y1264,0)+IF(ISNUMBER(AA1264), VLOOKUP(AA1264/$AH1264,F!$A1:$B101,2,1)*AA1264*$AB1264*$AC1264,0))*IF(ISNUMBER(F1264),F1264,1)*IF(ISNUMBER(E1264),E1264,1)</f>
        <v>0</v>
      </c>
      <c r="AJ1264" s="57">
        <f t="shared" si="2570"/>
        <v>0</v>
      </c>
      <c r="AK1264" s="58">
        <f t="array" ref="AK1264">IFERROR(I1264*INDEX(F!$P$21:$AB$33, MATCH(G1264/$AH1264, F!$O$21:$O$33,1), MATCH(E1264, F!$P$20:$AB$20,1)), 0 ) +IFERROR( M1264*INDEX(F!$P$21:$AB$33, MATCH(K1264/$AH1264, F!$O$21:$O$33,1), MATCH(E1264, F!$P$20:$AB$20,1)),0) +  IFERROR( Q1264*INDEX(F!$P$21:$AB$33, MATCH(O1264/$AH1264, F!$O$21:$O$33,1), MATCH(E1264, F!$P$20:$AB$20,1)), 0) + IFERROR( U1264*INDEX(F!$P$21:$AB$33, MATCH(S1264/$AH1264, F!$O$21:$O$33,1), MATCH(E1264, F!$P$20:$AB$20,1)),0)  + IFERROR(Y1264*INDEX(F!$P$21:$AB$33, MATCH(W1264/$AH1264, F!$O$21:$O$33,1), MATCH(E1264, F!$P$20:$AB$20,1)),0)  + IFERROR( AC1264*INDEX(F!$P$21:$AB$33, MATCH(AA1264/$AH1264, F!$O$21:$O$33,1), MATCH(E1264, F!$P$20:$AB$20,1)),)</f>
        <v>0</v>
      </c>
      <c r="AL1264" s="59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</row>
    <row r="1265" ht="15.75" hidden="1" customHeight="1">
      <c r="A1265" s="59"/>
      <c r="B1265" s="60" t="str">
        <f t="shared" ref="B1265:F1265" si="2571">IF(B1209="","",B1209)</f>
        <v/>
      </c>
      <c r="C1265" s="61" t="str">
        <f t="shared" si="2571"/>
        <v/>
      </c>
      <c r="D1265" s="62" t="str">
        <f t="shared" si="2571"/>
        <v/>
      </c>
      <c r="E1265" s="48" t="str">
        <f t="shared" si="2571"/>
        <v/>
      </c>
      <c r="F1265" s="63" t="str">
        <f t="shared" si="2571"/>
        <v/>
      </c>
      <c r="G1265" s="64" t="str">
        <f t="shared" si="2561"/>
        <v/>
      </c>
      <c r="H1265" s="34"/>
      <c r="I1265" s="34"/>
      <c r="J1265" s="65"/>
      <c r="K1265" s="64" t="str">
        <f t="shared" si="2562"/>
        <v/>
      </c>
      <c r="L1265" s="34"/>
      <c r="M1265" s="34"/>
      <c r="N1265" s="65"/>
      <c r="O1265" s="64" t="str">
        <f t="shared" si="2563"/>
        <v/>
      </c>
      <c r="P1265" s="34"/>
      <c r="Q1265" s="34"/>
      <c r="R1265" s="65"/>
      <c r="S1265" s="64" t="str">
        <f t="shared" si="2564"/>
        <v/>
      </c>
      <c r="T1265" s="34"/>
      <c r="U1265" s="34"/>
      <c r="V1265" s="65"/>
      <c r="W1265" s="64" t="str">
        <f t="shared" si="2565"/>
        <v/>
      </c>
      <c r="X1265" s="34"/>
      <c r="Y1265" s="34"/>
      <c r="Z1265" s="65"/>
      <c r="AA1265" s="64" t="str">
        <f t="shared" si="2566"/>
        <v/>
      </c>
      <c r="AB1265" s="34"/>
      <c r="AC1265" s="34"/>
      <c r="AD1265" s="65"/>
      <c r="AE1265" s="66">
        <f t="shared" si="2567"/>
        <v>0</v>
      </c>
      <c r="AF1265" s="67">
        <f t="shared" si="2510"/>
        <v>0</v>
      </c>
      <c r="AG1265" s="68">
        <f t="shared" si="2568"/>
        <v>0</v>
      </c>
      <c r="AH1265" s="76" t="str">
        <f t="shared" si="2569"/>
        <v/>
      </c>
      <c r="AI1265" s="70">
        <f> ( IF(ISNUMBER(G1265), VLOOKUP(G1265/$AH1265,F!$A1:$B101,2,1)*G1265*$H1265*$I1265,0)+IF(ISNUMBER(K1265), VLOOKUP(K1265/$AH1265,F!$A1:$B101,2,1)*K1265*$L1265*$M1265,0)+IF(ISNUMBER(O1265), VLOOKUP(O1265/$AH1265,F!$A1:$B101,2,1)*O1265*$P1265*$Q1265,0)+IF(ISNUMBER(S1265), VLOOKUP(S1265/$AH1265,F!$A1:$B101,2,1)*S1265*$T1265*$U1265,0)+IF(ISNUMBER(W1265), VLOOKUP(W1265/$AH1265,F!$A1:$B101,2,1)*W1265*$X1265*$Y1265,0)+IF(ISNUMBER(AA1265), VLOOKUP(AA1265/$AH1265,F!$A1:$B101,2,1)*AA1265*$AB1265*$AC1265,0))*IF(ISNUMBER(F1265),F1265,1)*IF(ISNUMBER(E1265),E1265,1)</f>
        <v>0</v>
      </c>
      <c r="AJ1265" s="71">
        <f t="shared" si="2570"/>
        <v>0</v>
      </c>
      <c r="AK1265" s="72">
        <f t="array" ref="AK1265">IFERROR(I1265*INDEX(F!$P$21:$AB$33, MATCH(G1265/$AH1265, F!$O$21:$O$33,1), MATCH(E1265, F!$P$20:$AB$20,1)), 0 ) +IFERROR( M1265*INDEX(F!$P$21:$AB$33, MATCH(K1265/$AH1265, F!$O$21:$O$33,1), MATCH(E1265, F!$P$20:$AB$20,1)),0) +  IFERROR( Q1265*INDEX(F!$P$21:$AB$33, MATCH(O1265/$AH1265, F!$O$21:$O$33,1), MATCH(E1265, F!$P$20:$AB$20,1)), 0) + IFERROR( U1265*INDEX(F!$P$21:$AB$33, MATCH(S1265/$AH1265, F!$O$21:$O$33,1), MATCH(E1265, F!$P$20:$AB$20,1)),0)  + IFERROR(Y1265*INDEX(F!$P$21:$AB$33, MATCH(W1265/$AH1265, F!$O$21:$O$33,1), MATCH(E1265, F!$P$20:$AB$20,1)),0)  + IFERROR( AC1265*INDEX(F!$P$21:$AB$33, MATCH(AA1265/$AH1265, F!$O$21:$O$33,1), MATCH(E1265, F!$P$20:$AB$20,1)),)</f>
        <v>0</v>
      </c>
      <c r="AL1265" s="59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</row>
    <row r="1266" ht="15.75" hidden="1" customHeight="1">
      <c r="A1266" s="59"/>
      <c r="B1266" s="215" t="str">
        <f t="shared" ref="B1266:F1266" si="2572">IF(B1210="","",B1210)</f>
        <v/>
      </c>
      <c r="C1266" s="73" t="str">
        <f t="shared" si="2572"/>
        <v/>
      </c>
      <c r="D1266" s="47" t="str">
        <f t="shared" si="2572"/>
        <v/>
      </c>
      <c r="E1266" s="48" t="str">
        <f t="shared" si="2572"/>
        <v/>
      </c>
      <c r="F1266" s="74" t="str">
        <f t="shared" si="2572"/>
        <v/>
      </c>
      <c r="G1266" s="50" t="str">
        <f t="shared" si="2561"/>
        <v/>
      </c>
      <c r="H1266" s="51"/>
      <c r="I1266" s="51"/>
      <c r="J1266" s="52"/>
      <c r="K1266" s="50" t="str">
        <f t="shared" si="2562"/>
        <v/>
      </c>
      <c r="L1266" s="51"/>
      <c r="M1266" s="51"/>
      <c r="N1266" s="52"/>
      <c r="O1266" s="50" t="str">
        <f t="shared" si="2563"/>
        <v/>
      </c>
      <c r="P1266" s="51"/>
      <c r="Q1266" s="51"/>
      <c r="R1266" s="52"/>
      <c r="S1266" s="50" t="str">
        <f t="shared" si="2564"/>
        <v/>
      </c>
      <c r="T1266" s="51"/>
      <c r="U1266" s="51"/>
      <c r="V1266" s="52"/>
      <c r="W1266" s="50" t="str">
        <f t="shared" si="2565"/>
        <v/>
      </c>
      <c r="X1266" s="51"/>
      <c r="Y1266" s="51"/>
      <c r="Z1266" s="52"/>
      <c r="AA1266" s="50" t="str">
        <f t="shared" si="2566"/>
        <v/>
      </c>
      <c r="AB1266" s="51"/>
      <c r="AC1266" s="51"/>
      <c r="AD1266" s="52"/>
      <c r="AE1266" s="53">
        <f t="shared" si="2567"/>
        <v>0</v>
      </c>
      <c r="AF1266" s="54">
        <f t="shared" si="2510"/>
        <v>0</v>
      </c>
      <c r="AG1266" s="75">
        <f t="shared" si="2568"/>
        <v>0</v>
      </c>
      <c r="AH1266" s="76" t="str">
        <f t="shared" si="2569"/>
        <v/>
      </c>
      <c r="AI1266" s="77">
        <f> ( IF(ISNUMBER(G1266), VLOOKUP(G1266/$AH1266,F!$A1:$B101,2,1)*G1266*$H1266*$I1266,0)+IF(ISNUMBER(K1266), VLOOKUP(K1266/$AH1266,F!$A1:$B101,2,1)*K1266*$L1266*$M1266,0)+IF(ISNUMBER(O1266), VLOOKUP(O1266/$AH1266,F!$A1:$B101,2,1)*O1266*$P1266*$Q1266,0)+IF(ISNUMBER(S1266), VLOOKUP(S1266/$AH1266,F!$A1:$B101,2,1)*S1266*$T1266*$U1266,0)+IF(ISNUMBER(W1266), VLOOKUP(W1266/$AH1266,F!$A1:$B101,2,1)*W1266*$X1266*$Y1266,0)+IF(ISNUMBER(AA1266), VLOOKUP(AA1266/$AH1266,F!$A1:$B101,2,1)*AA1266*$AB1266*$AC1266,0))*IF(ISNUMBER(F1266),F1266,1)*IF(ISNUMBER(E1266),E1266,1)</f>
        <v>0</v>
      </c>
      <c r="AJ1266" s="57">
        <f t="shared" si="2570"/>
        <v>0</v>
      </c>
      <c r="AK1266" s="58">
        <f t="array" ref="AK1266">IFERROR(I1266*INDEX(F!$P$21:$AB$33, MATCH(G1266/$AH1266, F!$O$21:$O$33,1), MATCH(E1266, F!$P$20:$AB$20,1)), 0 ) +IFERROR( M1266*INDEX(F!$P$21:$AB$33, MATCH(K1266/$AH1266, F!$O$21:$O$33,1), MATCH(E1266, F!$P$20:$AB$20,1)),0) +  IFERROR( Q1266*INDEX(F!$P$21:$AB$33, MATCH(O1266/$AH1266, F!$O$21:$O$33,1), MATCH(E1266, F!$P$20:$AB$20,1)), 0) + IFERROR( U1266*INDEX(F!$P$21:$AB$33, MATCH(S1266/$AH1266, F!$O$21:$O$33,1), MATCH(E1266, F!$P$20:$AB$20,1)),0)  + IFERROR(Y1266*INDEX(F!$P$21:$AB$33, MATCH(W1266/$AH1266, F!$O$21:$O$33,1), MATCH(E1266, F!$P$20:$AB$20,1)),0)  + IFERROR( AC1266*INDEX(F!$P$21:$AB$33, MATCH(AA1266/$AH1266, F!$O$21:$O$33,1), MATCH(E1266, F!$P$20:$AB$20,1)),)</f>
        <v>0</v>
      </c>
      <c r="AL1266" s="59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</row>
    <row r="1267" ht="15.75" hidden="1" customHeight="1">
      <c r="A1267" s="59"/>
      <c r="B1267" s="216" t="str">
        <f t="shared" ref="B1267:F1267" si="2573">IF(B1211="","",B1211)</f>
        <v/>
      </c>
      <c r="C1267" s="78" t="str">
        <f t="shared" si="2573"/>
        <v/>
      </c>
      <c r="D1267" s="62" t="str">
        <f t="shared" si="2573"/>
        <v/>
      </c>
      <c r="E1267" s="48" t="str">
        <f t="shared" si="2573"/>
        <v/>
      </c>
      <c r="F1267" s="79" t="str">
        <f t="shared" si="2573"/>
        <v/>
      </c>
      <c r="G1267" s="64" t="str">
        <f t="shared" si="2561"/>
        <v/>
      </c>
      <c r="H1267" s="34"/>
      <c r="I1267" s="34"/>
      <c r="J1267" s="65"/>
      <c r="K1267" s="64" t="str">
        <f t="shared" si="2562"/>
        <v/>
      </c>
      <c r="L1267" s="34"/>
      <c r="M1267" s="34"/>
      <c r="N1267" s="65"/>
      <c r="O1267" s="64" t="str">
        <f t="shared" si="2563"/>
        <v/>
      </c>
      <c r="P1267" s="34"/>
      <c r="Q1267" s="34"/>
      <c r="R1267" s="65"/>
      <c r="S1267" s="64" t="str">
        <f t="shared" si="2564"/>
        <v/>
      </c>
      <c r="T1267" s="34"/>
      <c r="U1267" s="34"/>
      <c r="V1267" s="65"/>
      <c r="W1267" s="64" t="str">
        <f t="shared" si="2565"/>
        <v/>
      </c>
      <c r="X1267" s="34"/>
      <c r="Y1267" s="34"/>
      <c r="Z1267" s="65"/>
      <c r="AA1267" s="64" t="str">
        <f t="shared" si="2566"/>
        <v/>
      </c>
      <c r="AB1267" s="34"/>
      <c r="AC1267" s="34"/>
      <c r="AD1267" s="65"/>
      <c r="AE1267" s="66">
        <f t="shared" si="2567"/>
        <v>0</v>
      </c>
      <c r="AF1267" s="67">
        <f t="shared" si="2510"/>
        <v>0</v>
      </c>
      <c r="AG1267" s="68">
        <f t="shared" si="2568"/>
        <v>0</v>
      </c>
      <c r="AH1267" s="76" t="str">
        <f t="shared" si="2569"/>
        <v/>
      </c>
      <c r="AI1267" s="70">
        <f> ( IF(ISNUMBER(G1267), VLOOKUP(G1267/$AH1267,F!$A1:$B101,2,1)*G1267*$H1267*$I1267,0)+IF(ISNUMBER(K1267), VLOOKUP(K1267/$AH1267,F!$A1:$B101,2,1)*K1267*$L1267*$M1267,0)+IF(ISNUMBER(O1267), VLOOKUP(O1267/$AH1267,F!$A1:$B101,2,1)*O1267*$P1267*$Q1267,0)+IF(ISNUMBER(S1267), VLOOKUP(S1267/$AH1267,F!$A1:$B101,2,1)*S1267*$T1267*$U1267,0)+IF(ISNUMBER(W1267), VLOOKUP(W1267/$AH1267,F!$A1:$B101,2,1)*W1267*$X1267*$Y1267,0)+IF(ISNUMBER(AA1267), VLOOKUP(AA1267/$AH1267,F!$A1:$B101,2,1)*AA1267*$AB1267*$AC1267,0))*IF(ISNUMBER(F1267),F1267,1)*IF(ISNUMBER(E1267),E1267,1)</f>
        <v>0</v>
      </c>
      <c r="AJ1267" s="71">
        <f t="shared" si="2570"/>
        <v>0</v>
      </c>
      <c r="AK1267" s="72">
        <f t="array" ref="AK1267">IFERROR(I1267*INDEX(F!$P$21:$AB$33, MATCH(G1267/$AH1267, F!$O$21:$O$33,1), MATCH(E1267, F!$P$20:$AB$20,1)), 0 ) +IFERROR( M1267*INDEX(F!$P$21:$AB$33, MATCH(K1267/$AH1267, F!$O$21:$O$33,1), MATCH(E1267, F!$P$20:$AB$20,1)),0) +  IFERROR( Q1267*INDEX(F!$P$21:$AB$33, MATCH(O1267/$AH1267, F!$O$21:$O$33,1), MATCH(E1267, F!$P$20:$AB$20,1)), 0) + IFERROR( U1267*INDEX(F!$P$21:$AB$33, MATCH(S1267/$AH1267, F!$O$21:$O$33,1), MATCH(E1267, F!$P$20:$AB$20,1)),0)  + IFERROR(Y1267*INDEX(F!$P$21:$AB$33, MATCH(W1267/$AH1267, F!$O$21:$O$33,1), MATCH(E1267, F!$P$20:$AB$20,1)),0)  + IFERROR( AC1267*INDEX(F!$P$21:$AB$33, MATCH(AA1267/$AH1267, F!$O$21:$O$33,1), MATCH(E1267, F!$P$20:$AB$20,1)),)</f>
        <v>0</v>
      </c>
      <c r="AL1267" s="59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</row>
    <row r="1268" ht="15.75" hidden="1" customHeight="1">
      <c r="A1268" s="59"/>
      <c r="B1268" s="45" t="str">
        <f t="shared" ref="B1268:F1268" si="2574">IF(B1212="","",B1212)</f>
        <v/>
      </c>
      <c r="C1268" s="46" t="str">
        <f t="shared" si="2574"/>
        <v/>
      </c>
      <c r="D1268" s="197" t="str">
        <f t="shared" si="2574"/>
        <v/>
      </c>
      <c r="E1268" s="48" t="str">
        <f t="shared" si="2574"/>
        <v/>
      </c>
      <c r="F1268" s="83" t="str">
        <f t="shared" si="2574"/>
        <v/>
      </c>
      <c r="G1268" s="50" t="str">
        <f t="shared" si="2561"/>
        <v/>
      </c>
      <c r="H1268" s="51"/>
      <c r="I1268" s="51"/>
      <c r="J1268" s="52"/>
      <c r="K1268" s="50" t="str">
        <f t="shared" si="2562"/>
        <v/>
      </c>
      <c r="L1268" s="51"/>
      <c r="M1268" s="51"/>
      <c r="N1268" s="52"/>
      <c r="O1268" s="50" t="str">
        <f t="shared" si="2563"/>
        <v/>
      </c>
      <c r="P1268" s="51"/>
      <c r="Q1268" s="51"/>
      <c r="R1268" s="52"/>
      <c r="S1268" s="50" t="str">
        <f t="shared" si="2564"/>
        <v/>
      </c>
      <c r="T1268" s="51"/>
      <c r="U1268" s="51"/>
      <c r="V1268" s="52"/>
      <c r="W1268" s="50" t="str">
        <f t="shared" si="2565"/>
        <v/>
      </c>
      <c r="X1268" s="51"/>
      <c r="Y1268" s="51"/>
      <c r="Z1268" s="52"/>
      <c r="AA1268" s="50" t="str">
        <f t="shared" si="2566"/>
        <v/>
      </c>
      <c r="AB1268" s="51"/>
      <c r="AC1268" s="51"/>
      <c r="AD1268" s="52"/>
      <c r="AE1268" s="53">
        <f t="shared" si="2567"/>
        <v>0</v>
      </c>
      <c r="AF1268" s="54">
        <f t="shared" si="2510"/>
        <v>0</v>
      </c>
      <c r="AG1268" s="75">
        <f t="shared" si="2568"/>
        <v>0</v>
      </c>
      <c r="AH1268" s="76" t="str">
        <f t="shared" si="2569"/>
        <v/>
      </c>
      <c r="AI1268" s="77">
        <f> ( IF(ISNUMBER(G1268), VLOOKUP(G1268/$AH1268,F!$A1:$B101,2,1)*G1268*$H1268*$I1268,0)+IF(ISNUMBER(K1268), VLOOKUP(K1268/$AH1268,F!$A1:$B101,2,1)*K1268*$L1268*$M1268,0)+IF(ISNUMBER(O1268), VLOOKUP(O1268/$AH1268,F!$A1:$B101,2,1)*O1268*$P1268*$Q1268,0)+IF(ISNUMBER(S1268), VLOOKUP(S1268/$AH1268,F!$A1:$B101,2,1)*S1268*$T1268*$U1268,0)+IF(ISNUMBER(W1268), VLOOKUP(W1268/$AH1268,F!$A1:$B101,2,1)*W1268*$X1268*$Y1268,0)+IF(ISNUMBER(AA1268), VLOOKUP(AA1268/$AH1268,F!$A1:$B101,2,1)*AA1268*$AB1268*$AC1268,0))*IF(ISNUMBER(F1268),F1268,1)*IF(ISNUMBER(E1268),E1268,1)</f>
        <v>0</v>
      </c>
      <c r="AJ1268" s="86">
        <f t="shared" si="2570"/>
        <v>0</v>
      </c>
      <c r="AK1268" s="58">
        <f t="array" ref="AK1268">IFERROR(I1268*INDEX(F!$P$21:$AB$33, MATCH(G1268/$AH1268, F!$O$21:$O$33,1), MATCH(E1268, F!$P$20:$AB$20,1)), 0 ) +IFERROR( M1268*INDEX(F!$P$21:$AB$33, MATCH(K1268/$AH1268, F!$O$21:$O$33,1), MATCH(E1268, F!$P$20:$AB$20,1)),0) +  IFERROR( Q1268*INDEX(F!$P$21:$AB$33, MATCH(O1268/$AH1268, F!$O$21:$O$33,1), MATCH(E1268, F!$P$20:$AB$20,1)), 0) + IFERROR( U1268*INDEX(F!$P$21:$AB$33, MATCH(S1268/$AH1268, F!$O$21:$O$33,1), MATCH(E1268, F!$P$20:$AB$20,1)),0)  + IFERROR(Y1268*INDEX(F!$P$21:$AB$33, MATCH(W1268/$AH1268, F!$O$21:$O$33,1), MATCH(E1268, F!$P$20:$AB$20,1)),0)  + IFERROR( AC1268*INDEX(F!$P$21:$AB$33, MATCH(AA1268/$AH1268, F!$O$21:$O$33,1), MATCH(E1268, F!$P$20:$AB$20,1)),)</f>
        <v>0</v>
      </c>
      <c r="AL1268" s="59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</row>
    <row r="1269" ht="15.75" hidden="1" customHeight="1">
      <c r="A1269" s="59"/>
      <c r="B1269" s="60" t="str">
        <f t="shared" ref="B1269:F1269" si="2575">IF(B1213="","",B1213)</f>
        <v/>
      </c>
      <c r="C1269" s="61" t="str">
        <f t="shared" si="2575"/>
        <v/>
      </c>
      <c r="D1269" s="198" t="str">
        <f t="shared" si="2575"/>
        <v/>
      </c>
      <c r="E1269" s="48" t="str">
        <f t="shared" si="2575"/>
        <v/>
      </c>
      <c r="F1269" s="79" t="str">
        <f t="shared" si="2575"/>
        <v/>
      </c>
      <c r="G1269" s="64" t="str">
        <f t="shared" si="2561"/>
        <v/>
      </c>
      <c r="H1269" s="34"/>
      <c r="I1269" s="34"/>
      <c r="J1269" s="65"/>
      <c r="K1269" s="64" t="str">
        <f t="shared" si="2562"/>
        <v/>
      </c>
      <c r="L1269" s="34"/>
      <c r="M1269" s="34"/>
      <c r="N1269" s="65"/>
      <c r="O1269" s="64" t="str">
        <f t="shared" si="2563"/>
        <v/>
      </c>
      <c r="P1269" s="34"/>
      <c r="Q1269" s="34"/>
      <c r="R1269" s="65"/>
      <c r="S1269" s="64" t="str">
        <f t="shared" si="2564"/>
        <v/>
      </c>
      <c r="T1269" s="34"/>
      <c r="U1269" s="34"/>
      <c r="V1269" s="65"/>
      <c r="W1269" s="64" t="str">
        <f t="shared" si="2565"/>
        <v/>
      </c>
      <c r="X1269" s="34"/>
      <c r="Y1269" s="34"/>
      <c r="Z1269" s="65"/>
      <c r="AA1269" s="64" t="str">
        <f t="shared" si="2566"/>
        <v/>
      </c>
      <c r="AB1269" s="34"/>
      <c r="AC1269" s="34"/>
      <c r="AD1269" s="65"/>
      <c r="AE1269" s="66">
        <f t="shared" si="2567"/>
        <v>0</v>
      </c>
      <c r="AF1269" s="67">
        <f t="shared" si="2510"/>
        <v>0</v>
      </c>
      <c r="AG1269" s="68">
        <f t="shared" si="2568"/>
        <v>0</v>
      </c>
      <c r="AH1269" s="76" t="str">
        <f t="shared" si="2569"/>
        <v/>
      </c>
      <c r="AI1269" s="90">
        <f> ( IF(ISNUMBER(G1269), VLOOKUP(G1269/$AH1269,F!$A1:$B101,2,1)*G1269*$H1269*$I1269,0)+IF(ISNUMBER(K1269), VLOOKUP(K1269/$AH1269,F!$A1:$B101,2,1)*K1269*$L1269*$M1269,0)+IF(ISNUMBER(O1269), VLOOKUP(O1269/$AH1269,F!$A1:$B101,2,1)*O1269*$P1269*$Q1269,0)+IF(ISNUMBER(S1269), VLOOKUP(S1269/$AH1269,F!$A1:$B101,2,1)*S1269*$T1269*$U1269,0)+IF(ISNUMBER(W1269), VLOOKUP(W1269/$AH1269,F!$A1:$B101,2,1)*W1269*$X1269*$Y1269,0)+IF(ISNUMBER(AA1269), VLOOKUP(AA1269/$AH1269,F!$A1:$B101,2,1)*AA1269*$AB1269*$AC1269,0))*IF(ISNUMBER(F1269),F1269,1)*IF(ISNUMBER(E1269),E1269,1)</f>
        <v>0</v>
      </c>
      <c r="AJ1269" s="34">
        <f t="shared" si="2570"/>
        <v>0</v>
      </c>
      <c r="AK1269" s="91">
        <f t="array" ref="AK1269">IFERROR(I1269*INDEX(F!$P$21:$AB$33, MATCH(G1269/$AH1269, F!$O$21:$O$33,1), MATCH(E1269, F!$P$20:$AB$20,1)), 0 ) +IFERROR( M1269*INDEX(F!$P$21:$AB$33, MATCH(K1269/$AH1269, F!$O$21:$O$33,1), MATCH(E1269, F!$P$20:$AB$20,1)),0) +  IFERROR( Q1269*INDEX(F!$P$21:$AB$33, MATCH(O1269/$AH1269, F!$O$21:$O$33,1), MATCH(E1269, F!$P$20:$AB$20,1)), 0) + IFERROR( U1269*INDEX(F!$P$21:$AB$33, MATCH(S1269/$AH1269, F!$O$21:$O$33,1), MATCH(E1269, F!$P$20:$AB$20,1)),0)  + IFERROR(Y1269*INDEX(F!$P$21:$AB$33, MATCH(W1269/$AH1269, F!$O$21:$O$33,1), MATCH(E1269, F!$P$20:$AB$20,1)),0)  + IFERROR( AC1269*INDEX(F!$P$21:$AB$33, MATCH(AA1269/$AH1269, F!$O$21:$O$33,1), MATCH(E1269, F!$P$20:$AB$20,1)),)</f>
        <v>0</v>
      </c>
      <c r="AL1269" s="59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</row>
    <row r="1270" ht="15.75" hidden="1" customHeight="1">
      <c r="A1270" s="59"/>
      <c r="B1270" s="45" t="str">
        <f t="shared" ref="B1270:F1270" si="2576">IF(B1214="","",B1214)</f>
        <v/>
      </c>
      <c r="C1270" s="46" t="str">
        <f t="shared" si="2576"/>
        <v/>
      </c>
      <c r="D1270" s="92" t="str">
        <f t="shared" si="2576"/>
        <v/>
      </c>
      <c r="E1270" s="48" t="str">
        <f t="shared" si="2576"/>
        <v/>
      </c>
      <c r="F1270" s="74" t="str">
        <f t="shared" si="2576"/>
        <v/>
      </c>
      <c r="G1270" s="50" t="str">
        <f t="shared" si="2561"/>
        <v/>
      </c>
      <c r="H1270" s="51"/>
      <c r="I1270" s="51"/>
      <c r="J1270" s="52"/>
      <c r="K1270" s="50" t="str">
        <f t="shared" si="2562"/>
        <v/>
      </c>
      <c r="L1270" s="51"/>
      <c r="M1270" s="51"/>
      <c r="N1270" s="52"/>
      <c r="O1270" s="50" t="str">
        <f t="shared" si="2563"/>
        <v/>
      </c>
      <c r="P1270" s="51"/>
      <c r="Q1270" s="51"/>
      <c r="R1270" s="52"/>
      <c r="S1270" s="50" t="str">
        <f t="shared" si="2564"/>
        <v/>
      </c>
      <c r="T1270" s="51"/>
      <c r="U1270" s="51"/>
      <c r="V1270" s="52"/>
      <c r="W1270" s="50" t="str">
        <f t="shared" si="2565"/>
        <v/>
      </c>
      <c r="X1270" s="51"/>
      <c r="Y1270" s="51"/>
      <c r="Z1270" s="52"/>
      <c r="AA1270" s="50" t="str">
        <f t="shared" si="2566"/>
        <v/>
      </c>
      <c r="AB1270" s="51"/>
      <c r="AC1270" s="51"/>
      <c r="AD1270" s="52"/>
      <c r="AE1270" s="53">
        <f t="shared" si="2567"/>
        <v>0</v>
      </c>
      <c r="AF1270" s="93">
        <f t="shared" si="2510"/>
        <v>0</v>
      </c>
      <c r="AG1270" s="94">
        <f t="shared" si="2568"/>
        <v>0</v>
      </c>
      <c r="AH1270" s="76" t="str">
        <f t="shared" si="2569"/>
        <v/>
      </c>
      <c r="AI1270" s="95">
        <f> ( IF(ISNUMBER(G1270), VLOOKUP(G1270/$AH1270,F!$A1:$B101,2,1)*G1270*$H1270*$I1270,0)+IF(ISNUMBER(K1270), VLOOKUP(K1270/$AH1270,F!$A1:$B101,2,1)*K1270*$L1270*$M1270,0)+IF(ISNUMBER(O1270), VLOOKUP(O1270/$AH1270,F!$A1:$B101,2,1)*O1270*$P1270*$Q1270,0)+IF(ISNUMBER(S1270), VLOOKUP(S1270/$AH1270,F!$A1:$B101,2,1)*S1270*$T1270*$U1270,0)+IF(ISNUMBER(W1270), VLOOKUP(W1270/$AH1270,F!$A1:$B101,2,1)*W1270*$X1270*$Y1270,0)+IF(ISNUMBER(AA1270), VLOOKUP(AA1270/$AH1270,F!$A1:$B101,2,1)*AA1270*$AB1270*$AC1270,0))*IF(ISNUMBER(F1270),F1270,1)*IF(ISNUMBER(E1270),E1270,1)</f>
        <v>0</v>
      </c>
      <c r="AJ1270" s="96">
        <f t="shared" si="2570"/>
        <v>0</v>
      </c>
      <c r="AK1270" s="97">
        <f t="array" ref="AK1270">IFERROR(I1270*INDEX(F!$P$21:$AB$33, MATCH(G1270/$AH1270, F!$O$21:$O$33,1), MATCH(E1270, F!$P$20:$AB$20,1)), 0 ) +IFERROR( M1270*INDEX(F!$P$21:$AB$33, MATCH(K1270/$AH1270, F!$O$21:$O$33,1), MATCH(E1270, F!$P$20:$AB$20,1)),0) +  IFERROR( Q1270*INDEX(F!$P$21:$AB$33, MATCH(O1270/$AH1270, F!$O$21:$O$33,1), MATCH(E1270, F!$P$20:$AB$20,1)), 0) + IFERROR( U1270*INDEX(F!$P$21:$AB$33, MATCH(S1270/$AH1270, F!$O$21:$O$33,1), MATCH(E1270, F!$P$20:$AB$20,1)),0)  + IFERROR(Y1270*INDEX(F!$P$21:$AB$33, MATCH(W1270/$AH1270, F!$O$21:$O$33,1), MATCH(E1270, F!$P$20:$AB$20,1)),0)  + IFERROR( AC1270*INDEX(F!$P$21:$AB$33, MATCH(AA1270/$AH1270, F!$O$21:$O$33,1), MATCH(E1270, F!$P$20:$AB$20,1)),)</f>
        <v>0</v>
      </c>
      <c r="AL1270" s="59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</row>
    <row r="1271" ht="15.75" hidden="1" customHeight="1">
      <c r="A1271" s="98"/>
      <c r="B1271" s="99"/>
      <c r="C1271" s="100"/>
      <c r="D1271" s="101"/>
      <c r="E1271" s="102">
        <f>ROUND(IFERROR(SUMPRODUCT(AJ1263:AJ1270,E1263:E1270)/AJ1271,0),3)</f>
        <v>0</v>
      </c>
      <c r="F1271" s="199"/>
      <c r="G1271" s="104"/>
      <c r="H1271" s="105"/>
      <c r="I1271" s="105"/>
      <c r="J1271" s="106"/>
      <c r="K1271" s="104"/>
      <c r="L1271" s="105"/>
      <c r="M1271" s="105"/>
      <c r="N1271" s="106"/>
      <c r="O1271" s="104"/>
      <c r="P1271" s="105"/>
      <c r="Q1271" s="105"/>
      <c r="R1271" s="106"/>
      <c r="S1271" s="104"/>
      <c r="T1271" s="105"/>
      <c r="U1271" s="105"/>
      <c r="V1271" s="106"/>
      <c r="W1271" s="104"/>
      <c r="X1271" s="105"/>
      <c r="Y1271" s="105"/>
      <c r="Z1271" s="106"/>
      <c r="AA1271" s="104"/>
      <c r="AB1271" s="105"/>
      <c r="AC1271" s="105"/>
      <c r="AD1271" s="106"/>
      <c r="AE1271" s="107">
        <f>SUM(AE1263:AE1270)</f>
        <v>0</v>
      </c>
      <c r="AF1271" s="108">
        <f t="shared" si="2510"/>
        <v>0</v>
      </c>
      <c r="AG1271" s="109">
        <f>IFERROR(  SUMPRODUCT(AG1263:AG1270,AJ1263:AJ1270)/AJ1271,0)</f>
        <v>0</v>
      </c>
      <c r="AH1271" s="157"/>
      <c r="AI1271" s="111">
        <f t="shared" ref="AI1271:AJ1271" si="2577">SUM(AI1263:AI1270)</f>
        <v>0</v>
      </c>
      <c r="AJ1271" s="111">
        <f t="shared" si="2577"/>
        <v>0</v>
      </c>
      <c r="AK1271" s="112">
        <f>IF(SUM(AK1263:AK1270)=0,TIME(,0,),TIME(,SUM(AK1263:AK1270)+F!$V$37,))</f>
        <v>0</v>
      </c>
      <c r="AL1271" s="98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</row>
    <row r="1272" ht="15.75" hidden="1" customHeight="1">
      <c r="A1272" s="113">
        <f>A1273</f>
        <v>43940</v>
      </c>
      <c r="B1272" s="114" t="str">
        <f t="shared" ref="B1272:F1272" si="2578">IF(B1216="","",B1216)</f>
        <v/>
      </c>
      <c r="C1272" s="115" t="str">
        <f t="shared" si="2578"/>
        <v/>
      </c>
      <c r="D1272" s="116" t="str">
        <f t="shared" si="2578"/>
        <v/>
      </c>
      <c r="E1272" s="29" t="str">
        <f t="shared" si="2578"/>
        <v/>
      </c>
      <c r="F1272" s="117" t="str">
        <f t="shared" si="2578"/>
        <v/>
      </c>
      <c r="G1272" s="118" t="str">
        <f t="shared" ref="G1272:G1279" si="2580">IF(J1272&lt;&gt;0, IFERROR(IF( $F1272=2,  MROUND($AH1272*J1272,1),    IF( OR($F1272="",$F1272=1),   MROUND($AH1272*J1272,2.5),  MROUND($AH1272*J1272, 0.1))), "" ), "")</f>
        <v/>
      </c>
      <c r="H1272" s="119"/>
      <c r="I1272" s="119"/>
      <c r="J1272" s="120"/>
      <c r="K1272" s="118" t="str">
        <f t="shared" ref="K1272:K1279" si="2581">IF(N1272&lt;&gt;0, IFERROR(IF( $F1272=2,  MROUND($AH1272*N1272,1),    IF( OR($F1272="",$F1272=1),   MROUND($AH1272*N1272,2.5),  MROUND($AH1272*N1272, 0.1))), "" ), "")</f>
        <v/>
      </c>
      <c r="L1272" s="119"/>
      <c r="M1272" s="119"/>
      <c r="N1272" s="120"/>
      <c r="O1272" s="118" t="str">
        <f t="shared" ref="O1272:O1279" si="2582">IF(R1272&lt;&gt;0, IFERROR(IF( $F1272=2,  MROUND($AH1272*R1272,1),    IF( OR($F1272="",$F1272=1),   MROUND($AH1272*R1272,2.5),  MROUND($AH1272*R1272, 0.1))), "" ), "")</f>
        <v/>
      </c>
      <c r="P1272" s="119"/>
      <c r="Q1272" s="119"/>
      <c r="R1272" s="120"/>
      <c r="S1272" s="118" t="str">
        <f t="shared" ref="S1272:S1279" si="2583">IF(V1272&lt;&gt;0, IFERROR(IF( $F1272=2,  MROUND($AH1272*V1272,1),    IF( OR($F1272="",$F1272=1),   MROUND($AH1272*V1272,2.5),  MROUND($AH1272*V1272, 0.1))), "" ), "")</f>
        <v/>
      </c>
      <c r="T1272" s="119"/>
      <c r="U1272" s="119"/>
      <c r="V1272" s="120"/>
      <c r="W1272" s="118" t="str">
        <f t="shared" ref="W1272:W1279" si="2584">IF(Z1272&lt;&gt;0, IFERROR(IF( $F1272=2,  MROUND($AH1272*Z1272,1),    IF( OR($F1272="",$F1272=1),   MROUND($AH1272*Z1272,2.5),  MROUND($AH1272*Z1272, 0.1))), "" ), "")</f>
        <v/>
      </c>
      <c r="X1272" s="119"/>
      <c r="Y1272" s="119"/>
      <c r="Z1272" s="120"/>
      <c r="AA1272" s="118" t="str">
        <f t="shared" ref="AA1272:AA1279" si="2585">IF(AD1272&lt;&gt;0, IFERROR(IF( $F1272=2,  MROUND($AH1272*AD1272,1),    IF( OR($F1272="",$F1272=1),   MROUND($AH1272*AD1272,2.5),  MROUND($AH1272*AD1272, 0.1))), "" ), "")</f>
        <v/>
      </c>
      <c r="AB1272" s="119"/>
      <c r="AC1272" s="119"/>
      <c r="AD1272" s="120"/>
      <c r="AE1272" s="121">
        <f t="shared" ref="AE1272:AE1279" si="2586">(IF(ISNUMBER(G1272),G1272,0)*H1272*I1272+IF(ISNUMBER(K1272),K1272,1)*L1272*M1272+IF(ISNUMBER(O1272),O1272,1)*P1272*Q1272+IF(ISNUMBER(S1272),S1272,1)*T1272*U1272+IF(ISNUMBER(W1272),W1272,1)*X1272*Y1272+IF(ISNUMBER(AA1272),AA1272,1)*AB1272*AC1272)*IF(ISNUMBER(F1272),F1272,1)</f>
        <v>0</v>
      </c>
      <c r="AF1272" s="122">
        <f t="shared" si="2510"/>
        <v>0</v>
      </c>
      <c r="AG1272" s="200">
        <f t="shared" ref="AG1272:AG1279" si="2587">IFERROR((AF1272/(AH1272*IF(ISNUMBER(F1272),F1272,1))),0)</f>
        <v>0</v>
      </c>
      <c r="AH1272" s="169" t="str">
        <f t="shared" ref="AH1272:AH1279" si="2588">IF(ISNUMBER(AH1216), AH1216+(AH1216*$AH$1234),"")</f>
        <v/>
      </c>
      <c r="AI1272" s="122">
        <f> ( IF(ISNUMBER(G1272), VLOOKUP(G1272/$AH1272,F!$A1:$B101,2,1)*G1272*$H1272*$I1272,0)+IF(ISNUMBER(K1272), VLOOKUP(K1272/$AH1272,F!$A1:$B101,2,1)*K1272*$L1272*$M1272,0)+IF(ISNUMBER(O1272), VLOOKUP(O1272/$AH1272,F!$A1:$B101,2,1)*O1272*$P1272*$Q1272,0)+IF(ISNUMBER(S1272), VLOOKUP(S1272/$AH1272,F!$A1:$B101,2,1)*S1272*$T1272*$U1272,0)+IF(ISNUMBER(W1272), VLOOKUP(W1272/$AH1272,F!$A1:$B101,2,1)*W1272*$X1272*$Y1272,0)+IF(ISNUMBER(AA1272), VLOOKUP(AA1272/$AH1272,F!$A1:$B101,2,1)*AA1272*$AB1272*$AC1272,0))*IF(ISNUMBER(F1272),F1272,1)*IF(ISNUMBER(E1272),E1272,1)</f>
        <v>0</v>
      </c>
      <c r="AJ1272" s="119">
        <f t="shared" ref="AJ1272:AJ1279" si="2589">H1272*I1272+L1272*M1272+P1272*Q1272+T1272*U1272+X1272*Y1272+AB1272*AC1272</f>
        <v>0</v>
      </c>
      <c r="AK1272" s="125">
        <f t="array" ref="AK1272">IFERROR(I1272*INDEX(F!$P$21:$AB$33, MATCH(G1272/$AH1272, F!$O$21:$O$33,1), MATCH(E1272, F!$P$20:$AB$20,1)), 0 ) +IFERROR( M1272*INDEX(F!$P$21:$AB$33, MATCH(K1272/$AH1272, F!$O$21:$O$33,1), MATCH(E1272, F!$P$20:$AB$20,1)),0) +  IFERROR( Q1272*INDEX(F!$P$21:$AB$33, MATCH(O1272/$AH1272, F!$O$21:$O$33,1), MATCH(E1272, F!$P$20:$AB$20,1)), 0) + IFERROR( U1272*INDEX(F!$P$21:$AB$33, MATCH(S1272/$AH1272, F!$O$21:$O$33,1), MATCH(E1272, F!$P$20:$AB$20,1)),0)  + IFERROR(Y1272*INDEX(F!$P$21:$AB$33, MATCH(W1272/$AH1272, F!$O$21:$O$33,1), MATCH(E1272, F!$P$20:$AB$20,1)),0)  + IFERROR( AC1272*INDEX(F!$P$21:$AB$33, MATCH(AA1272/$AH1272, F!$O$21:$O$33,1), MATCH(E1272, F!$P$20:$AB$20,1)),)</f>
        <v>0</v>
      </c>
      <c r="AL1272" s="42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</row>
    <row r="1273" ht="15.75" hidden="1" customHeight="1">
      <c r="A1273" s="44">
        <f>A1217+A1178</f>
        <v>43940</v>
      </c>
      <c r="B1273" s="126" t="str">
        <f t="shared" ref="B1273:F1273" si="2579">IF(B1217="","",B1217)</f>
        <v/>
      </c>
      <c r="C1273" s="127" t="str">
        <f t="shared" si="2579"/>
        <v/>
      </c>
      <c r="D1273" s="128" t="str">
        <f t="shared" si="2579"/>
        <v/>
      </c>
      <c r="E1273" s="48" t="str">
        <f t="shared" si="2579"/>
        <v/>
      </c>
      <c r="F1273" s="129" t="str">
        <f t="shared" si="2579"/>
        <v/>
      </c>
      <c r="G1273" s="130" t="str">
        <f t="shared" si="2580"/>
        <v/>
      </c>
      <c r="H1273" s="34"/>
      <c r="I1273" s="34"/>
      <c r="J1273" s="65"/>
      <c r="K1273" s="130" t="str">
        <f t="shared" si="2581"/>
        <v/>
      </c>
      <c r="L1273" s="34"/>
      <c r="M1273" s="34"/>
      <c r="N1273" s="65"/>
      <c r="O1273" s="130" t="str">
        <f t="shared" si="2582"/>
        <v/>
      </c>
      <c r="P1273" s="34"/>
      <c r="Q1273" s="34"/>
      <c r="R1273" s="65"/>
      <c r="S1273" s="130" t="str">
        <f t="shared" si="2583"/>
        <v/>
      </c>
      <c r="T1273" s="34"/>
      <c r="U1273" s="34"/>
      <c r="V1273" s="65"/>
      <c r="W1273" s="130" t="str">
        <f t="shared" si="2584"/>
        <v/>
      </c>
      <c r="X1273" s="34"/>
      <c r="Y1273" s="34"/>
      <c r="Z1273" s="65"/>
      <c r="AA1273" s="130" t="str">
        <f t="shared" si="2585"/>
        <v/>
      </c>
      <c r="AB1273" s="34"/>
      <c r="AC1273" s="34"/>
      <c r="AD1273" s="65"/>
      <c r="AE1273" s="131">
        <f t="shared" si="2586"/>
        <v>0</v>
      </c>
      <c r="AF1273" s="132">
        <f t="shared" si="2510"/>
        <v>0</v>
      </c>
      <c r="AG1273" s="133">
        <f t="shared" si="2587"/>
        <v>0</v>
      </c>
      <c r="AH1273" s="76" t="str">
        <f t="shared" si="2588"/>
        <v/>
      </c>
      <c r="AI1273" s="132">
        <f> ( IF(ISNUMBER(G1273), VLOOKUP(G1273/$AH1273,F!$A1:$B101,2,1)*G1273*$H1273*$I1273,0)+IF(ISNUMBER(K1273), VLOOKUP(K1273/$AH1273,F!$A1:$B101,2,1)*K1273*$L1273*$M1273,0)+IF(ISNUMBER(O1273), VLOOKUP(O1273/$AH1273,F!$A1:$B101,2,1)*O1273*$P1273*$Q1273,0)+IF(ISNUMBER(S1273), VLOOKUP(S1273/$AH1273,F!$A1:$B101,2,1)*S1273*$T1273*$U1273,0)+IF(ISNUMBER(W1273), VLOOKUP(W1273/$AH1273,F!$A1:$B101,2,1)*W1273*$X1273*$Y1273,0)+IF(ISNUMBER(AA1273), VLOOKUP(AA1273/$AH1273,F!$A1:$B101,2,1)*AA1273*$AB1273*$AC1273,0))*IF(ISNUMBER(F1273),F1273,1)*IF(ISNUMBER(E1273),E1273,1)</f>
        <v>0</v>
      </c>
      <c r="AJ1273" s="34">
        <f t="shared" si="2589"/>
        <v>0</v>
      </c>
      <c r="AK1273" s="134">
        <f t="array" ref="AK1273">IFERROR(I1273*INDEX(F!$P$21:$AB$33, MATCH(G1273/$AH1273, F!$O$21:$O$33,1), MATCH(E1273, F!$P$20:$AB$20,1)), 0 ) +IFERROR( M1273*INDEX(F!$P$21:$AB$33, MATCH(K1273/$AH1273, F!$O$21:$O$33,1), MATCH(E1273, F!$P$20:$AB$20,1)),0) +  IFERROR( Q1273*INDEX(F!$P$21:$AB$33, MATCH(O1273/$AH1273, F!$O$21:$O$33,1), MATCH(E1273, F!$P$20:$AB$20,1)), 0) + IFERROR( U1273*INDEX(F!$P$21:$AB$33, MATCH(S1273/$AH1273, F!$O$21:$O$33,1), MATCH(E1273, F!$P$20:$AB$20,1)),0)  + IFERROR(Y1273*INDEX(F!$P$21:$AB$33, MATCH(W1273/$AH1273, F!$O$21:$O$33,1), MATCH(E1273, F!$P$20:$AB$20,1)),0)  + IFERROR( AC1273*INDEX(F!$P$21:$AB$33, MATCH(AA1273/$AH1273, F!$O$21:$O$33,1), MATCH(E1273, F!$P$20:$AB$20,1)),)</f>
        <v>0</v>
      </c>
      <c r="AL1273" s="59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</row>
    <row r="1274" ht="15.75" hidden="1" customHeight="1">
      <c r="A1274" s="59"/>
      <c r="B1274" s="135" t="str">
        <f t="shared" ref="B1274:F1274" si="2590">IF(B1218="","",B1218)</f>
        <v/>
      </c>
      <c r="C1274" s="136" t="str">
        <f t="shared" si="2590"/>
        <v/>
      </c>
      <c r="D1274" s="137" t="str">
        <f t="shared" si="2590"/>
        <v/>
      </c>
      <c r="E1274" s="48" t="str">
        <f t="shared" si="2590"/>
        <v/>
      </c>
      <c r="F1274" s="138" t="str">
        <f t="shared" si="2590"/>
        <v/>
      </c>
      <c r="G1274" s="139" t="str">
        <f t="shared" si="2580"/>
        <v/>
      </c>
      <c r="H1274" s="140"/>
      <c r="I1274" s="140"/>
      <c r="J1274" s="141"/>
      <c r="K1274" s="139" t="str">
        <f t="shared" si="2581"/>
        <v/>
      </c>
      <c r="L1274" s="140"/>
      <c r="M1274" s="140"/>
      <c r="N1274" s="141"/>
      <c r="O1274" s="139" t="str">
        <f t="shared" si="2582"/>
        <v/>
      </c>
      <c r="P1274" s="140"/>
      <c r="Q1274" s="140"/>
      <c r="R1274" s="141"/>
      <c r="S1274" s="139" t="str">
        <f t="shared" si="2583"/>
        <v/>
      </c>
      <c r="T1274" s="140"/>
      <c r="U1274" s="140"/>
      <c r="V1274" s="141"/>
      <c r="W1274" s="139" t="str">
        <f t="shared" si="2584"/>
        <v/>
      </c>
      <c r="X1274" s="140"/>
      <c r="Y1274" s="140"/>
      <c r="Z1274" s="141"/>
      <c r="AA1274" s="139" t="str">
        <f t="shared" si="2585"/>
        <v/>
      </c>
      <c r="AB1274" s="140"/>
      <c r="AC1274" s="140"/>
      <c r="AD1274" s="141"/>
      <c r="AE1274" s="142">
        <f t="shared" si="2586"/>
        <v>0</v>
      </c>
      <c r="AF1274" s="143">
        <f t="shared" si="2510"/>
        <v>0</v>
      </c>
      <c r="AG1274" s="144">
        <f t="shared" si="2587"/>
        <v>0</v>
      </c>
      <c r="AH1274" s="76" t="str">
        <f t="shared" si="2588"/>
        <v/>
      </c>
      <c r="AI1274" s="143">
        <f> ( IF(ISNUMBER(G1274), VLOOKUP(G1274/$AH1274,F!$A1:$B101,2,1)*G1274*$H1274*$I1274,0)+IF(ISNUMBER(K1274), VLOOKUP(K1274/$AH1274,F!$A1:$B101,2,1)*K1274*$L1274*$M1274,0)+IF(ISNUMBER(O1274), VLOOKUP(O1274/$AH1274,F!$A1:$B101,2,1)*O1274*$P1274*$Q1274,0)+IF(ISNUMBER(S1274), VLOOKUP(S1274/$AH1274,F!$A1:$B101,2,1)*S1274*$T1274*$U1274,0)+IF(ISNUMBER(W1274), VLOOKUP(W1274/$AH1274,F!$A1:$B101,2,1)*W1274*$X1274*$Y1274,0)+IF(ISNUMBER(AA1274), VLOOKUP(AA1274/$AH1274,F!$A1:$B101,2,1)*AA1274*$AB1274*$AC1274,0))*IF(ISNUMBER(F1274),F1274,1)*IF(ISNUMBER(E1274),E1274,1)</f>
        <v>0</v>
      </c>
      <c r="AJ1274" s="140">
        <f t="shared" si="2589"/>
        <v>0</v>
      </c>
      <c r="AK1274" s="145">
        <f t="array" ref="AK1274">IFERROR(I1274*INDEX(F!$P$21:$AB$33, MATCH(G1274/$AH1274, F!$O$21:$O$33,1), MATCH(E1274, F!$P$20:$AB$20,1)), 0 ) +IFERROR( M1274*INDEX(F!$P$21:$AB$33, MATCH(K1274/$AH1274, F!$O$21:$O$33,1), MATCH(E1274, F!$P$20:$AB$20,1)),0) +  IFERROR( Q1274*INDEX(F!$P$21:$AB$33, MATCH(O1274/$AH1274, F!$O$21:$O$33,1), MATCH(E1274, F!$P$20:$AB$20,1)), 0) + IFERROR( U1274*INDEX(F!$P$21:$AB$33, MATCH(S1274/$AH1274, F!$O$21:$O$33,1), MATCH(E1274, F!$P$20:$AB$20,1)),0)  + IFERROR(Y1274*INDEX(F!$P$21:$AB$33, MATCH(W1274/$AH1274, F!$O$21:$O$33,1), MATCH(E1274, F!$P$20:$AB$20,1)),0)  + IFERROR( AC1274*INDEX(F!$P$21:$AB$33, MATCH(AA1274/$AH1274, F!$O$21:$O$33,1), MATCH(E1274, F!$P$20:$AB$20,1)),)</f>
        <v>0</v>
      </c>
      <c r="AL1274" s="59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</row>
    <row r="1275" ht="15.75" hidden="1" customHeight="1">
      <c r="A1275" s="59"/>
      <c r="B1275" s="126" t="str">
        <f t="shared" ref="B1275:F1275" si="2591">IF(B1219="","",B1219)</f>
        <v/>
      </c>
      <c r="C1275" s="127" t="str">
        <f t="shared" si="2591"/>
        <v/>
      </c>
      <c r="D1275" s="128" t="str">
        <f t="shared" si="2591"/>
        <v/>
      </c>
      <c r="E1275" s="48" t="str">
        <f t="shared" si="2591"/>
        <v/>
      </c>
      <c r="F1275" s="129" t="str">
        <f t="shared" si="2591"/>
        <v/>
      </c>
      <c r="G1275" s="130" t="str">
        <f t="shared" si="2580"/>
        <v/>
      </c>
      <c r="H1275" s="34"/>
      <c r="I1275" s="34"/>
      <c r="J1275" s="65"/>
      <c r="K1275" s="130" t="str">
        <f t="shared" si="2581"/>
        <v/>
      </c>
      <c r="L1275" s="34"/>
      <c r="M1275" s="34"/>
      <c r="N1275" s="65"/>
      <c r="O1275" s="130" t="str">
        <f t="shared" si="2582"/>
        <v/>
      </c>
      <c r="P1275" s="34"/>
      <c r="Q1275" s="34"/>
      <c r="R1275" s="65"/>
      <c r="S1275" s="130" t="str">
        <f t="shared" si="2583"/>
        <v/>
      </c>
      <c r="T1275" s="34"/>
      <c r="U1275" s="34"/>
      <c r="V1275" s="65"/>
      <c r="W1275" s="130" t="str">
        <f t="shared" si="2584"/>
        <v/>
      </c>
      <c r="X1275" s="34"/>
      <c r="Y1275" s="34"/>
      <c r="Z1275" s="65"/>
      <c r="AA1275" s="130" t="str">
        <f t="shared" si="2585"/>
        <v/>
      </c>
      <c r="AB1275" s="34"/>
      <c r="AC1275" s="34"/>
      <c r="AD1275" s="65"/>
      <c r="AE1275" s="131">
        <f t="shared" si="2586"/>
        <v>0</v>
      </c>
      <c r="AF1275" s="132">
        <f t="shared" si="2510"/>
        <v>0</v>
      </c>
      <c r="AG1275" s="133">
        <f t="shared" si="2587"/>
        <v>0</v>
      </c>
      <c r="AH1275" s="76" t="str">
        <f t="shared" si="2588"/>
        <v/>
      </c>
      <c r="AI1275" s="132">
        <f> ( IF(ISNUMBER(G1275), VLOOKUP(G1275/$AH1275,F!$A1:$B101,2,1)*G1275*$H1275*$I1275,0)+IF(ISNUMBER(K1275), VLOOKUP(K1275/$AH1275,F!$A1:$B101,2,1)*K1275*$L1275*$M1275,0)+IF(ISNUMBER(O1275), VLOOKUP(O1275/$AH1275,F!$A1:$B101,2,1)*O1275*$P1275*$Q1275,0)+IF(ISNUMBER(S1275), VLOOKUP(S1275/$AH1275,F!$A1:$B101,2,1)*S1275*$T1275*$U1275,0)+IF(ISNUMBER(W1275), VLOOKUP(W1275/$AH1275,F!$A1:$B101,2,1)*W1275*$X1275*$Y1275,0)+IF(ISNUMBER(AA1275), VLOOKUP(AA1275/$AH1275,F!$A1:$B101,2,1)*AA1275*$AB1275*$AC1275,0))*IF(ISNUMBER(F1275),F1275,1)*IF(ISNUMBER(E1275),E1275,1)</f>
        <v>0</v>
      </c>
      <c r="AJ1275" s="34">
        <f t="shared" si="2589"/>
        <v>0</v>
      </c>
      <c r="AK1275" s="134">
        <f t="array" ref="AK1275">IFERROR(I1275*INDEX(F!$P$21:$AB$33, MATCH(G1275/$AH1275, F!$O$21:$O$33,1), MATCH(E1275, F!$P$20:$AB$20,1)), 0 ) +IFERROR( M1275*INDEX(F!$P$21:$AB$33, MATCH(K1275/$AH1275, F!$O$21:$O$33,1), MATCH(E1275, F!$P$20:$AB$20,1)),0) +  IFERROR( Q1275*INDEX(F!$P$21:$AB$33, MATCH(O1275/$AH1275, F!$O$21:$O$33,1), MATCH(E1275, F!$P$20:$AB$20,1)), 0) + IFERROR( U1275*INDEX(F!$P$21:$AB$33, MATCH(S1275/$AH1275, F!$O$21:$O$33,1), MATCH(E1275, F!$P$20:$AB$20,1)),0)  + IFERROR(Y1275*INDEX(F!$P$21:$AB$33, MATCH(W1275/$AH1275, F!$O$21:$O$33,1), MATCH(E1275, F!$P$20:$AB$20,1)),0)  + IFERROR( AC1275*INDEX(F!$P$21:$AB$33, MATCH(AA1275/$AH1275, F!$O$21:$O$33,1), MATCH(E1275, F!$P$20:$AB$20,1)),)</f>
        <v>0</v>
      </c>
      <c r="AL1275" s="59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</row>
    <row r="1276" ht="15.75" hidden="1" customHeight="1">
      <c r="A1276" s="59"/>
      <c r="B1276" s="135" t="str">
        <f t="shared" ref="B1276:F1276" si="2592">IF(B1220="","",B1220)</f>
        <v/>
      </c>
      <c r="C1276" s="136" t="str">
        <f t="shared" si="2592"/>
        <v/>
      </c>
      <c r="D1276" s="137" t="str">
        <f t="shared" si="2592"/>
        <v/>
      </c>
      <c r="E1276" s="48" t="str">
        <f t="shared" si="2592"/>
        <v/>
      </c>
      <c r="F1276" s="138" t="str">
        <f t="shared" si="2592"/>
        <v/>
      </c>
      <c r="G1276" s="139" t="str">
        <f t="shared" si="2580"/>
        <v/>
      </c>
      <c r="H1276" s="140"/>
      <c r="I1276" s="140"/>
      <c r="J1276" s="141"/>
      <c r="K1276" s="139" t="str">
        <f t="shared" si="2581"/>
        <v/>
      </c>
      <c r="L1276" s="140"/>
      <c r="M1276" s="140"/>
      <c r="N1276" s="141"/>
      <c r="O1276" s="139" t="str">
        <f t="shared" si="2582"/>
        <v/>
      </c>
      <c r="P1276" s="140"/>
      <c r="Q1276" s="140"/>
      <c r="R1276" s="141"/>
      <c r="S1276" s="139" t="str">
        <f t="shared" si="2583"/>
        <v/>
      </c>
      <c r="T1276" s="140"/>
      <c r="U1276" s="140"/>
      <c r="V1276" s="141"/>
      <c r="W1276" s="139" t="str">
        <f t="shared" si="2584"/>
        <v/>
      </c>
      <c r="X1276" s="140"/>
      <c r="Y1276" s="140"/>
      <c r="Z1276" s="141"/>
      <c r="AA1276" s="139" t="str">
        <f t="shared" si="2585"/>
        <v/>
      </c>
      <c r="AB1276" s="140"/>
      <c r="AC1276" s="140"/>
      <c r="AD1276" s="141"/>
      <c r="AE1276" s="142">
        <f t="shared" si="2586"/>
        <v>0</v>
      </c>
      <c r="AF1276" s="143">
        <f t="shared" si="2510"/>
        <v>0</v>
      </c>
      <c r="AG1276" s="144">
        <f t="shared" si="2587"/>
        <v>0</v>
      </c>
      <c r="AH1276" s="76" t="str">
        <f t="shared" si="2588"/>
        <v/>
      </c>
      <c r="AI1276" s="143">
        <f> ( IF(ISNUMBER(G1276), VLOOKUP(G1276/$AH1276,F!$A1:$B101,2,1)*G1276*$H1276*$I1276,0)+IF(ISNUMBER(K1276), VLOOKUP(K1276/$AH1276,F!$A1:$B101,2,1)*K1276*$L1276*$M1276,0)+IF(ISNUMBER(O1276), VLOOKUP(O1276/$AH1276,F!$A1:$B101,2,1)*O1276*$P1276*$Q1276,0)+IF(ISNUMBER(S1276), VLOOKUP(S1276/$AH1276,F!$A1:$B101,2,1)*S1276*$T1276*$U1276,0)+IF(ISNUMBER(W1276), VLOOKUP(W1276/$AH1276,F!$A1:$B101,2,1)*W1276*$X1276*$Y1276,0)+IF(ISNUMBER(AA1276), VLOOKUP(AA1276/$AH1276,F!$A1:$B101,2,1)*AA1276*$AB1276*$AC1276,0))*IF(ISNUMBER(F1276),F1276,1)*IF(ISNUMBER(E1276),E1276,1)</f>
        <v>0</v>
      </c>
      <c r="AJ1276" s="140">
        <f t="shared" si="2589"/>
        <v>0</v>
      </c>
      <c r="AK1276" s="145">
        <f t="array" ref="AK1276">IFERROR(I1276*INDEX(F!$P$21:$AB$33, MATCH(G1276/$AH1276, F!$O$21:$O$33,1), MATCH(E1276, F!$P$20:$AB$20,1)), 0 ) +IFERROR( M1276*INDEX(F!$P$21:$AB$33, MATCH(K1276/$AH1276, F!$O$21:$O$33,1), MATCH(E1276, F!$P$20:$AB$20,1)),0) +  IFERROR( Q1276*INDEX(F!$P$21:$AB$33, MATCH(O1276/$AH1276, F!$O$21:$O$33,1), MATCH(E1276, F!$P$20:$AB$20,1)), 0) + IFERROR( U1276*INDEX(F!$P$21:$AB$33, MATCH(S1276/$AH1276, F!$O$21:$O$33,1), MATCH(E1276, F!$P$20:$AB$20,1)),0)  + IFERROR(Y1276*INDEX(F!$P$21:$AB$33, MATCH(W1276/$AH1276, F!$O$21:$O$33,1), MATCH(E1276, F!$P$20:$AB$20,1)),0)  + IFERROR( AC1276*INDEX(F!$P$21:$AB$33, MATCH(AA1276/$AH1276, F!$O$21:$O$33,1), MATCH(E1276, F!$P$20:$AB$20,1)),)</f>
        <v>0</v>
      </c>
      <c r="AL1276" s="59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</row>
    <row r="1277" ht="15.75" hidden="1" customHeight="1">
      <c r="A1277" s="59"/>
      <c r="B1277" s="126" t="str">
        <f t="shared" ref="B1277:F1277" si="2593">IF(B1221="","",B1221)</f>
        <v/>
      </c>
      <c r="C1277" s="127" t="str">
        <f t="shared" si="2593"/>
        <v/>
      </c>
      <c r="D1277" s="128" t="str">
        <f t="shared" si="2593"/>
        <v/>
      </c>
      <c r="E1277" s="48" t="str">
        <f t="shared" si="2593"/>
        <v/>
      </c>
      <c r="F1277" s="129" t="str">
        <f t="shared" si="2593"/>
        <v/>
      </c>
      <c r="G1277" s="130" t="str">
        <f t="shared" si="2580"/>
        <v/>
      </c>
      <c r="H1277" s="34"/>
      <c r="I1277" s="34"/>
      <c r="J1277" s="65"/>
      <c r="K1277" s="130" t="str">
        <f t="shared" si="2581"/>
        <v/>
      </c>
      <c r="L1277" s="34"/>
      <c r="M1277" s="34"/>
      <c r="N1277" s="65"/>
      <c r="O1277" s="130" t="str">
        <f t="shared" si="2582"/>
        <v/>
      </c>
      <c r="P1277" s="34"/>
      <c r="Q1277" s="34"/>
      <c r="R1277" s="65"/>
      <c r="S1277" s="130" t="str">
        <f t="shared" si="2583"/>
        <v/>
      </c>
      <c r="T1277" s="34"/>
      <c r="U1277" s="34"/>
      <c r="V1277" s="65"/>
      <c r="W1277" s="130" t="str">
        <f t="shared" si="2584"/>
        <v/>
      </c>
      <c r="X1277" s="34"/>
      <c r="Y1277" s="34"/>
      <c r="Z1277" s="65"/>
      <c r="AA1277" s="130" t="str">
        <f t="shared" si="2585"/>
        <v/>
      </c>
      <c r="AB1277" s="34"/>
      <c r="AC1277" s="34"/>
      <c r="AD1277" s="65"/>
      <c r="AE1277" s="131">
        <f t="shared" si="2586"/>
        <v>0</v>
      </c>
      <c r="AF1277" s="132">
        <f t="shared" si="2510"/>
        <v>0</v>
      </c>
      <c r="AG1277" s="133">
        <f t="shared" si="2587"/>
        <v>0</v>
      </c>
      <c r="AH1277" s="76" t="str">
        <f t="shared" si="2588"/>
        <v/>
      </c>
      <c r="AI1277" s="132">
        <f> ( IF(ISNUMBER(G1277), VLOOKUP(G1277/$AH1277,F!$A1:$B101,2,1)*G1277*$H1277*$I1277,0)+IF(ISNUMBER(K1277), VLOOKUP(K1277/$AH1277,F!$A1:$B101,2,1)*K1277*$L1277*$M1277,0)+IF(ISNUMBER(O1277), VLOOKUP(O1277/$AH1277,F!$A1:$B101,2,1)*O1277*$P1277*$Q1277,0)+IF(ISNUMBER(S1277), VLOOKUP(S1277/$AH1277,F!$A1:$B101,2,1)*S1277*$T1277*$U1277,0)+IF(ISNUMBER(W1277), VLOOKUP(W1277/$AH1277,F!$A1:$B101,2,1)*W1277*$X1277*$Y1277,0)+IF(ISNUMBER(AA1277), VLOOKUP(AA1277/$AH1277,F!$A1:$B101,2,1)*AA1277*$AB1277*$AC1277,0))*IF(ISNUMBER(F1277),F1277,1)*IF(ISNUMBER(E1277),E1277,1)</f>
        <v>0</v>
      </c>
      <c r="AJ1277" s="34">
        <f t="shared" si="2589"/>
        <v>0</v>
      </c>
      <c r="AK1277" s="134">
        <f t="array" ref="AK1277">IFERROR(I1277*INDEX(F!$P$21:$AB$33, MATCH(G1277/$AH1277, F!$O$21:$O$33,1), MATCH(E1277, F!$P$20:$AB$20,1)), 0 ) +IFERROR( M1277*INDEX(F!$P$21:$AB$33, MATCH(K1277/$AH1277, F!$O$21:$O$33,1), MATCH(E1277, F!$P$20:$AB$20,1)),0) +  IFERROR( Q1277*INDEX(F!$P$21:$AB$33, MATCH(O1277/$AH1277, F!$O$21:$O$33,1), MATCH(E1277, F!$P$20:$AB$20,1)), 0) + IFERROR( U1277*INDEX(F!$P$21:$AB$33, MATCH(S1277/$AH1277, F!$O$21:$O$33,1), MATCH(E1277, F!$P$20:$AB$20,1)),0)  + IFERROR(Y1277*INDEX(F!$P$21:$AB$33, MATCH(W1277/$AH1277, F!$O$21:$O$33,1), MATCH(E1277, F!$P$20:$AB$20,1)),0)  + IFERROR( AC1277*INDEX(F!$P$21:$AB$33, MATCH(AA1277/$AH1277, F!$O$21:$O$33,1), MATCH(E1277, F!$P$20:$AB$20,1)),)</f>
        <v>0</v>
      </c>
      <c r="AL1277" s="59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</row>
    <row r="1278" ht="15.75" hidden="1" customHeight="1">
      <c r="A1278" s="59"/>
      <c r="B1278" s="135" t="str">
        <f t="shared" ref="B1278:F1278" si="2594">IF(B1222="","",B1222)</f>
        <v/>
      </c>
      <c r="C1278" s="136" t="str">
        <f t="shared" si="2594"/>
        <v/>
      </c>
      <c r="D1278" s="137" t="str">
        <f t="shared" si="2594"/>
        <v/>
      </c>
      <c r="E1278" s="48" t="str">
        <f t="shared" si="2594"/>
        <v/>
      </c>
      <c r="F1278" s="138" t="str">
        <f t="shared" si="2594"/>
        <v/>
      </c>
      <c r="G1278" s="139" t="str">
        <f t="shared" si="2580"/>
        <v/>
      </c>
      <c r="H1278" s="140"/>
      <c r="I1278" s="140"/>
      <c r="J1278" s="141"/>
      <c r="K1278" s="139" t="str">
        <f t="shared" si="2581"/>
        <v/>
      </c>
      <c r="L1278" s="140"/>
      <c r="M1278" s="140"/>
      <c r="N1278" s="141"/>
      <c r="O1278" s="139" t="str">
        <f t="shared" si="2582"/>
        <v/>
      </c>
      <c r="P1278" s="140"/>
      <c r="Q1278" s="140"/>
      <c r="R1278" s="141"/>
      <c r="S1278" s="139" t="str">
        <f t="shared" si="2583"/>
        <v/>
      </c>
      <c r="T1278" s="140"/>
      <c r="U1278" s="140"/>
      <c r="V1278" s="141"/>
      <c r="W1278" s="139" t="str">
        <f t="shared" si="2584"/>
        <v/>
      </c>
      <c r="X1278" s="140"/>
      <c r="Y1278" s="140"/>
      <c r="Z1278" s="141"/>
      <c r="AA1278" s="139" t="str">
        <f t="shared" si="2585"/>
        <v/>
      </c>
      <c r="AB1278" s="140"/>
      <c r="AC1278" s="140"/>
      <c r="AD1278" s="141"/>
      <c r="AE1278" s="142">
        <f t="shared" si="2586"/>
        <v>0</v>
      </c>
      <c r="AF1278" s="143">
        <f t="shared" si="2510"/>
        <v>0</v>
      </c>
      <c r="AG1278" s="144">
        <f t="shared" si="2587"/>
        <v>0</v>
      </c>
      <c r="AH1278" s="76" t="str">
        <f t="shared" si="2588"/>
        <v/>
      </c>
      <c r="AI1278" s="143">
        <f> ( IF(ISNUMBER(G1278), VLOOKUP(G1278/$AH1278,F!$A1:$B101,2,1)*G1278*$H1278*$I1278,0)+IF(ISNUMBER(K1278), VLOOKUP(K1278/$AH1278,F!$A1:$B101,2,1)*K1278*$L1278*$M1278,0)+IF(ISNUMBER(O1278), VLOOKUP(O1278/$AH1278,F!$A1:$B101,2,1)*O1278*$P1278*$Q1278,0)+IF(ISNUMBER(S1278), VLOOKUP(S1278/$AH1278,F!$A1:$B101,2,1)*S1278*$T1278*$U1278,0)+IF(ISNUMBER(W1278), VLOOKUP(W1278/$AH1278,F!$A1:$B101,2,1)*W1278*$X1278*$Y1278,0)+IF(ISNUMBER(AA1278), VLOOKUP(AA1278/$AH1278,F!$A1:$B101,2,1)*AA1278*$AB1278*$AC1278,0))*IF(ISNUMBER(F1278),F1278,1)*IF(ISNUMBER(E1278),E1278,1)</f>
        <v>0</v>
      </c>
      <c r="AJ1278" s="140">
        <f t="shared" si="2589"/>
        <v>0</v>
      </c>
      <c r="AK1278" s="145">
        <f t="array" ref="AK1278">IFERROR(I1278*INDEX(F!$P$21:$AB$33, MATCH(G1278/$AH1278, F!$O$21:$O$33,1), MATCH(E1278, F!$P$20:$AB$20,1)), 0 ) +IFERROR( M1278*INDEX(F!$P$21:$AB$33, MATCH(K1278/$AH1278, F!$O$21:$O$33,1), MATCH(E1278, F!$P$20:$AB$20,1)),0) +  IFERROR( Q1278*INDEX(F!$P$21:$AB$33, MATCH(O1278/$AH1278, F!$O$21:$O$33,1), MATCH(E1278, F!$P$20:$AB$20,1)), 0) + IFERROR( U1278*INDEX(F!$P$21:$AB$33, MATCH(S1278/$AH1278, F!$O$21:$O$33,1), MATCH(E1278, F!$P$20:$AB$20,1)),0)  + IFERROR(Y1278*INDEX(F!$P$21:$AB$33, MATCH(W1278/$AH1278, F!$O$21:$O$33,1), MATCH(E1278, F!$P$20:$AB$20,1)),0)  + IFERROR( AC1278*INDEX(F!$P$21:$AB$33, MATCH(AA1278/$AH1278, F!$O$21:$O$33,1), MATCH(E1278, F!$P$20:$AB$20,1)),)</f>
        <v>0</v>
      </c>
      <c r="AL1278" s="59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</row>
    <row r="1279" ht="15.75" hidden="1" customHeight="1">
      <c r="A1279" s="59"/>
      <c r="B1279" s="126" t="str">
        <f t="shared" ref="B1279:F1279" si="2595">IF(B1223="","",B1223)</f>
        <v/>
      </c>
      <c r="C1279" s="127" t="str">
        <f t="shared" si="2595"/>
        <v/>
      </c>
      <c r="D1279" s="128" t="str">
        <f t="shared" si="2595"/>
        <v/>
      </c>
      <c r="E1279" s="48" t="str">
        <f t="shared" si="2595"/>
        <v/>
      </c>
      <c r="F1279" s="129" t="str">
        <f t="shared" si="2595"/>
        <v/>
      </c>
      <c r="G1279" s="130" t="str">
        <f t="shared" si="2580"/>
        <v/>
      </c>
      <c r="H1279" s="34"/>
      <c r="I1279" s="34"/>
      <c r="J1279" s="65"/>
      <c r="K1279" s="130" t="str">
        <f t="shared" si="2581"/>
        <v/>
      </c>
      <c r="L1279" s="34"/>
      <c r="M1279" s="34"/>
      <c r="N1279" s="65"/>
      <c r="O1279" s="130" t="str">
        <f t="shared" si="2582"/>
        <v/>
      </c>
      <c r="P1279" s="34"/>
      <c r="Q1279" s="34"/>
      <c r="R1279" s="65"/>
      <c r="S1279" s="130" t="str">
        <f t="shared" si="2583"/>
        <v/>
      </c>
      <c r="T1279" s="34"/>
      <c r="U1279" s="34"/>
      <c r="V1279" s="65"/>
      <c r="W1279" s="130" t="str">
        <f t="shared" si="2584"/>
        <v/>
      </c>
      <c r="X1279" s="34"/>
      <c r="Y1279" s="34"/>
      <c r="Z1279" s="65"/>
      <c r="AA1279" s="130" t="str">
        <f t="shared" si="2585"/>
        <v/>
      </c>
      <c r="AB1279" s="34"/>
      <c r="AC1279" s="34"/>
      <c r="AD1279" s="65"/>
      <c r="AE1279" s="131">
        <f t="shared" si="2586"/>
        <v>0</v>
      </c>
      <c r="AF1279" s="132">
        <f t="shared" si="2510"/>
        <v>0</v>
      </c>
      <c r="AG1279" s="133">
        <f t="shared" si="2587"/>
        <v>0</v>
      </c>
      <c r="AH1279" s="76" t="str">
        <f t="shared" si="2588"/>
        <v/>
      </c>
      <c r="AI1279" s="132">
        <f> ( IF(ISNUMBER(G1279), VLOOKUP(G1279/$AH1279,F!$A1:$B101,2,1)*G1279*$H1279*$I1279,0)+IF(ISNUMBER(K1279), VLOOKUP(K1279/$AH1279,F!$A1:$B101,2,1)*K1279*$L1279*$M1279,0)+IF(ISNUMBER(O1279), VLOOKUP(O1279/$AH1279,F!$A1:$B101,2,1)*O1279*$P1279*$Q1279,0)+IF(ISNUMBER(S1279), VLOOKUP(S1279/$AH1279,F!$A1:$B101,2,1)*S1279*$T1279*$U1279,0)+IF(ISNUMBER(W1279), VLOOKUP(W1279/$AH1279,F!$A1:$B101,2,1)*W1279*$X1279*$Y1279,0)+IF(ISNUMBER(AA1279), VLOOKUP(AA1279/$AH1279,F!$A1:$B101,2,1)*AA1279*$AB1279*$AC1279,0))*IF(ISNUMBER(F1279),F1279,1)*IF(ISNUMBER(E1279),E1279,1)</f>
        <v>0</v>
      </c>
      <c r="AJ1279" s="34">
        <f t="shared" si="2589"/>
        <v>0</v>
      </c>
      <c r="AK1279" s="134">
        <f t="array" ref="AK1279">IFERROR(I1279*INDEX(F!$P$21:$AB$33, MATCH(G1279/$AH1279, F!$O$21:$O$33,1), MATCH(E1279, F!$P$20:$AB$20,1)), 0 ) +IFERROR( M1279*INDEX(F!$P$21:$AB$33, MATCH(K1279/$AH1279, F!$O$21:$O$33,1), MATCH(E1279, F!$P$20:$AB$20,1)),0) +  IFERROR( Q1279*INDEX(F!$P$21:$AB$33, MATCH(O1279/$AH1279, F!$O$21:$O$33,1), MATCH(E1279, F!$P$20:$AB$20,1)), 0) + IFERROR( U1279*INDEX(F!$P$21:$AB$33, MATCH(S1279/$AH1279, F!$O$21:$O$33,1), MATCH(E1279, F!$P$20:$AB$20,1)),0)  + IFERROR(Y1279*INDEX(F!$P$21:$AB$33, MATCH(W1279/$AH1279, F!$O$21:$O$33,1), MATCH(E1279, F!$P$20:$AB$20,1)),0)  + IFERROR( AC1279*INDEX(F!$P$21:$AB$33, MATCH(AA1279/$AH1279, F!$O$21:$O$33,1), MATCH(E1279, F!$P$20:$AB$20,1)),)</f>
        <v>0</v>
      </c>
      <c r="AL1279" s="59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</row>
    <row r="1280" ht="15.75" hidden="1" customHeight="1">
      <c r="A1280" s="98"/>
      <c r="B1280" s="150"/>
      <c r="C1280" s="151"/>
      <c r="D1280" s="152"/>
      <c r="E1280" s="102">
        <f>ROUND(IFERROR(SUMPRODUCT(AJ1272:AJ1279,E1272:E1279)/AJ1280,0),3)</f>
        <v>0</v>
      </c>
      <c r="F1280" s="153"/>
      <c r="G1280" s="154"/>
      <c r="H1280" s="155"/>
      <c r="I1280" s="155"/>
      <c r="J1280" s="156"/>
      <c r="K1280" s="154"/>
      <c r="L1280" s="155"/>
      <c r="M1280" s="155"/>
      <c r="N1280" s="156"/>
      <c r="O1280" s="154"/>
      <c r="P1280" s="155"/>
      <c r="Q1280" s="155"/>
      <c r="R1280" s="156"/>
      <c r="S1280" s="154"/>
      <c r="T1280" s="155"/>
      <c r="U1280" s="155"/>
      <c r="V1280" s="156"/>
      <c r="W1280" s="154"/>
      <c r="X1280" s="155"/>
      <c r="Y1280" s="155"/>
      <c r="Z1280" s="156"/>
      <c r="AA1280" s="154"/>
      <c r="AB1280" s="155"/>
      <c r="AC1280" s="155"/>
      <c r="AD1280" s="156"/>
      <c r="AE1280" s="107">
        <f>SUM(AE1272:AE1279)</f>
        <v>0</v>
      </c>
      <c r="AF1280" s="108">
        <f t="shared" si="2510"/>
        <v>0</v>
      </c>
      <c r="AG1280" s="109">
        <f>IFERROR(  SUMPRODUCT(AG1272:AG1279,AJ1272:AJ1279)/AJ1280,0)</f>
        <v>0</v>
      </c>
      <c r="AH1280" s="157"/>
      <c r="AI1280" s="111">
        <f t="shared" ref="AI1280:AJ1280" si="2596">SUM(AI1272:AI1279)</f>
        <v>0</v>
      </c>
      <c r="AJ1280" s="111">
        <f t="shared" si="2596"/>
        <v>0</v>
      </c>
      <c r="AK1280" s="112">
        <f>IF(SUM(AK1272:AK1279)=0,TIME(,0,),TIME(,SUM(AK1272:AK1279)+F!$V$37,))</f>
        <v>0</v>
      </c>
      <c r="AL1280" s="98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</row>
    <row r="1281" ht="15.75" hidden="1" customHeight="1">
      <c r="A1281" s="158">
        <f>A1282</f>
        <v>43941</v>
      </c>
      <c r="B1281" s="159" t="str">
        <f t="shared" ref="B1281:F1281" si="2597">IF(B1225="","",B1225)</f>
        <v/>
      </c>
      <c r="C1281" s="160" t="str">
        <f t="shared" si="2597"/>
        <v/>
      </c>
      <c r="D1281" s="161" t="str">
        <f t="shared" si="2597"/>
        <v/>
      </c>
      <c r="E1281" s="29" t="str">
        <f t="shared" si="2597"/>
        <v/>
      </c>
      <c r="F1281" s="162" t="str">
        <f t="shared" si="2597"/>
        <v/>
      </c>
      <c r="G1281" s="163" t="str">
        <f t="shared" ref="G1281:G1288" si="2599">IF(J1281&lt;&gt;0, IFERROR(IF( $F1281=2,  MROUND($AH1281*J1281,1),    IF( OR($F1281="",$F1281=1),   MROUND($AH1281*J1281,2.5),  MROUND($AH1281*J1281, 0.1))), "" ), "")</f>
        <v/>
      </c>
      <c r="H1281" s="164"/>
      <c r="I1281" s="164"/>
      <c r="J1281" s="165"/>
      <c r="K1281" s="163" t="str">
        <f t="shared" ref="K1281:K1288" si="2600">IF(N1281&lt;&gt;0, IFERROR(IF( $F1281=2,  MROUND($AH1281*N1281,1),    IF( OR($F1281="",$F1281=1),   MROUND($AH1281*N1281,2.5),  MROUND($AH1281*N1281, 0.1))), "" ), "")</f>
        <v/>
      </c>
      <c r="L1281" s="164"/>
      <c r="M1281" s="164"/>
      <c r="N1281" s="165"/>
      <c r="O1281" s="163" t="str">
        <f t="shared" ref="O1281:O1288" si="2601">IF(R1281&lt;&gt;0, IFERROR(IF( $F1281=2,  MROUND($AH1281*R1281,1),    IF( OR($F1281="",$F1281=1),   MROUND($AH1281*R1281,2.5),  MROUND($AH1281*R1281, 0.1))), "" ), "")</f>
        <v/>
      </c>
      <c r="P1281" s="164"/>
      <c r="Q1281" s="164"/>
      <c r="R1281" s="165"/>
      <c r="S1281" s="163" t="str">
        <f t="shared" ref="S1281:S1288" si="2602">IF(V1281&lt;&gt;0, IFERROR(IF( $F1281=2,  MROUND($AH1281*V1281,1),    IF( OR($F1281="",$F1281=1),   MROUND($AH1281*V1281,2.5),  MROUND($AH1281*V1281, 0.1))), "" ), "")</f>
        <v/>
      </c>
      <c r="T1281" s="164"/>
      <c r="U1281" s="164"/>
      <c r="V1281" s="165"/>
      <c r="W1281" s="163" t="str">
        <f t="shared" ref="W1281:W1288" si="2603">IF(Z1281&lt;&gt;0, IFERROR(IF( $F1281=2,  MROUND($AH1281*Z1281,1),    IF( OR($F1281="",$F1281=1),   MROUND($AH1281*Z1281,2.5),  MROUND($AH1281*Z1281, 0.1))), "" ), "")</f>
        <v/>
      </c>
      <c r="X1281" s="164"/>
      <c r="Y1281" s="164"/>
      <c r="Z1281" s="165"/>
      <c r="AA1281" s="163" t="str">
        <f t="shared" ref="AA1281:AA1288" si="2604">IF(AD1281&lt;&gt;0, IFERROR(IF( $F1281=2,  MROUND($AH1281*AD1281,1),    IF( OR($F1281="",$F1281=1),   MROUND($AH1281*AD1281,2.5),  MROUND($AH1281*AD1281, 0.1))), "" ), "")</f>
        <v/>
      </c>
      <c r="AB1281" s="164"/>
      <c r="AC1281" s="164"/>
      <c r="AD1281" s="165"/>
      <c r="AE1281" s="166">
        <f t="shared" ref="AE1281:AE1288" si="2605">(IF(ISNUMBER(G1281),G1281,0)*H1281*I1281+IF(ISNUMBER(K1281),K1281,1)*L1281*M1281+IF(ISNUMBER(O1281),O1281,1)*P1281*Q1281+IF(ISNUMBER(S1281),S1281,1)*T1281*U1281+IF(ISNUMBER(W1281),W1281,1)*X1281*Y1281+IF(ISNUMBER(AA1281),AA1281,1)*AB1281*AC1281)*IF(ISNUMBER(F1281),F1281,1)</f>
        <v>0</v>
      </c>
      <c r="AF1281" s="167">
        <f t="shared" si="2510"/>
        <v>0</v>
      </c>
      <c r="AG1281" s="168">
        <f t="shared" ref="AG1281:AG1288" si="2606">IFERROR((AF1281/(AH1281*IF(ISNUMBER(F1281),F1281,1))),0)</f>
        <v>0</v>
      </c>
      <c r="AH1281" s="169" t="str">
        <f t="shared" ref="AH1281:AH1288" si="2607">IF(ISNUMBER(AH1225), AH1225+(AH1225*$AH$1234),"")</f>
        <v/>
      </c>
      <c r="AI1281" s="167">
        <f> ( IF(ISNUMBER(G1281), VLOOKUP(G1281/$AH1281,F!$A1:$B101,2,1)*G1281*$H1281*$I1281,0)+IF(ISNUMBER(K1281), VLOOKUP(K1281/$AH1281,F!$A1:$B101,2,1)*K1281*$L1281*$M1281,0)+IF(ISNUMBER(O1281), VLOOKUP(O1281/$AH1281,F!$A1:$B101,2,1)*O1281*$P1281*$Q1281,0)+IF(ISNUMBER(S1281), VLOOKUP(S1281/$AH1281,F!$A1:$B101,2,1)*S1281*$T1281*$U1281,0)+IF(ISNUMBER(W1281), VLOOKUP(W1281/$AH1281,F!$A1:$B101,2,1)*W1281*$X1281*$Y1281,0)+IF(ISNUMBER(AA1281), VLOOKUP(AA1281/$AH1281,F!$A1:$B101,2,1)*AA1281*$AB1281*$AC1281,0))*IF(ISNUMBER(F1281),F1281,1)*IF(ISNUMBER(E1281),E1281,1)</f>
        <v>0</v>
      </c>
      <c r="AJ1281" s="164">
        <f t="shared" ref="AJ1281:AJ1288" si="2608">H1281*I1281+L1281*M1281+P1281*Q1281+T1281*U1281+X1281*Y1281+AB1281*AC1281</f>
        <v>0</v>
      </c>
      <c r="AK1281" s="170">
        <f t="array" ref="AK1281">IFERROR(I1281*INDEX(F!$P$21:$AB$33, MATCH(G1281/$AH1281, F!$O$21:$O$33,1), MATCH(E1281, F!$P$20:$AB$20,1)), 0 ) +IFERROR( M1281*INDEX(F!$P$21:$AB$33, MATCH(K1281/$AH1281, F!$O$21:$O$33,1), MATCH(E1281, F!$P$20:$AB$20,1)),0) +  IFERROR( Q1281*INDEX(F!$P$21:$AB$33, MATCH(O1281/$AH1281, F!$O$21:$O$33,1), MATCH(E1281, F!$P$20:$AB$20,1)), 0) + IFERROR( U1281*INDEX(F!$P$21:$AB$33, MATCH(S1281/$AH1281, F!$O$21:$O$33,1), MATCH(E1281, F!$P$20:$AB$20,1)),0)  + IFERROR(Y1281*INDEX(F!$P$21:$AB$33, MATCH(W1281/$AH1281, F!$O$21:$O$33,1), MATCH(E1281, F!$P$20:$AB$20,1)),0)  + IFERROR( AC1281*INDEX(F!$P$21:$AB$33, MATCH(AA1281/$AH1281, F!$O$21:$O$33,1), MATCH(E1281, F!$P$20:$AB$20,1)),)</f>
        <v>0</v>
      </c>
      <c r="AL1281" s="42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</row>
    <row r="1282" ht="15.75" hidden="1" customHeight="1">
      <c r="A1282" s="44">
        <f>A1226+A1178</f>
        <v>43941</v>
      </c>
      <c r="B1282" s="135" t="str">
        <f t="shared" ref="B1282:F1282" si="2598">IF(B1226="","",B1226)</f>
        <v/>
      </c>
      <c r="C1282" s="136" t="str">
        <f t="shared" si="2598"/>
        <v/>
      </c>
      <c r="D1282" s="137" t="str">
        <f t="shared" si="2598"/>
        <v/>
      </c>
      <c r="E1282" s="48" t="str">
        <f t="shared" si="2598"/>
        <v/>
      </c>
      <c r="F1282" s="138" t="str">
        <f t="shared" si="2598"/>
        <v/>
      </c>
      <c r="G1282" s="139" t="str">
        <f t="shared" si="2599"/>
        <v/>
      </c>
      <c r="H1282" s="140"/>
      <c r="I1282" s="140"/>
      <c r="J1282" s="141"/>
      <c r="K1282" s="139" t="str">
        <f t="shared" si="2600"/>
        <v/>
      </c>
      <c r="L1282" s="140"/>
      <c r="M1282" s="140"/>
      <c r="N1282" s="141"/>
      <c r="O1282" s="139" t="str">
        <f t="shared" si="2601"/>
        <v/>
      </c>
      <c r="P1282" s="140"/>
      <c r="Q1282" s="140"/>
      <c r="R1282" s="141"/>
      <c r="S1282" s="139" t="str">
        <f t="shared" si="2602"/>
        <v/>
      </c>
      <c r="T1282" s="140"/>
      <c r="U1282" s="140"/>
      <c r="V1282" s="141"/>
      <c r="W1282" s="139" t="str">
        <f t="shared" si="2603"/>
        <v/>
      </c>
      <c r="X1282" s="140"/>
      <c r="Y1282" s="140"/>
      <c r="Z1282" s="141"/>
      <c r="AA1282" s="139" t="str">
        <f t="shared" si="2604"/>
        <v/>
      </c>
      <c r="AB1282" s="140"/>
      <c r="AC1282" s="140"/>
      <c r="AD1282" s="141"/>
      <c r="AE1282" s="142">
        <f t="shared" si="2605"/>
        <v>0</v>
      </c>
      <c r="AF1282" s="143">
        <f t="shared" si="2510"/>
        <v>0</v>
      </c>
      <c r="AG1282" s="144">
        <f t="shared" si="2606"/>
        <v>0</v>
      </c>
      <c r="AH1282" s="76" t="str">
        <f t="shared" si="2607"/>
        <v/>
      </c>
      <c r="AI1282" s="143">
        <f> ( IF(ISNUMBER(G1282), VLOOKUP(G1282/$AH1282,F!$A1:$B101,2,1)*G1282*$H1282*$I1282,0)+IF(ISNUMBER(K1282), VLOOKUP(K1282/$AH1282,F!$A1:$B101,2,1)*K1282*$L1282*$M1282,0)+IF(ISNUMBER(O1282), VLOOKUP(O1282/$AH1282,F!$A1:$B101,2,1)*O1282*$P1282*$Q1282,0)+IF(ISNUMBER(S1282), VLOOKUP(S1282/$AH1282,F!$A1:$B101,2,1)*S1282*$T1282*$U1282,0)+IF(ISNUMBER(W1282), VLOOKUP(W1282/$AH1282,F!$A1:$B101,2,1)*W1282*$X1282*$Y1282,0)+IF(ISNUMBER(AA1282), VLOOKUP(AA1282/$AH1282,F!$A1:$B101,2,1)*AA1282*$AB1282*$AC1282,0))*IF(ISNUMBER(F1282),F1282,1)*IF(ISNUMBER(E1282),E1282,1)</f>
        <v>0</v>
      </c>
      <c r="AJ1282" s="140">
        <f t="shared" si="2608"/>
        <v>0</v>
      </c>
      <c r="AK1282" s="145">
        <f t="array" ref="AK1282">IFERROR(I1282*INDEX(F!$P$21:$AB$33, MATCH(G1282/$AH1282, F!$O$21:$O$33,1), MATCH(E1282, F!$P$20:$AB$20,1)), 0 ) +IFERROR( M1282*INDEX(F!$P$21:$AB$33, MATCH(K1282/$AH1282, F!$O$21:$O$33,1), MATCH(E1282, F!$P$20:$AB$20,1)),0) +  IFERROR( Q1282*INDEX(F!$P$21:$AB$33, MATCH(O1282/$AH1282, F!$O$21:$O$33,1), MATCH(E1282, F!$P$20:$AB$20,1)), 0) + IFERROR( U1282*INDEX(F!$P$21:$AB$33, MATCH(S1282/$AH1282, F!$O$21:$O$33,1), MATCH(E1282, F!$P$20:$AB$20,1)),0)  + IFERROR(Y1282*INDEX(F!$P$21:$AB$33, MATCH(W1282/$AH1282, F!$O$21:$O$33,1), MATCH(E1282, F!$P$20:$AB$20,1)),0)  + IFERROR( AC1282*INDEX(F!$P$21:$AB$33, MATCH(AA1282/$AH1282, F!$O$21:$O$33,1), MATCH(E1282, F!$P$20:$AB$20,1)),)</f>
        <v>0</v>
      </c>
      <c r="AL1282" s="59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</row>
    <row r="1283" ht="15.75" hidden="1" customHeight="1">
      <c r="A1283" s="59"/>
      <c r="B1283" s="173" t="str">
        <f t="shared" ref="B1283:F1283" si="2609">IF(B1227="","",B1227)</f>
        <v/>
      </c>
      <c r="C1283" s="174" t="str">
        <f t="shared" si="2609"/>
        <v/>
      </c>
      <c r="D1283" s="175" t="str">
        <f t="shared" si="2609"/>
        <v/>
      </c>
      <c r="E1283" s="48" t="str">
        <f t="shared" si="2609"/>
        <v/>
      </c>
      <c r="F1283" s="176" t="str">
        <f t="shared" si="2609"/>
        <v/>
      </c>
      <c r="G1283" s="177" t="str">
        <f t="shared" si="2599"/>
        <v/>
      </c>
      <c r="H1283" s="178"/>
      <c r="I1283" s="178"/>
      <c r="J1283" s="179"/>
      <c r="K1283" s="177" t="str">
        <f t="shared" si="2600"/>
        <v/>
      </c>
      <c r="L1283" s="178"/>
      <c r="M1283" s="178"/>
      <c r="N1283" s="179"/>
      <c r="O1283" s="177" t="str">
        <f t="shared" si="2601"/>
        <v/>
      </c>
      <c r="P1283" s="178"/>
      <c r="Q1283" s="178"/>
      <c r="R1283" s="179"/>
      <c r="S1283" s="177" t="str">
        <f t="shared" si="2602"/>
        <v/>
      </c>
      <c r="T1283" s="178"/>
      <c r="U1283" s="178"/>
      <c r="V1283" s="179"/>
      <c r="W1283" s="177" t="str">
        <f t="shared" si="2603"/>
        <v/>
      </c>
      <c r="X1283" s="178"/>
      <c r="Y1283" s="178"/>
      <c r="Z1283" s="179"/>
      <c r="AA1283" s="177" t="str">
        <f t="shared" si="2604"/>
        <v/>
      </c>
      <c r="AB1283" s="178"/>
      <c r="AC1283" s="178"/>
      <c r="AD1283" s="179"/>
      <c r="AE1283" s="180">
        <f t="shared" si="2605"/>
        <v>0</v>
      </c>
      <c r="AF1283" s="181">
        <f t="shared" si="2510"/>
        <v>0</v>
      </c>
      <c r="AG1283" s="182">
        <f t="shared" si="2606"/>
        <v>0</v>
      </c>
      <c r="AH1283" s="76" t="str">
        <f t="shared" si="2607"/>
        <v/>
      </c>
      <c r="AI1283" s="181">
        <f> ( IF(ISNUMBER(G1283), VLOOKUP(G1283/$AH1283,F!$A1:$B101,2,1)*G1283*$H1283*$I1283,0)+IF(ISNUMBER(K1283), VLOOKUP(K1283/$AH1283,F!$A1:$B101,2,1)*K1283*$L1283*$M1283,0)+IF(ISNUMBER(O1283), VLOOKUP(O1283/$AH1283,F!$A1:$B101,2,1)*O1283*$P1283*$Q1283,0)+IF(ISNUMBER(S1283), VLOOKUP(S1283/$AH1283,F!$A1:$B101,2,1)*S1283*$T1283*$U1283,0)+IF(ISNUMBER(W1283), VLOOKUP(W1283/$AH1283,F!$A1:$B101,2,1)*W1283*$X1283*$Y1283,0)+IF(ISNUMBER(AA1283), VLOOKUP(AA1283/$AH1283,F!$A1:$B101,2,1)*AA1283*$AB1283*$AC1283,0))*IF(ISNUMBER(F1283),F1283,1)*IF(ISNUMBER(E1283),E1283,1)</f>
        <v>0</v>
      </c>
      <c r="AJ1283" s="178">
        <f t="shared" si="2608"/>
        <v>0</v>
      </c>
      <c r="AK1283" s="183">
        <f t="array" ref="AK1283">IFERROR(I1283*INDEX(F!$P$21:$AB$33, MATCH(G1283/$AH1283, F!$O$21:$O$33,1), MATCH(E1283, F!$P$20:$AB$20,1)), 0 ) +IFERROR( M1283*INDEX(F!$P$21:$AB$33, MATCH(K1283/$AH1283, F!$O$21:$O$33,1), MATCH(E1283, F!$P$20:$AB$20,1)),0) +  IFERROR( Q1283*INDEX(F!$P$21:$AB$33, MATCH(O1283/$AH1283, F!$O$21:$O$33,1), MATCH(E1283, F!$P$20:$AB$20,1)), 0) + IFERROR( U1283*INDEX(F!$P$21:$AB$33, MATCH(S1283/$AH1283, F!$O$21:$O$33,1), MATCH(E1283, F!$P$20:$AB$20,1)),0)  + IFERROR(Y1283*INDEX(F!$P$21:$AB$33, MATCH(W1283/$AH1283, F!$O$21:$O$33,1), MATCH(E1283, F!$P$20:$AB$20,1)),0)  + IFERROR( AC1283*INDEX(F!$P$21:$AB$33, MATCH(AA1283/$AH1283, F!$O$21:$O$33,1), MATCH(E1283, F!$P$20:$AB$20,1)),)</f>
        <v>0</v>
      </c>
      <c r="AL1283" s="59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</row>
    <row r="1284" ht="15.75" hidden="1" customHeight="1">
      <c r="A1284" s="59"/>
      <c r="B1284" s="135" t="str">
        <f t="shared" ref="B1284:F1284" si="2610">IF(B1228="","",B1228)</f>
        <v/>
      </c>
      <c r="C1284" s="136" t="str">
        <f t="shared" si="2610"/>
        <v/>
      </c>
      <c r="D1284" s="137" t="str">
        <f t="shared" si="2610"/>
        <v/>
      </c>
      <c r="E1284" s="48" t="str">
        <f t="shared" si="2610"/>
        <v/>
      </c>
      <c r="F1284" s="138" t="str">
        <f t="shared" si="2610"/>
        <v/>
      </c>
      <c r="G1284" s="139" t="str">
        <f t="shared" si="2599"/>
        <v/>
      </c>
      <c r="H1284" s="140"/>
      <c r="I1284" s="140"/>
      <c r="J1284" s="141"/>
      <c r="K1284" s="139" t="str">
        <f t="shared" si="2600"/>
        <v/>
      </c>
      <c r="L1284" s="140"/>
      <c r="M1284" s="140"/>
      <c r="N1284" s="141"/>
      <c r="O1284" s="139" t="str">
        <f t="shared" si="2601"/>
        <v/>
      </c>
      <c r="P1284" s="140"/>
      <c r="Q1284" s="140"/>
      <c r="R1284" s="141"/>
      <c r="S1284" s="139" t="str">
        <f t="shared" si="2602"/>
        <v/>
      </c>
      <c r="T1284" s="140"/>
      <c r="U1284" s="140"/>
      <c r="V1284" s="141"/>
      <c r="W1284" s="139" t="str">
        <f t="shared" si="2603"/>
        <v/>
      </c>
      <c r="X1284" s="140"/>
      <c r="Y1284" s="140"/>
      <c r="Z1284" s="141"/>
      <c r="AA1284" s="139" t="str">
        <f t="shared" si="2604"/>
        <v/>
      </c>
      <c r="AB1284" s="140"/>
      <c r="AC1284" s="140"/>
      <c r="AD1284" s="141"/>
      <c r="AE1284" s="142">
        <f t="shared" si="2605"/>
        <v>0</v>
      </c>
      <c r="AF1284" s="143">
        <f t="shared" si="2510"/>
        <v>0</v>
      </c>
      <c r="AG1284" s="144">
        <f t="shared" si="2606"/>
        <v>0</v>
      </c>
      <c r="AH1284" s="76" t="str">
        <f t="shared" si="2607"/>
        <v/>
      </c>
      <c r="AI1284" s="143">
        <f> ( IF(ISNUMBER(G1284), VLOOKUP(G1284/$AH1284,F!$A1:$B101,2,1)*G1284*$H1284*$I1284,0)+IF(ISNUMBER(K1284), VLOOKUP(K1284/$AH1284,F!$A1:$B101,2,1)*K1284*$L1284*$M1284,0)+IF(ISNUMBER(O1284), VLOOKUP(O1284/$AH1284,F!$A1:$B101,2,1)*O1284*$P1284*$Q1284,0)+IF(ISNUMBER(S1284), VLOOKUP(S1284/$AH1284,F!$A1:$B101,2,1)*S1284*$T1284*$U1284,0)+IF(ISNUMBER(W1284), VLOOKUP(W1284/$AH1284,F!$A1:$B101,2,1)*W1284*$X1284*$Y1284,0)+IF(ISNUMBER(AA1284), VLOOKUP(AA1284/$AH1284,F!$A1:$B101,2,1)*AA1284*$AB1284*$AC1284,0))*IF(ISNUMBER(F1284),F1284,1)*IF(ISNUMBER(E1284),E1284,1)</f>
        <v>0</v>
      </c>
      <c r="AJ1284" s="140">
        <f t="shared" si="2608"/>
        <v>0</v>
      </c>
      <c r="AK1284" s="145">
        <f t="array" ref="AK1284">IFERROR(I1284*INDEX(F!$P$21:$AB$33, MATCH(G1284/$AH1284, F!$O$21:$O$33,1), MATCH(E1284, F!$P$20:$AB$20,1)), 0 ) +IFERROR( M1284*INDEX(F!$P$21:$AB$33, MATCH(K1284/$AH1284, F!$O$21:$O$33,1), MATCH(E1284, F!$P$20:$AB$20,1)),0) +  IFERROR( Q1284*INDEX(F!$P$21:$AB$33, MATCH(O1284/$AH1284, F!$O$21:$O$33,1), MATCH(E1284, F!$P$20:$AB$20,1)), 0) + IFERROR( U1284*INDEX(F!$P$21:$AB$33, MATCH(S1284/$AH1284, F!$O$21:$O$33,1), MATCH(E1284, F!$P$20:$AB$20,1)),0)  + IFERROR(Y1284*INDEX(F!$P$21:$AB$33, MATCH(W1284/$AH1284, F!$O$21:$O$33,1), MATCH(E1284, F!$P$20:$AB$20,1)),0)  + IFERROR( AC1284*INDEX(F!$P$21:$AB$33, MATCH(AA1284/$AH1284, F!$O$21:$O$33,1), MATCH(E1284, F!$P$20:$AB$20,1)),)</f>
        <v>0</v>
      </c>
      <c r="AL1284" s="59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</row>
    <row r="1285" ht="15.75" hidden="1" customHeight="1">
      <c r="A1285" s="59"/>
      <c r="B1285" s="173" t="str">
        <f t="shared" ref="B1285:F1285" si="2611">IF(B1229="","",B1229)</f>
        <v/>
      </c>
      <c r="C1285" s="174" t="str">
        <f t="shared" si="2611"/>
        <v/>
      </c>
      <c r="D1285" s="175" t="str">
        <f t="shared" si="2611"/>
        <v/>
      </c>
      <c r="E1285" s="48" t="str">
        <f t="shared" si="2611"/>
        <v/>
      </c>
      <c r="F1285" s="176" t="str">
        <f t="shared" si="2611"/>
        <v/>
      </c>
      <c r="G1285" s="177" t="str">
        <f t="shared" si="2599"/>
        <v/>
      </c>
      <c r="H1285" s="178"/>
      <c r="I1285" s="178"/>
      <c r="J1285" s="179"/>
      <c r="K1285" s="177" t="str">
        <f t="shared" si="2600"/>
        <v/>
      </c>
      <c r="L1285" s="178"/>
      <c r="M1285" s="178"/>
      <c r="N1285" s="179"/>
      <c r="O1285" s="177" t="str">
        <f t="shared" si="2601"/>
        <v/>
      </c>
      <c r="P1285" s="178"/>
      <c r="Q1285" s="178"/>
      <c r="R1285" s="179"/>
      <c r="S1285" s="177" t="str">
        <f t="shared" si="2602"/>
        <v/>
      </c>
      <c r="T1285" s="178"/>
      <c r="U1285" s="178"/>
      <c r="V1285" s="179"/>
      <c r="W1285" s="177" t="str">
        <f t="shared" si="2603"/>
        <v/>
      </c>
      <c r="X1285" s="178"/>
      <c r="Y1285" s="178"/>
      <c r="Z1285" s="179"/>
      <c r="AA1285" s="177" t="str">
        <f t="shared" si="2604"/>
        <v/>
      </c>
      <c r="AB1285" s="178"/>
      <c r="AC1285" s="178"/>
      <c r="AD1285" s="179"/>
      <c r="AE1285" s="180">
        <f t="shared" si="2605"/>
        <v>0</v>
      </c>
      <c r="AF1285" s="181">
        <f t="shared" si="2510"/>
        <v>0</v>
      </c>
      <c r="AG1285" s="182">
        <f t="shared" si="2606"/>
        <v>0</v>
      </c>
      <c r="AH1285" s="76" t="str">
        <f t="shared" si="2607"/>
        <v/>
      </c>
      <c r="AI1285" s="181">
        <f> ( IF(ISNUMBER(G1285), VLOOKUP(G1285/$AH1285,F!$A1:$B101,2,1)*G1285*$H1285*$I1285,0)+IF(ISNUMBER(K1285), VLOOKUP(K1285/$AH1285,F!$A1:$B101,2,1)*K1285*$L1285*$M1285,0)+IF(ISNUMBER(O1285), VLOOKUP(O1285/$AH1285,F!$A1:$B101,2,1)*O1285*$P1285*$Q1285,0)+IF(ISNUMBER(S1285), VLOOKUP(S1285/$AH1285,F!$A1:$B101,2,1)*S1285*$T1285*$U1285,0)+IF(ISNUMBER(W1285), VLOOKUP(W1285/$AH1285,F!$A1:$B101,2,1)*W1285*$X1285*$Y1285,0)+IF(ISNUMBER(AA1285), VLOOKUP(AA1285/$AH1285,F!$A1:$B101,2,1)*AA1285*$AB1285*$AC1285,0))*IF(ISNUMBER(F1285),F1285,1)*IF(ISNUMBER(E1285),E1285,1)</f>
        <v>0</v>
      </c>
      <c r="AJ1285" s="178">
        <f t="shared" si="2608"/>
        <v>0</v>
      </c>
      <c r="AK1285" s="183">
        <f t="array" ref="AK1285">IFERROR(I1285*INDEX(F!$P$21:$AB$33, MATCH(G1285/$AH1285, F!$O$21:$O$33,1), MATCH(E1285, F!$P$20:$AB$20,1)), 0 ) +IFERROR( M1285*INDEX(F!$P$21:$AB$33, MATCH(K1285/$AH1285, F!$O$21:$O$33,1), MATCH(E1285, F!$P$20:$AB$20,1)),0) +  IFERROR( Q1285*INDEX(F!$P$21:$AB$33, MATCH(O1285/$AH1285, F!$O$21:$O$33,1), MATCH(E1285, F!$P$20:$AB$20,1)), 0) + IFERROR( U1285*INDEX(F!$P$21:$AB$33, MATCH(S1285/$AH1285, F!$O$21:$O$33,1), MATCH(E1285, F!$P$20:$AB$20,1)),0)  + IFERROR(Y1285*INDEX(F!$P$21:$AB$33, MATCH(W1285/$AH1285, F!$O$21:$O$33,1), MATCH(E1285, F!$P$20:$AB$20,1)),0)  + IFERROR( AC1285*INDEX(F!$P$21:$AB$33, MATCH(AA1285/$AH1285, F!$O$21:$O$33,1), MATCH(E1285, F!$P$20:$AB$20,1)),)</f>
        <v>0</v>
      </c>
      <c r="AL1285" s="59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</row>
    <row r="1286" ht="15.75" hidden="1" customHeight="1">
      <c r="A1286" s="59"/>
      <c r="B1286" s="135" t="str">
        <f t="shared" ref="B1286:F1286" si="2612">IF(B1230="","",B1230)</f>
        <v/>
      </c>
      <c r="C1286" s="136" t="str">
        <f t="shared" si="2612"/>
        <v/>
      </c>
      <c r="D1286" s="137" t="str">
        <f t="shared" si="2612"/>
        <v/>
      </c>
      <c r="E1286" s="48" t="str">
        <f t="shared" si="2612"/>
        <v/>
      </c>
      <c r="F1286" s="138" t="str">
        <f t="shared" si="2612"/>
        <v/>
      </c>
      <c r="G1286" s="139" t="str">
        <f t="shared" si="2599"/>
        <v/>
      </c>
      <c r="H1286" s="140"/>
      <c r="I1286" s="140"/>
      <c r="J1286" s="141"/>
      <c r="K1286" s="139" t="str">
        <f t="shared" si="2600"/>
        <v/>
      </c>
      <c r="L1286" s="140"/>
      <c r="M1286" s="140"/>
      <c r="N1286" s="141"/>
      <c r="O1286" s="139" t="str">
        <f t="shared" si="2601"/>
        <v/>
      </c>
      <c r="P1286" s="140"/>
      <c r="Q1286" s="140"/>
      <c r="R1286" s="141"/>
      <c r="S1286" s="139" t="str">
        <f t="shared" si="2602"/>
        <v/>
      </c>
      <c r="T1286" s="140"/>
      <c r="U1286" s="140"/>
      <c r="V1286" s="141"/>
      <c r="W1286" s="139" t="str">
        <f t="shared" si="2603"/>
        <v/>
      </c>
      <c r="X1286" s="140"/>
      <c r="Y1286" s="140"/>
      <c r="Z1286" s="141"/>
      <c r="AA1286" s="139" t="str">
        <f t="shared" si="2604"/>
        <v/>
      </c>
      <c r="AB1286" s="140"/>
      <c r="AC1286" s="140"/>
      <c r="AD1286" s="141"/>
      <c r="AE1286" s="142">
        <f t="shared" si="2605"/>
        <v>0</v>
      </c>
      <c r="AF1286" s="143">
        <f t="shared" si="2510"/>
        <v>0</v>
      </c>
      <c r="AG1286" s="144">
        <f t="shared" si="2606"/>
        <v>0</v>
      </c>
      <c r="AH1286" s="76" t="str">
        <f t="shared" si="2607"/>
        <v/>
      </c>
      <c r="AI1286" s="143">
        <f> ( IF(ISNUMBER(G1286), VLOOKUP(G1286/$AH1286,F!$A1:$B101,2,1)*G1286*$H1286*$I1286,0)+IF(ISNUMBER(K1286), VLOOKUP(K1286/$AH1286,F!$A1:$B101,2,1)*K1286*$L1286*$M1286,0)+IF(ISNUMBER(O1286), VLOOKUP(O1286/$AH1286,F!$A1:$B101,2,1)*O1286*$P1286*$Q1286,0)+IF(ISNUMBER(S1286), VLOOKUP(S1286/$AH1286,F!$A1:$B101,2,1)*S1286*$T1286*$U1286,0)+IF(ISNUMBER(W1286), VLOOKUP(W1286/$AH1286,F!$A1:$B101,2,1)*W1286*$X1286*$Y1286,0)+IF(ISNUMBER(AA1286), VLOOKUP(AA1286/$AH1286,F!$A1:$B101,2,1)*AA1286*$AB1286*$AC1286,0))*IF(ISNUMBER(F1286),F1286,1)*IF(ISNUMBER(E1286),E1286,1)</f>
        <v>0</v>
      </c>
      <c r="AJ1286" s="140">
        <f t="shared" si="2608"/>
        <v>0</v>
      </c>
      <c r="AK1286" s="145">
        <f t="array" ref="AK1286">IFERROR(I1286*INDEX(F!$P$21:$AB$33, MATCH(G1286/$AH1286, F!$O$21:$O$33,1), MATCH(E1286, F!$P$20:$AB$20,1)), 0 ) +IFERROR( M1286*INDEX(F!$P$21:$AB$33, MATCH(K1286/$AH1286, F!$O$21:$O$33,1), MATCH(E1286, F!$P$20:$AB$20,1)),0) +  IFERROR( Q1286*INDEX(F!$P$21:$AB$33, MATCH(O1286/$AH1286, F!$O$21:$O$33,1), MATCH(E1286, F!$P$20:$AB$20,1)), 0) + IFERROR( U1286*INDEX(F!$P$21:$AB$33, MATCH(S1286/$AH1286, F!$O$21:$O$33,1), MATCH(E1286, F!$P$20:$AB$20,1)),0)  + IFERROR(Y1286*INDEX(F!$P$21:$AB$33, MATCH(W1286/$AH1286, F!$O$21:$O$33,1), MATCH(E1286, F!$P$20:$AB$20,1)),0)  + IFERROR( AC1286*INDEX(F!$P$21:$AB$33, MATCH(AA1286/$AH1286, F!$O$21:$O$33,1), MATCH(E1286, F!$P$20:$AB$20,1)),)</f>
        <v>0</v>
      </c>
      <c r="AL1286" s="59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</row>
    <row r="1287" ht="15.75" hidden="1" customHeight="1">
      <c r="A1287" s="59"/>
      <c r="B1287" s="173" t="str">
        <f t="shared" ref="B1287:F1287" si="2613">IF(B1231="","",B1231)</f>
        <v/>
      </c>
      <c r="C1287" s="174" t="str">
        <f t="shared" si="2613"/>
        <v/>
      </c>
      <c r="D1287" s="175" t="str">
        <f t="shared" si="2613"/>
        <v/>
      </c>
      <c r="E1287" s="48" t="str">
        <f t="shared" si="2613"/>
        <v/>
      </c>
      <c r="F1287" s="176" t="str">
        <f t="shared" si="2613"/>
        <v/>
      </c>
      <c r="G1287" s="177" t="str">
        <f t="shared" si="2599"/>
        <v/>
      </c>
      <c r="H1287" s="178"/>
      <c r="I1287" s="178"/>
      <c r="J1287" s="179"/>
      <c r="K1287" s="177" t="str">
        <f t="shared" si="2600"/>
        <v/>
      </c>
      <c r="L1287" s="178"/>
      <c r="M1287" s="178"/>
      <c r="N1287" s="179"/>
      <c r="O1287" s="177" t="str">
        <f t="shared" si="2601"/>
        <v/>
      </c>
      <c r="P1287" s="178"/>
      <c r="Q1287" s="178"/>
      <c r="R1287" s="179"/>
      <c r="S1287" s="177" t="str">
        <f t="shared" si="2602"/>
        <v/>
      </c>
      <c r="T1287" s="178"/>
      <c r="U1287" s="178"/>
      <c r="V1287" s="179"/>
      <c r="W1287" s="177" t="str">
        <f t="shared" si="2603"/>
        <v/>
      </c>
      <c r="X1287" s="178"/>
      <c r="Y1287" s="178"/>
      <c r="Z1287" s="179"/>
      <c r="AA1287" s="177" t="str">
        <f t="shared" si="2604"/>
        <v/>
      </c>
      <c r="AB1287" s="178"/>
      <c r="AC1287" s="178"/>
      <c r="AD1287" s="179"/>
      <c r="AE1287" s="180">
        <f t="shared" si="2605"/>
        <v>0</v>
      </c>
      <c r="AF1287" s="181">
        <f t="shared" si="2510"/>
        <v>0</v>
      </c>
      <c r="AG1287" s="182">
        <f t="shared" si="2606"/>
        <v>0</v>
      </c>
      <c r="AH1287" s="76" t="str">
        <f t="shared" si="2607"/>
        <v/>
      </c>
      <c r="AI1287" s="181">
        <f> ( IF(ISNUMBER(G1287), VLOOKUP(G1287/$AH1287,F!$A1:$B101,2,1)*G1287*$H1287*$I1287,0)+IF(ISNUMBER(K1287), VLOOKUP(K1287/$AH1287,F!$A1:$B101,2,1)*K1287*$L1287*$M1287,0)+IF(ISNUMBER(O1287), VLOOKUP(O1287/$AH1287,F!$A1:$B101,2,1)*O1287*$P1287*$Q1287,0)+IF(ISNUMBER(S1287), VLOOKUP(S1287/$AH1287,F!$A1:$B101,2,1)*S1287*$T1287*$U1287,0)+IF(ISNUMBER(W1287), VLOOKUP(W1287/$AH1287,F!$A1:$B101,2,1)*W1287*$X1287*$Y1287,0)+IF(ISNUMBER(AA1287), VLOOKUP(AA1287/$AH1287,F!$A1:$B101,2,1)*AA1287*$AB1287*$AC1287,0))*IF(ISNUMBER(F1287),F1287,1)*IF(ISNUMBER(E1287),E1287,1)</f>
        <v>0</v>
      </c>
      <c r="AJ1287" s="178">
        <f t="shared" si="2608"/>
        <v>0</v>
      </c>
      <c r="AK1287" s="183">
        <f t="array" ref="AK1287">IFERROR(I1287*INDEX(F!$P$21:$AB$33, MATCH(G1287/$AH1287, F!$O$21:$O$33,1), MATCH(E1287, F!$P$20:$AB$20,1)), 0 ) +IFERROR( M1287*INDEX(F!$P$21:$AB$33, MATCH(K1287/$AH1287, F!$O$21:$O$33,1), MATCH(E1287, F!$P$20:$AB$20,1)),0) +  IFERROR( Q1287*INDEX(F!$P$21:$AB$33, MATCH(O1287/$AH1287, F!$O$21:$O$33,1), MATCH(E1287, F!$P$20:$AB$20,1)), 0) + IFERROR( U1287*INDEX(F!$P$21:$AB$33, MATCH(S1287/$AH1287, F!$O$21:$O$33,1), MATCH(E1287, F!$P$20:$AB$20,1)),0)  + IFERROR(Y1287*INDEX(F!$P$21:$AB$33, MATCH(W1287/$AH1287, F!$O$21:$O$33,1), MATCH(E1287, F!$P$20:$AB$20,1)),0)  + IFERROR( AC1287*INDEX(F!$P$21:$AB$33, MATCH(AA1287/$AH1287, F!$O$21:$O$33,1), MATCH(E1287, F!$P$20:$AB$20,1)),)</f>
        <v>0</v>
      </c>
      <c r="AL1287" s="59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</row>
    <row r="1288" ht="15.75" hidden="1" customHeight="1">
      <c r="A1288" s="59"/>
      <c r="B1288" s="135" t="str">
        <f t="shared" ref="B1288:F1288" si="2614">IF(B1232="","",B1232)</f>
        <v/>
      </c>
      <c r="C1288" s="136" t="str">
        <f t="shared" si="2614"/>
        <v/>
      </c>
      <c r="D1288" s="137" t="str">
        <f t="shared" si="2614"/>
        <v/>
      </c>
      <c r="E1288" s="48" t="str">
        <f t="shared" si="2614"/>
        <v/>
      </c>
      <c r="F1288" s="138" t="str">
        <f t="shared" si="2614"/>
        <v/>
      </c>
      <c r="G1288" s="139" t="str">
        <f t="shared" si="2599"/>
        <v/>
      </c>
      <c r="H1288" s="140"/>
      <c r="I1288" s="140"/>
      <c r="J1288" s="141"/>
      <c r="K1288" s="139" t="str">
        <f t="shared" si="2600"/>
        <v/>
      </c>
      <c r="L1288" s="140"/>
      <c r="M1288" s="140"/>
      <c r="N1288" s="141"/>
      <c r="O1288" s="139" t="str">
        <f t="shared" si="2601"/>
        <v/>
      </c>
      <c r="P1288" s="140"/>
      <c r="Q1288" s="140"/>
      <c r="R1288" s="141"/>
      <c r="S1288" s="139" t="str">
        <f t="shared" si="2602"/>
        <v/>
      </c>
      <c r="T1288" s="140"/>
      <c r="U1288" s="140"/>
      <c r="V1288" s="141"/>
      <c r="W1288" s="139" t="str">
        <f t="shared" si="2603"/>
        <v/>
      </c>
      <c r="X1288" s="140"/>
      <c r="Y1288" s="140"/>
      <c r="Z1288" s="141"/>
      <c r="AA1288" s="139" t="str">
        <f t="shared" si="2604"/>
        <v/>
      </c>
      <c r="AB1288" s="140"/>
      <c r="AC1288" s="140"/>
      <c r="AD1288" s="141"/>
      <c r="AE1288" s="142">
        <f t="shared" si="2605"/>
        <v>0</v>
      </c>
      <c r="AF1288" s="143">
        <f t="shared" si="2510"/>
        <v>0</v>
      </c>
      <c r="AG1288" s="144">
        <f t="shared" si="2606"/>
        <v>0</v>
      </c>
      <c r="AH1288" s="76" t="str">
        <f t="shared" si="2607"/>
        <v/>
      </c>
      <c r="AI1288" s="143">
        <f> ( IF(ISNUMBER(G1288), VLOOKUP(G1288/$AH1288,F!$A1:$B101,2,1)*G1288*$H1288*$I1288,0)+IF(ISNUMBER(K1288), VLOOKUP(K1288/$AH1288,F!$A1:$B101,2,1)*K1288*$L1288*$M1288,0)+IF(ISNUMBER(O1288), VLOOKUP(O1288/$AH1288,F!$A1:$B101,2,1)*O1288*$P1288*$Q1288,0)+IF(ISNUMBER(S1288), VLOOKUP(S1288/$AH1288,F!$A1:$B101,2,1)*S1288*$T1288*$U1288,0)+IF(ISNUMBER(W1288), VLOOKUP(W1288/$AH1288,F!$A1:$B101,2,1)*W1288*$X1288*$Y1288,0)+IF(ISNUMBER(AA1288), VLOOKUP(AA1288/$AH1288,F!$A1:$B101,2,1)*AA1288*$AB1288*$AC1288,0))*IF(ISNUMBER(F1288),F1288,1)*IF(ISNUMBER(E1288),E1288,1)</f>
        <v>0</v>
      </c>
      <c r="AJ1288" s="140">
        <f t="shared" si="2608"/>
        <v>0</v>
      </c>
      <c r="AK1288" s="145">
        <f t="array" ref="AK1288">IFERROR(I1288*INDEX(F!$P$21:$AB$33, MATCH(G1288/$AH1288, F!$O$21:$O$33,1), MATCH(E1288, F!$P$20:$AB$20,1)), 0 ) +IFERROR( M1288*INDEX(F!$P$21:$AB$33, MATCH(K1288/$AH1288, F!$O$21:$O$33,1), MATCH(E1288, F!$P$20:$AB$20,1)),0) +  IFERROR( Q1288*INDEX(F!$P$21:$AB$33, MATCH(O1288/$AH1288, F!$O$21:$O$33,1), MATCH(E1288, F!$P$20:$AB$20,1)), 0) + IFERROR( U1288*INDEX(F!$P$21:$AB$33, MATCH(S1288/$AH1288, F!$O$21:$O$33,1), MATCH(E1288, F!$P$20:$AB$20,1)),0)  + IFERROR(Y1288*INDEX(F!$P$21:$AB$33, MATCH(W1288/$AH1288, F!$O$21:$O$33,1), MATCH(E1288, F!$P$20:$AB$20,1)),0)  + IFERROR( AC1288*INDEX(F!$P$21:$AB$33, MATCH(AA1288/$AH1288, F!$O$21:$O$33,1), MATCH(E1288, F!$P$20:$AB$20,1)),)</f>
        <v>0</v>
      </c>
      <c r="AL1288" s="59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</row>
    <row r="1289" ht="15.75" hidden="1" customHeight="1">
      <c r="A1289" s="98"/>
      <c r="B1289" s="188"/>
      <c r="C1289" s="189"/>
      <c r="D1289" s="190"/>
      <c r="E1289" s="102">
        <f>ROUND(IFERROR(SUMPRODUCT(AJ1281:AJ1288,E1281:E1288)/AJ1289,0),3)</f>
        <v>0</v>
      </c>
      <c r="F1289" s="191"/>
      <c r="G1289" s="201"/>
      <c r="H1289" s="193"/>
      <c r="I1289" s="193"/>
      <c r="J1289" s="194"/>
      <c r="K1289" s="201"/>
      <c r="L1289" s="193"/>
      <c r="M1289" s="193"/>
      <c r="N1289" s="194"/>
      <c r="O1289" s="201"/>
      <c r="P1289" s="193"/>
      <c r="Q1289" s="193"/>
      <c r="R1289" s="194"/>
      <c r="S1289" s="201"/>
      <c r="T1289" s="193"/>
      <c r="U1289" s="193"/>
      <c r="V1289" s="194"/>
      <c r="W1289" s="201"/>
      <c r="X1289" s="193"/>
      <c r="Y1289" s="193"/>
      <c r="Z1289" s="194"/>
      <c r="AA1289" s="201"/>
      <c r="AB1289" s="193"/>
      <c r="AC1289" s="193"/>
      <c r="AD1289" s="194"/>
      <c r="AE1289" s="107">
        <f>SUM(AE1281:AE1288)</f>
        <v>0</v>
      </c>
      <c r="AF1289" s="108">
        <f t="shared" si="2510"/>
        <v>0</v>
      </c>
      <c r="AG1289" s="109">
        <f>IFERROR(  SUMPRODUCT(AG1281:AG1288,AJ1281:AJ1288)/AJ1289,0)</f>
        <v>0</v>
      </c>
      <c r="AH1289" s="157"/>
      <c r="AI1289" s="111">
        <f t="shared" ref="AI1289:AJ1289" si="2615">SUM(AI1281:AI1288)</f>
        <v>0</v>
      </c>
      <c r="AJ1289" s="111">
        <f t="shared" si="2615"/>
        <v>0</v>
      </c>
      <c r="AK1289" s="112">
        <f>IF(SUM(AK1281:AK1288)=0,TIME(,0,),TIME(,SUM(AK1281:AK1288)+F!$V$37,))</f>
        <v>0</v>
      </c>
      <c r="AL1289" s="98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</row>
    <row r="1290" ht="15.75" hidden="1" customHeight="1">
      <c r="A1290" s="204">
        <f>A1234</f>
        <v>7</v>
      </c>
      <c r="B1290" s="205"/>
      <c r="C1290" s="205"/>
      <c r="D1290" s="205"/>
      <c r="E1290" s="7">
        <f>IF(AJ1290=0,0,(E1300*AJ1300 + E1309*AJ1309 + E1318*AJ1318 + E1327*AJ1327 + E1336*AJ1336 + E1345*AJ1345   ) /AJ1290 )</f>
        <v>0</v>
      </c>
      <c r="F1290" s="206" t="s">
        <v>0</v>
      </c>
      <c r="G1290" s="9"/>
      <c r="H1290" s="9"/>
      <c r="I1290" s="9"/>
      <c r="J1290" s="9"/>
      <c r="K1290" s="9"/>
      <c r="L1290" s="9"/>
      <c r="M1290" s="10"/>
      <c r="N1290" s="221">
        <f>N1234+1</f>
        <v>24</v>
      </c>
      <c r="O1290" s="222"/>
      <c r="P1290" s="222"/>
      <c r="Q1290" s="222"/>
      <c r="R1290" s="222"/>
      <c r="S1290" s="222"/>
      <c r="T1290" s="222"/>
      <c r="U1290" s="222"/>
      <c r="V1290" s="222"/>
      <c r="W1290" s="222"/>
      <c r="X1290" s="222"/>
      <c r="Y1290" s="222"/>
      <c r="Z1290" s="222"/>
      <c r="AA1290" s="222"/>
      <c r="AB1290" s="222"/>
      <c r="AC1290" s="222"/>
      <c r="AD1290" s="223"/>
      <c r="AE1290" s="224">
        <f>AE1300+AE1309+AE1318+AE1327+AE1336+AE1345</f>
        <v>0</v>
      </c>
      <c r="AF1290" s="225">
        <f t="shared" si="2510"/>
        <v>0</v>
      </c>
      <c r="AG1290" s="226">
        <f>IF(AJ1290=0,0,(AG1300*AJ1300 + AG1309*AJ1309 + AG1318*AJ1318 + AG1327*AJ1327 + AG1336*AJ1336 + AG1345*AJ1345   ) /AJ1290 )</f>
        <v>0</v>
      </c>
      <c r="AH1290" s="210">
        <f>AH1234</f>
        <v>0.02</v>
      </c>
      <c r="AI1290" s="224">
        <f t="shared" ref="AI1290:AK1290" si="2616">AI1300+AI1309+AI1318+AI1327+AI1336+AI1345</f>
        <v>0</v>
      </c>
      <c r="AJ1290" s="224">
        <f t="shared" si="2616"/>
        <v>0</v>
      </c>
      <c r="AK1290" s="227">
        <f t="shared" si="2616"/>
        <v>0</v>
      </c>
      <c r="AL1290" s="212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</row>
    <row r="1291" ht="15.75" hidden="1" customHeight="1">
      <c r="A1291" s="19" t="s">
        <v>1</v>
      </c>
      <c r="B1291" s="20" t="s">
        <v>2</v>
      </c>
      <c r="C1291" s="20" t="s">
        <v>3</v>
      </c>
      <c r="D1291" s="20" t="s">
        <v>4</v>
      </c>
      <c r="E1291" s="20" t="s">
        <v>5</v>
      </c>
      <c r="F1291" s="20" t="s">
        <v>6</v>
      </c>
      <c r="G1291" s="20" t="s">
        <v>7</v>
      </c>
      <c r="H1291" s="20" t="s">
        <v>8</v>
      </c>
      <c r="I1291" s="20" t="s">
        <v>9</v>
      </c>
      <c r="J1291" s="20" t="s">
        <v>10</v>
      </c>
      <c r="K1291" s="20" t="s">
        <v>7</v>
      </c>
      <c r="L1291" s="20" t="s">
        <v>8</v>
      </c>
      <c r="M1291" s="20" t="s">
        <v>9</v>
      </c>
      <c r="N1291" s="20" t="s">
        <v>10</v>
      </c>
      <c r="O1291" s="20" t="s">
        <v>7</v>
      </c>
      <c r="P1291" s="20" t="s">
        <v>8</v>
      </c>
      <c r="Q1291" s="20" t="s">
        <v>9</v>
      </c>
      <c r="R1291" s="20" t="s">
        <v>10</v>
      </c>
      <c r="S1291" s="20" t="s">
        <v>7</v>
      </c>
      <c r="T1291" s="20" t="s">
        <v>8</v>
      </c>
      <c r="U1291" s="20" t="s">
        <v>9</v>
      </c>
      <c r="V1291" s="20" t="s">
        <v>10</v>
      </c>
      <c r="W1291" s="20" t="s">
        <v>7</v>
      </c>
      <c r="X1291" s="20" t="s">
        <v>8</v>
      </c>
      <c r="Y1291" s="20" t="s">
        <v>9</v>
      </c>
      <c r="Z1291" s="20" t="s">
        <v>10</v>
      </c>
      <c r="AA1291" s="20" t="s">
        <v>7</v>
      </c>
      <c r="AB1291" s="20" t="s">
        <v>8</v>
      </c>
      <c r="AC1291" s="20" t="s">
        <v>9</v>
      </c>
      <c r="AD1291" s="21" t="s">
        <v>10</v>
      </c>
      <c r="AE1291" s="20" t="s">
        <v>11</v>
      </c>
      <c r="AF1291" s="20" t="s">
        <v>12</v>
      </c>
      <c r="AG1291" s="20" t="s">
        <v>13</v>
      </c>
      <c r="AH1291" s="213" t="s">
        <v>14</v>
      </c>
      <c r="AI1291" s="23" t="s">
        <v>15</v>
      </c>
      <c r="AJ1291" s="20" t="s">
        <v>16</v>
      </c>
      <c r="AK1291" s="21" t="s">
        <v>17</v>
      </c>
      <c r="AL1291" s="214" t="s">
        <v>18</v>
      </c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</row>
    <row r="1292" ht="15.75" hidden="1" customHeight="1">
      <c r="A1292" s="25">
        <f>A1293</f>
        <v>43941</v>
      </c>
      <c r="B1292" s="26" t="str">
        <f t="shared" ref="B1292:F1292" si="2617">IF(B1236="","",B1236)</f>
        <v>Средняя</v>
      </c>
      <c r="C1292" s="27" t="str">
        <f t="shared" si="2617"/>
        <v>ПР</v>
      </c>
      <c r="D1292" s="28" t="str">
        <f t="shared" si="2617"/>
        <v>Присед</v>
      </c>
      <c r="E1292" s="29">
        <f t="shared" si="2617"/>
        <v>1.2</v>
      </c>
      <c r="F1292" s="30" t="str">
        <f t="shared" si="2617"/>
        <v/>
      </c>
      <c r="G1292" s="31" t="str">
        <f t="shared" ref="G1292:G1299" si="2619">IF(J1292&lt;&gt;0, IFERROR(IF( $F1292=2,  MROUND($AH1292*J1292,1),    IF( OR($F1292="",$F1292=1),   MROUND($AH1292*J1292,2.5),  MROUND($AH1292*J1292, 0.1))), "" ), "")</f>
        <v/>
      </c>
      <c r="H1292" s="32"/>
      <c r="I1292" s="32"/>
      <c r="J1292" s="33"/>
      <c r="K1292" s="31" t="str">
        <f t="shared" ref="K1292:K1299" si="2620">IF(N1292&lt;&gt;0, IFERROR(IF( $F1292=2,  MROUND($AH1292*N1292,1),    IF( OR($F1292="",$F1292=1),   MROUND($AH1292*N1292,2.5),  MROUND($AH1292*N1292, 0.1))), "" ), "")</f>
        <v/>
      </c>
      <c r="L1292" s="32"/>
      <c r="M1292" s="32"/>
      <c r="N1292" s="33"/>
      <c r="O1292" s="31" t="str">
        <f t="shared" ref="O1292:O1299" si="2621">IF(R1292&lt;&gt;0, IFERROR(IF( $F1292=2,  MROUND($AH1292*R1292,1),    IF( OR($F1292="",$F1292=1),   MROUND($AH1292*R1292,2.5),  MROUND($AH1292*R1292, 0.1))), "" ), "")</f>
        <v/>
      </c>
      <c r="P1292" s="32"/>
      <c r="Q1292" s="32"/>
      <c r="R1292" s="33"/>
      <c r="S1292" s="31" t="str">
        <f t="shared" ref="S1292:S1299" si="2622">IF(V1292&lt;&gt;0, IFERROR(IF( $F1292=2,  MROUND($AH1292*V1292,1),    IF( OR($F1292="",$F1292=1),   MROUND($AH1292*V1292,2.5),  MROUND($AH1292*V1292, 0.1))), "" ), "")</f>
        <v/>
      </c>
      <c r="T1292" s="32"/>
      <c r="U1292" s="32"/>
      <c r="V1292" s="33"/>
      <c r="W1292" s="31" t="str">
        <f t="shared" ref="W1292:W1299" si="2623">IF(Z1292&lt;&gt;0, IFERROR(IF( $F1292=2,  MROUND($AH1292*Z1292,1),    IF( OR($F1292="",$F1292=1),   MROUND($AH1292*Z1292,2.5),  MROUND($AH1292*Z1292, 0.1))), "" ), "")</f>
        <v/>
      </c>
      <c r="X1292" s="32"/>
      <c r="Y1292" s="32"/>
      <c r="Z1292" s="33"/>
      <c r="AA1292" s="31" t="str">
        <f t="shared" ref="AA1292:AA1299" si="2624">IF(AD1292&lt;&gt;0, IFERROR(IF( $F1292=2,  MROUND($AH1292*AD1292,1),    IF( OR($F1292="",$F1292=1),   MROUND($AH1292*AD1292,2.5),  MROUND($AH1292*AD1292, 0.1))), "" ), "")</f>
        <v/>
      </c>
      <c r="AB1292" s="32"/>
      <c r="AC1292" s="32"/>
      <c r="AD1292" s="33"/>
      <c r="AE1292" s="35">
        <f t="shared" ref="AE1292:AE1299" si="2625">(IF(ISNUMBER(G1292),G1292,0)*H1292*I1292+IF(ISNUMBER(K1292),K1292,1)*L1292*M1292+IF(ISNUMBER(O1292),O1292,1)*P1292*Q1292+IF(ISNUMBER(S1292),S1292,1)*T1292*U1292+IF(ISNUMBER(W1292),W1292,1)*X1292*Y1292+IF(ISNUMBER(AA1292),AA1292,1)*AB1292*AC1292)*IF(ISNUMBER(F1292),F1292,1)</f>
        <v>0</v>
      </c>
      <c r="AF1292" s="36">
        <f t="shared" ref="AF1292:AF1346" si="2626">IFERROR(AE1292/AJ1292,0)</f>
        <v>0</v>
      </c>
      <c r="AG1292" s="195">
        <f t="shared" ref="AG1292:AG1299" si="2627">IFERROR((AF1292/(AH1292*IF(ISNUMBER(F1292),F1292,1))),0)</f>
        <v>0</v>
      </c>
      <c r="AH1292" s="169">
        <f t="shared" ref="AH1292:AH1299" si="2628">IF(ISNUMBER(AH1236), AH1236+(AH1236*$AH$1290),"")</f>
        <v>212.8814007</v>
      </c>
      <c r="AI1292" s="70">
        <f> ( IF(ISNUMBER(G1292), VLOOKUP(G1292/$AH1292,F!$A1:$B101,2,1)*G1292*$H1292*$I1292,0)+IF(ISNUMBER(K1292), VLOOKUP(K1292/$AH1292,F!$A1:$B101,2,1)*K1292*$L1292*$M1292,0)+IF(ISNUMBER(O1292), VLOOKUP(O1292/$AH1292,F!$A1:$B101,2,1)*O1292*$P1292*$Q1292,0)+IF(ISNUMBER(S1292), VLOOKUP(S1292/$AH1292,F!$A1:$B101,2,1)*S1292*$T1292*$U1292,0)+IF(ISNUMBER(W1292), VLOOKUP(W1292/$AH1292,F!$A1:$B101,2,1)*W1292*$X1292*$Y1292,0)+IF(ISNUMBER(AA1292), VLOOKUP(AA1292/$AH1292,F!$A1:$B101,2,1)*AA1292*$AB1292*$AC1292,0))*IF(ISNUMBER(F1292),F1292,1)*IF(ISNUMBER(E1292),E1292,1)</f>
        <v>0</v>
      </c>
      <c r="AJ1292" s="40">
        <f t="shared" ref="AJ1292:AJ1299" si="2629">H1292*I1292+L1292*M1292+P1292*Q1292+T1292*U1292+X1292*Y1292+AB1292*AC1292</f>
        <v>0</v>
      </c>
      <c r="AK1292" s="41">
        <f t="array" ref="AK1292">IFERROR(I1292*INDEX(F!$P$21:$AB$33, MATCH(G1292/$AH1292, F!$O$21:$O$33,1), MATCH(E1292, F!$P$20:$AB$20,1)), 0 ) +IFERROR( M1292*INDEX(F!$P$21:$AB$33, MATCH(K1292/$AH1292, F!$O$21:$O$33,1), MATCH(E1292, F!$P$20:$AB$20,1)),0) +  IFERROR( Q1292*INDEX(F!$P$21:$AB$33, MATCH(O1292/$AH1292, F!$O$21:$O$33,1), MATCH(E1292, F!$P$20:$AB$20,1)), 0) + IFERROR( U1292*INDEX(F!$P$21:$AB$33, MATCH(S1292/$AH1292, F!$O$21:$O$33,1), MATCH(E1292, F!$P$20:$AB$20,1)),0)  + IFERROR(Y1292*INDEX(F!$P$21:$AB$33, MATCH(W1292/$AH1292, F!$O$21:$O$33,1), MATCH(E1292, F!$P$20:$AB$20,1)),0)  + IFERROR( AC1292*INDEX(F!$P$21:$AB$33, MATCH(AA1292/$AH1292, F!$O$21:$O$33,1), MATCH(E1292, F!$P$20:$AB$20,1)),)</f>
        <v>0</v>
      </c>
      <c r="AL1292" s="42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</row>
    <row r="1293" ht="15.75" hidden="1" customHeight="1">
      <c r="A1293" s="44">
        <f>A1237+A1234</f>
        <v>43941</v>
      </c>
      <c r="B1293" s="45" t="str">
        <f t="shared" ref="B1293:F1293" si="2618">IF(B1237="","",B1237)</f>
        <v>Средняя</v>
      </c>
      <c r="C1293" s="46" t="str">
        <f t="shared" si="2618"/>
        <v>ЖМ</v>
      </c>
      <c r="D1293" s="47" t="str">
        <f t="shared" si="2618"/>
        <v>Жим лежа</v>
      </c>
      <c r="E1293" s="48">
        <f t="shared" si="2618"/>
        <v>1</v>
      </c>
      <c r="F1293" s="49" t="str">
        <f t="shared" si="2618"/>
        <v/>
      </c>
      <c r="G1293" s="50" t="str">
        <f t="shared" si="2619"/>
        <v/>
      </c>
      <c r="H1293" s="51"/>
      <c r="I1293" s="51"/>
      <c r="J1293" s="52"/>
      <c r="K1293" s="50" t="str">
        <f t="shared" si="2620"/>
        <v/>
      </c>
      <c r="L1293" s="51"/>
      <c r="M1293" s="51"/>
      <c r="N1293" s="52"/>
      <c r="O1293" s="50" t="str">
        <f t="shared" si="2621"/>
        <v/>
      </c>
      <c r="P1293" s="51"/>
      <c r="Q1293" s="51"/>
      <c r="R1293" s="52"/>
      <c r="S1293" s="50" t="str">
        <f t="shared" si="2622"/>
        <v/>
      </c>
      <c r="T1293" s="51"/>
      <c r="U1293" s="51"/>
      <c r="V1293" s="52"/>
      <c r="W1293" s="50" t="str">
        <f t="shared" si="2623"/>
        <v/>
      </c>
      <c r="X1293" s="51"/>
      <c r="Y1293" s="51"/>
      <c r="Z1293" s="52"/>
      <c r="AA1293" s="50" t="str">
        <f t="shared" si="2624"/>
        <v/>
      </c>
      <c r="AB1293" s="51"/>
      <c r="AC1293" s="51"/>
      <c r="AD1293" s="52"/>
      <c r="AE1293" s="53">
        <f t="shared" si="2625"/>
        <v>0</v>
      </c>
      <c r="AF1293" s="54">
        <f t="shared" si="2626"/>
        <v>0</v>
      </c>
      <c r="AG1293" s="75">
        <f t="shared" si="2627"/>
        <v>0</v>
      </c>
      <c r="AH1293" s="76">
        <f t="shared" si="2628"/>
        <v>149.8054301</v>
      </c>
      <c r="AI1293" s="77">
        <f> ( IF(ISNUMBER(G1293), VLOOKUP(G1293/$AH1293,F!$A1:$B101,2,1)*G1293*$H1293*$I1293,0)+IF(ISNUMBER(K1293), VLOOKUP(K1293/$AH1293,F!$A1:$B101,2,1)*K1293*$L1293*$M1293,0)+IF(ISNUMBER(O1293), VLOOKUP(O1293/$AH1293,F!$A1:$B101,2,1)*O1293*$P1293*$Q1293,0)+IF(ISNUMBER(S1293), VLOOKUP(S1293/$AH1293,F!$A1:$B101,2,1)*S1293*$T1293*$U1293,0)+IF(ISNUMBER(W1293), VLOOKUP(W1293/$AH1293,F!$A1:$B101,2,1)*W1293*$X1293*$Y1293,0)+IF(ISNUMBER(AA1293), VLOOKUP(AA1293/$AH1293,F!$A1:$B101,2,1)*AA1293*$AB1293*$AC1293,0))*IF(ISNUMBER(F1293),F1293,1)*IF(ISNUMBER(E1293),E1293,1)</f>
        <v>0</v>
      </c>
      <c r="AJ1293" s="57">
        <f t="shared" si="2629"/>
        <v>0</v>
      </c>
      <c r="AK1293" s="58">
        <f t="array" ref="AK1293">IFERROR(I1293*INDEX(F!$P$21:$AB$33, MATCH(G1293/$AH1293, F!$O$21:$O$33,1), MATCH(E1293, F!$P$20:$AB$20,1)), 0 ) +IFERROR( M1293*INDEX(F!$P$21:$AB$33, MATCH(K1293/$AH1293, F!$O$21:$O$33,1), MATCH(E1293, F!$P$20:$AB$20,1)),0) +  IFERROR( Q1293*INDEX(F!$P$21:$AB$33, MATCH(O1293/$AH1293, F!$O$21:$O$33,1), MATCH(E1293, F!$P$20:$AB$20,1)), 0) + IFERROR( U1293*INDEX(F!$P$21:$AB$33, MATCH(S1293/$AH1293, F!$O$21:$O$33,1), MATCH(E1293, F!$P$20:$AB$20,1)),0)  + IFERROR(Y1293*INDEX(F!$P$21:$AB$33, MATCH(W1293/$AH1293, F!$O$21:$O$33,1), MATCH(E1293, F!$P$20:$AB$20,1)),0)  + IFERROR( AC1293*INDEX(F!$P$21:$AB$33, MATCH(AA1293/$AH1293, F!$O$21:$O$33,1), MATCH(E1293, F!$P$20:$AB$20,1)),)</f>
        <v>0</v>
      </c>
      <c r="AL1293" s="59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</row>
    <row r="1294" ht="15.75" hidden="1" customHeight="1">
      <c r="A1294" s="59"/>
      <c r="B1294" s="60" t="str">
        <f t="shared" ref="B1294:F1294" si="2630">IF(B1238="","",B1238)</f>
        <v>Тяжелая</v>
      </c>
      <c r="C1294" s="61" t="str">
        <f t="shared" si="2630"/>
        <v>ПР</v>
      </c>
      <c r="D1294" s="62" t="str">
        <f t="shared" si="2630"/>
        <v>Присед</v>
      </c>
      <c r="E1294" s="48">
        <f t="shared" si="2630"/>
        <v>1.2</v>
      </c>
      <c r="F1294" s="63" t="str">
        <f t="shared" si="2630"/>
        <v/>
      </c>
      <c r="G1294" s="64" t="str">
        <f t="shared" si="2619"/>
        <v/>
      </c>
      <c r="H1294" s="34"/>
      <c r="I1294" s="34"/>
      <c r="J1294" s="65"/>
      <c r="K1294" s="64" t="str">
        <f t="shared" si="2620"/>
        <v/>
      </c>
      <c r="L1294" s="34"/>
      <c r="M1294" s="34"/>
      <c r="N1294" s="65"/>
      <c r="O1294" s="64" t="str">
        <f t="shared" si="2621"/>
        <v/>
      </c>
      <c r="P1294" s="34"/>
      <c r="Q1294" s="34"/>
      <c r="R1294" s="65"/>
      <c r="S1294" s="64" t="str">
        <f t="shared" si="2622"/>
        <v/>
      </c>
      <c r="T1294" s="34"/>
      <c r="U1294" s="34"/>
      <c r="V1294" s="65"/>
      <c r="W1294" s="64" t="str">
        <f t="shared" si="2623"/>
        <v/>
      </c>
      <c r="X1294" s="34"/>
      <c r="Y1294" s="34"/>
      <c r="Z1294" s="65"/>
      <c r="AA1294" s="64" t="str">
        <f t="shared" si="2624"/>
        <v/>
      </c>
      <c r="AB1294" s="34"/>
      <c r="AC1294" s="34"/>
      <c r="AD1294" s="65"/>
      <c r="AE1294" s="66">
        <f t="shared" si="2625"/>
        <v>0</v>
      </c>
      <c r="AF1294" s="67">
        <f t="shared" si="2626"/>
        <v>0</v>
      </c>
      <c r="AG1294" s="68">
        <f t="shared" si="2627"/>
        <v>0</v>
      </c>
      <c r="AH1294" s="76">
        <f t="shared" si="2628"/>
        <v>212.8814007</v>
      </c>
      <c r="AI1294" s="70">
        <f> ( IF(ISNUMBER(G1294), VLOOKUP(G1294/$AH1294,F!$A1:$B101,2,1)*G1294*$H1294*$I1294,0)+IF(ISNUMBER(K1294), VLOOKUP(K1294/$AH1294,F!$A1:$B101,2,1)*K1294*$L1294*$M1294,0)+IF(ISNUMBER(O1294), VLOOKUP(O1294/$AH1294,F!$A1:$B101,2,1)*O1294*$P1294*$Q1294,0)+IF(ISNUMBER(S1294), VLOOKUP(S1294/$AH1294,F!$A1:$B101,2,1)*S1294*$T1294*$U1294,0)+IF(ISNUMBER(W1294), VLOOKUP(W1294/$AH1294,F!$A1:$B101,2,1)*W1294*$X1294*$Y1294,0)+IF(ISNUMBER(AA1294), VLOOKUP(AA1294/$AH1294,F!$A1:$B101,2,1)*AA1294*$AB1294*$AC1294,0))*IF(ISNUMBER(F1294),F1294,1)*IF(ISNUMBER(E1294),E1294,1)</f>
        <v>0</v>
      </c>
      <c r="AJ1294" s="71">
        <f t="shared" si="2629"/>
        <v>0</v>
      </c>
      <c r="AK1294" s="72">
        <f t="array" ref="AK1294">IFERROR(I1294*INDEX(F!$P$21:$AB$33, MATCH(G1294/$AH1294, F!$O$21:$O$33,1), MATCH(E1294, F!$P$20:$AB$20,1)), 0 ) +IFERROR( M1294*INDEX(F!$P$21:$AB$33, MATCH(K1294/$AH1294, F!$O$21:$O$33,1), MATCH(E1294, F!$P$20:$AB$20,1)),0) +  IFERROR( Q1294*INDEX(F!$P$21:$AB$33, MATCH(O1294/$AH1294, F!$O$21:$O$33,1), MATCH(E1294, F!$P$20:$AB$20,1)), 0) + IFERROR( U1294*INDEX(F!$P$21:$AB$33, MATCH(S1294/$AH1294, F!$O$21:$O$33,1), MATCH(E1294, F!$P$20:$AB$20,1)),0)  + IFERROR(Y1294*INDEX(F!$P$21:$AB$33, MATCH(W1294/$AH1294, F!$O$21:$O$33,1), MATCH(E1294, F!$P$20:$AB$20,1)),0)  + IFERROR( AC1294*INDEX(F!$P$21:$AB$33, MATCH(AA1294/$AH1294, F!$O$21:$O$33,1), MATCH(E1294, F!$P$20:$AB$20,1)),)</f>
        <v>0</v>
      </c>
      <c r="AL1294" s="59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</row>
    <row r="1295" ht="15.75" hidden="1" customHeight="1">
      <c r="A1295" s="59"/>
      <c r="B1295" s="215" t="str">
        <f t="shared" ref="B1295:F1295" si="2631">IF(B1239="","",B1239)</f>
        <v>Средняя</v>
      </c>
      <c r="C1295" s="73" t="str">
        <f t="shared" si="2631"/>
        <v>ЖМ</v>
      </c>
      <c r="D1295" s="47" t="str">
        <f t="shared" si="2631"/>
        <v>Жим гантелей</v>
      </c>
      <c r="E1295" s="48">
        <f t="shared" si="2631"/>
        <v>1</v>
      </c>
      <c r="F1295" s="74">
        <f t="shared" si="2631"/>
        <v>2</v>
      </c>
      <c r="G1295" s="50" t="str">
        <f t="shared" si="2619"/>
        <v/>
      </c>
      <c r="H1295" s="51"/>
      <c r="I1295" s="51"/>
      <c r="J1295" s="52"/>
      <c r="K1295" s="50" t="str">
        <f t="shared" si="2620"/>
        <v/>
      </c>
      <c r="L1295" s="51"/>
      <c r="M1295" s="51"/>
      <c r="N1295" s="52"/>
      <c r="O1295" s="50" t="str">
        <f t="shared" si="2621"/>
        <v/>
      </c>
      <c r="P1295" s="51"/>
      <c r="Q1295" s="51"/>
      <c r="R1295" s="52"/>
      <c r="S1295" s="50" t="str">
        <f t="shared" si="2622"/>
        <v/>
      </c>
      <c r="T1295" s="51"/>
      <c r="U1295" s="51"/>
      <c r="V1295" s="52"/>
      <c r="W1295" s="50" t="str">
        <f t="shared" si="2623"/>
        <v/>
      </c>
      <c r="X1295" s="51"/>
      <c r="Y1295" s="51"/>
      <c r="Z1295" s="52"/>
      <c r="AA1295" s="50" t="str">
        <f t="shared" si="2624"/>
        <v/>
      </c>
      <c r="AB1295" s="51"/>
      <c r="AC1295" s="51"/>
      <c r="AD1295" s="52"/>
      <c r="AE1295" s="53">
        <f t="shared" si="2625"/>
        <v>0</v>
      </c>
      <c r="AF1295" s="54">
        <f t="shared" si="2626"/>
        <v>0</v>
      </c>
      <c r="AG1295" s="75">
        <f t="shared" si="2627"/>
        <v>0</v>
      </c>
      <c r="AH1295" s="76">
        <f t="shared" si="2628"/>
        <v>47.93773763</v>
      </c>
      <c r="AI1295" s="77">
        <f> ( IF(ISNUMBER(G1295), VLOOKUP(G1295/$AH1295,F!$A1:$B101,2,1)*G1295*$H1295*$I1295,0)+IF(ISNUMBER(K1295), VLOOKUP(K1295/$AH1295,F!$A1:$B101,2,1)*K1295*$L1295*$M1295,0)+IF(ISNUMBER(O1295), VLOOKUP(O1295/$AH1295,F!$A1:$B101,2,1)*O1295*$P1295*$Q1295,0)+IF(ISNUMBER(S1295), VLOOKUP(S1295/$AH1295,F!$A1:$B101,2,1)*S1295*$T1295*$U1295,0)+IF(ISNUMBER(W1295), VLOOKUP(W1295/$AH1295,F!$A1:$B101,2,1)*W1295*$X1295*$Y1295,0)+IF(ISNUMBER(AA1295), VLOOKUP(AA1295/$AH1295,F!$A1:$B101,2,1)*AA1295*$AB1295*$AC1295,0))*IF(ISNUMBER(F1295),F1295,1)*IF(ISNUMBER(E1295),E1295,1)</f>
        <v>0</v>
      </c>
      <c r="AJ1295" s="57">
        <f t="shared" si="2629"/>
        <v>0</v>
      </c>
      <c r="AK1295" s="58">
        <f t="array" ref="AK1295">IFERROR(I1295*INDEX(F!$P$21:$AB$33, MATCH(G1295/$AH1295, F!$O$21:$O$33,1), MATCH(E1295, F!$P$20:$AB$20,1)), 0 ) +IFERROR( M1295*INDEX(F!$P$21:$AB$33, MATCH(K1295/$AH1295, F!$O$21:$O$33,1), MATCH(E1295, F!$P$20:$AB$20,1)),0) +  IFERROR( Q1295*INDEX(F!$P$21:$AB$33, MATCH(O1295/$AH1295, F!$O$21:$O$33,1), MATCH(E1295, F!$P$20:$AB$20,1)), 0) + IFERROR( U1295*INDEX(F!$P$21:$AB$33, MATCH(S1295/$AH1295, F!$O$21:$O$33,1), MATCH(E1295, F!$P$20:$AB$20,1)),0)  + IFERROR(Y1295*INDEX(F!$P$21:$AB$33, MATCH(W1295/$AH1295, F!$O$21:$O$33,1), MATCH(E1295, F!$P$20:$AB$20,1)),0)  + IFERROR( AC1295*INDEX(F!$P$21:$AB$33, MATCH(AA1295/$AH1295, F!$O$21:$O$33,1), MATCH(E1295, F!$P$20:$AB$20,1)),)</f>
        <v>0</v>
      </c>
      <c r="AL1295" s="59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</row>
    <row r="1296" ht="15.75" hidden="1" customHeight="1">
      <c r="A1296" s="59"/>
      <c r="B1296" s="216" t="str">
        <f t="shared" ref="B1296:F1296" si="2632">IF(B1240="","",B1240)</f>
        <v>Средняя</v>
      </c>
      <c r="C1296" s="78" t="str">
        <f t="shared" si="2632"/>
        <v>ОФП</v>
      </c>
      <c r="D1296" s="62" t="str">
        <f t="shared" si="2632"/>
        <v>Французский жим</v>
      </c>
      <c r="E1296" s="48">
        <f t="shared" si="2632"/>
        <v>0.4</v>
      </c>
      <c r="F1296" s="79" t="str">
        <f t="shared" si="2632"/>
        <v/>
      </c>
      <c r="G1296" s="64" t="str">
        <f t="shared" si="2619"/>
        <v/>
      </c>
      <c r="H1296" s="34"/>
      <c r="I1296" s="34"/>
      <c r="J1296" s="65"/>
      <c r="K1296" s="64" t="str">
        <f t="shared" si="2620"/>
        <v/>
      </c>
      <c r="L1296" s="34"/>
      <c r="M1296" s="34"/>
      <c r="N1296" s="65"/>
      <c r="O1296" s="64" t="str">
        <f t="shared" si="2621"/>
        <v/>
      </c>
      <c r="P1296" s="34"/>
      <c r="Q1296" s="34"/>
      <c r="R1296" s="65"/>
      <c r="S1296" s="64" t="str">
        <f t="shared" si="2622"/>
        <v/>
      </c>
      <c r="T1296" s="34"/>
      <c r="U1296" s="34"/>
      <c r="V1296" s="65"/>
      <c r="W1296" s="64" t="str">
        <f t="shared" si="2623"/>
        <v/>
      </c>
      <c r="X1296" s="34"/>
      <c r="Y1296" s="34"/>
      <c r="Z1296" s="65"/>
      <c r="AA1296" s="64" t="str">
        <f t="shared" si="2624"/>
        <v/>
      </c>
      <c r="AB1296" s="34"/>
      <c r="AC1296" s="34"/>
      <c r="AD1296" s="65"/>
      <c r="AE1296" s="66">
        <f t="shared" si="2625"/>
        <v>0</v>
      </c>
      <c r="AF1296" s="67">
        <f t="shared" si="2626"/>
        <v>0</v>
      </c>
      <c r="AG1296" s="68">
        <f t="shared" si="2627"/>
        <v>0</v>
      </c>
      <c r="AH1296" s="76">
        <f t="shared" si="2628"/>
        <v>68.91049785</v>
      </c>
      <c r="AI1296" s="70">
        <f> ( IF(ISNUMBER(G1296), VLOOKUP(G1296/$AH1296,F!$A1:$B101,2,1)*G1296*$H1296*$I1296,0)+IF(ISNUMBER(K1296), VLOOKUP(K1296/$AH1296,F!$A1:$B101,2,1)*K1296*$L1296*$M1296,0)+IF(ISNUMBER(O1296), VLOOKUP(O1296/$AH1296,F!$A1:$B101,2,1)*O1296*$P1296*$Q1296,0)+IF(ISNUMBER(S1296), VLOOKUP(S1296/$AH1296,F!$A1:$B101,2,1)*S1296*$T1296*$U1296,0)+IF(ISNUMBER(W1296), VLOOKUP(W1296/$AH1296,F!$A1:$B101,2,1)*W1296*$X1296*$Y1296,0)+IF(ISNUMBER(AA1296), VLOOKUP(AA1296/$AH1296,F!$A1:$B101,2,1)*AA1296*$AB1296*$AC1296,0))*IF(ISNUMBER(F1296),F1296,1)*IF(ISNUMBER(E1296),E1296,1)</f>
        <v>0</v>
      </c>
      <c r="AJ1296" s="71">
        <f t="shared" si="2629"/>
        <v>0</v>
      </c>
      <c r="AK1296" s="72">
        <f t="array" ref="AK1296">IFERROR(I1296*INDEX(F!$P$21:$AB$33, MATCH(G1296/$AH1296, F!$O$21:$O$33,1), MATCH(E1296, F!$P$20:$AB$20,1)), 0 ) +IFERROR( M1296*INDEX(F!$P$21:$AB$33, MATCH(K1296/$AH1296, F!$O$21:$O$33,1), MATCH(E1296, F!$P$20:$AB$20,1)),0) +  IFERROR( Q1296*INDEX(F!$P$21:$AB$33, MATCH(O1296/$AH1296, F!$O$21:$O$33,1), MATCH(E1296, F!$P$20:$AB$20,1)), 0) + IFERROR( U1296*INDEX(F!$P$21:$AB$33, MATCH(S1296/$AH1296, F!$O$21:$O$33,1), MATCH(E1296, F!$P$20:$AB$20,1)),0)  + IFERROR(Y1296*INDEX(F!$P$21:$AB$33, MATCH(W1296/$AH1296, F!$O$21:$O$33,1), MATCH(E1296, F!$P$20:$AB$20,1)),0)  + IFERROR( AC1296*INDEX(F!$P$21:$AB$33, MATCH(AA1296/$AH1296, F!$O$21:$O$33,1), MATCH(E1296, F!$P$20:$AB$20,1)),)</f>
        <v>0</v>
      </c>
      <c r="AL1296" s="59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</row>
    <row r="1297" ht="15.75" hidden="1" customHeight="1">
      <c r="A1297" s="59"/>
      <c r="B1297" s="45" t="str">
        <f t="shared" ref="B1297:F1297" si="2633">IF(B1241="","",B1241)</f>
        <v/>
      </c>
      <c r="C1297" s="46" t="str">
        <f t="shared" si="2633"/>
        <v/>
      </c>
      <c r="D1297" s="197" t="str">
        <f t="shared" si="2633"/>
        <v/>
      </c>
      <c r="E1297" s="48" t="str">
        <f t="shared" si="2633"/>
        <v/>
      </c>
      <c r="F1297" s="83" t="str">
        <f t="shared" si="2633"/>
        <v/>
      </c>
      <c r="G1297" s="50" t="str">
        <f t="shared" si="2619"/>
        <v/>
      </c>
      <c r="H1297" s="51"/>
      <c r="I1297" s="51"/>
      <c r="J1297" s="52"/>
      <c r="K1297" s="50" t="str">
        <f t="shared" si="2620"/>
        <v/>
      </c>
      <c r="L1297" s="51"/>
      <c r="M1297" s="51"/>
      <c r="N1297" s="52"/>
      <c r="O1297" s="50" t="str">
        <f t="shared" si="2621"/>
        <v/>
      </c>
      <c r="P1297" s="51"/>
      <c r="Q1297" s="51"/>
      <c r="R1297" s="52"/>
      <c r="S1297" s="50" t="str">
        <f t="shared" si="2622"/>
        <v/>
      </c>
      <c r="T1297" s="51"/>
      <c r="U1297" s="51"/>
      <c r="V1297" s="52"/>
      <c r="W1297" s="50" t="str">
        <f t="shared" si="2623"/>
        <v/>
      </c>
      <c r="X1297" s="51"/>
      <c r="Y1297" s="51"/>
      <c r="Z1297" s="52"/>
      <c r="AA1297" s="50" t="str">
        <f t="shared" si="2624"/>
        <v/>
      </c>
      <c r="AB1297" s="51"/>
      <c r="AC1297" s="51"/>
      <c r="AD1297" s="52"/>
      <c r="AE1297" s="53">
        <f t="shared" si="2625"/>
        <v>0</v>
      </c>
      <c r="AF1297" s="54">
        <f t="shared" si="2626"/>
        <v>0</v>
      </c>
      <c r="AG1297" s="75">
        <f t="shared" si="2627"/>
        <v>0</v>
      </c>
      <c r="AH1297" s="76" t="str">
        <f t="shared" si="2628"/>
        <v/>
      </c>
      <c r="AI1297" s="77">
        <f> ( IF(ISNUMBER(G1297), VLOOKUP(G1297/$AH1297,F!$A1:$B101,2,1)*G1297*$H1297*$I1297,0)+IF(ISNUMBER(K1297), VLOOKUP(K1297/$AH1297,F!$A1:$B101,2,1)*K1297*$L1297*$M1297,0)+IF(ISNUMBER(O1297), VLOOKUP(O1297/$AH1297,F!$A1:$B101,2,1)*O1297*$P1297*$Q1297,0)+IF(ISNUMBER(S1297), VLOOKUP(S1297/$AH1297,F!$A1:$B101,2,1)*S1297*$T1297*$U1297,0)+IF(ISNUMBER(W1297), VLOOKUP(W1297/$AH1297,F!$A1:$B101,2,1)*W1297*$X1297*$Y1297,0)+IF(ISNUMBER(AA1297), VLOOKUP(AA1297/$AH1297,F!$A1:$B101,2,1)*AA1297*$AB1297*$AC1297,0))*IF(ISNUMBER(F1297),F1297,1)*IF(ISNUMBER(E1297),E1297,1)</f>
        <v>0</v>
      </c>
      <c r="AJ1297" s="86">
        <f t="shared" si="2629"/>
        <v>0</v>
      </c>
      <c r="AK1297" s="58">
        <f t="array" ref="AK1297">IFERROR(I1297*INDEX(F!$P$21:$AB$33, MATCH(G1297/$AH1297, F!$O$21:$O$33,1), MATCH(E1297, F!$P$20:$AB$20,1)), 0 ) +IFERROR( M1297*INDEX(F!$P$21:$AB$33, MATCH(K1297/$AH1297, F!$O$21:$O$33,1), MATCH(E1297, F!$P$20:$AB$20,1)),0) +  IFERROR( Q1297*INDEX(F!$P$21:$AB$33, MATCH(O1297/$AH1297, F!$O$21:$O$33,1), MATCH(E1297, F!$P$20:$AB$20,1)), 0) + IFERROR( U1297*INDEX(F!$P$21:$AB$33, MATCH(S1297/$AH1297, F!$O$21:$O$33,1), MATCH(E1297, F!$P$20:$AB$20,1)),0)  + IFERROR(Y1297*INDEX(F!$P$21:$AB$33, MATCH(W1297/$AH1297, F!$O$21:$O$33,1), MATCH(E1297, F!$P$20:$AB$20,1)),0)  + IFERROR( AC1297*INDEX(F!$P$21:$AB$33, MATCH(AA1297/$AH1297, F!$O$21:$O$33,1), MATCH(E1297, F!$P$20:$AB$20,1)),)</f>
        <v>0</v>
      </c>
      <c r="AL1297" s="59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</row>
    <row r="1298" ht="15.0" hidden="1" customHeight="1">
      <c r="A1298" s="59"/>
      <c r="B1298" s="60" t="str">
        <f t="shared" ref="B1298:F1298" si="2634">IF(B1242="","",B1242)</f>
        <v/>
      </c>
      <c r="C1298" s="61" t="str">
        <f t="shared" si="2634"/>
        <v/>
      </c>
      <c r="D1298" s="198" t="str">
        <f t="shared" si="2634"/>
        <v/>
      </c>
      <c r="E1298" s="48" t="str">
        <f t="shared" si="2634"/>
        <v/>
      </c>
      <c r="F1298" s="79" t="str">
        <f t="shared" si="2634"/>
        <v/>
      </c>
      <c r="G1298" s="64" t="str">
        <f t="shared" si="2619"/>
        <v/>
      </c>
      <c r="H1298" s="34"/>
      <c r="I1298" s="34"/>
      <c r="J1298" s="65"/>
      <c r="K1298" s="64" t="str">
        <f t="shared" si="2620"/>
        <v/>
      </c>
      <c r="L1298" s="34"/>
      <c r="M1298" s="34"/>
      <c r="N1298" s="65"/>
      <c r="O1298" s="64" t="str">
        <f t="shared" si="2621"/>
        <v/>
      </c>
      <c r="P1298" s="34"/>
      <c r="Q1298" s="34"/>
      <c r="R1298" s="65"/>
      <c r="S1298" s="64" t="str">
        <f t="shared" si="2622"/>
        <v/>
      </c>
      <c r="T1298" s="34"/>
      <c r="U1298" s="34"/>
      <c r="V1298" s="65"/>
      <c r="W1298" s="64" t="str">
        <f t="shared" si="2623"/>
        <v/>
      </c>
      <c r="X1298" s="34"/>
      <c r="Y1298" s="34"/>
      <c r="Z1298" s="65"/>
      <c r="AA1298" s="64" t="str">
        <f t="shared" si="2624"/>
        <v/>
      </c>
      <c r="AB1298" s="34"/>
      <c r="AC1298" s="34"/>
      <c r="AD1298" s="65"/>
      <c r="AE1298" s="66">
        <f t="shared" si="2625"/>
        <v>0</v>
      </c>
      <c r="AF1298" s="67">
        <f t="shared" si="2626"/>
        <v>0</v>
      </c>
      <c r="AG1298" s="68">
        <f t="shared" si="2627"/>
        <v>0</v>
      </c>
      <c r="AH1298" s="76" t="str">
        <f t="shared" si="2628"/>
        <v/>
      </c>
      <c r="AI1298" s="90">
        <f> ( IF(ISNUMBER(G1298), VLOOKUP(G1298/$AH1298,F!$A1:$B101,2,1)*G1298*$H1298*$I1298,0)+IF(ISNUMBER(K1298), VLOOKUP(K1298/$AH1298,F!$A1:$B101,2,1)*K1298*$L1298*$M1298,0)+IF(ISNUMBER(O1298), VLOOKUP(O1298/$AH1298,F!$A1:$B101,2,1)*O1298*$P1298*$Q1298,0)+IF(ISNUMBER(S1298), VLOOKUP(S1298/$AH1298,F!$A1:$B101,2,1)*S1298*$T1298*$U1298,0)+IF(ISNUMBER(W1298), VLOOKUP(W1298/$AH1298,F!$A1:$B101,2,1)*W1298*$X1298*$Y1298,0)+IF(ISNUMBER(AA1298), VLOOKUP(AA1298/$AH1298,F!$A1:$B101,2,1)*AA1298*$AB1298*$AC1298,0))*IF(ISNUMBER(F1298),F1298,1)*IF(ISNUMBER(E1298),E1298,1)</f>
        <v>0</v>
      </c>
      <c r="AJ1298" s="34">
        <f t="shared" si="2629"/>
        <v>0</v>
      </c>
      <c r="AK1298" s="91">
        <f t="array" ref="AK1298">IFERROR(I1298*INDEX(F!$P$21:$AB$33, MATCH(G1298/$AH1298, F!$O$21:$O$33,1), MATCH(E1298, F!$P$20:$AB$20,1)), 0 ) +IFERROR( M1298*INDEX(F!$P$21:$AB$33, MATCH(K1298/$AH1298, F!$O$21:$O$33,1), MATCH(E1298, F!$P$20:$AB$20,1)),0) +  IFERROR( Q1298*INDEX(F!$P$21:$AB$33, MATCH(O1298/$AH1298, F!$O$21:$O$33,1), MATCH(E1298, F!$P$20:$AB$20,1)), 0) + IFERROR( U1298*INDEX(F!$P$21:$AB$33, MATCH(S1298/$AH1298, F!$O$21:$O$33,1), MATCH(E1298, F!$P$20:$AB$20,1)),0)  + IFERROR(Y1298*INDEX(F!$P$21:$AB$33, MATCH(W1298/$AH1298, F!$O$21:$O$33,1), MATCH(E1298, F!$P$20:$AB$20,1)),0)  + IFERROR( AC1298*INDEX(F!$P$21:$AB$33, MATCH(AA1298/$AH1298, F!$O$21:$O$33,1), MATCH(E1298, F!$P$20:$AB$20,1)),)</f>
        <v>0</v>
      </c>
      <c r="AL1298" s="59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</row>
    <row r="1299" ht="15.0" hidden="1" customHeight="1">
      <c r="A1299" s="59"/>
      <c r="B1299" s="45" t="str">
        <f t="shared" ref="B1299:F1299" si="2635">IF(B1243="","",B1243)</f>
        <v/>
      </c>
      <c r="C1299" s="46" t="str">
        <f t="shared" si="2635"/>
        <v/>
      </c>
      <c r="D1299" s="92" t="str">
        <f t="shared" si="2635"/>
        <v/>
      </c>
      <c r="E1299" s="48" t="str">
        <f t="shared" si="2635"/>
        <v/>
      </c>
      <c r="F1299" s="74" t="str">
        <f t="shared" si="2635"/>
        <v/>
      </c>
      <c r="G1299" s="50" t="str">
        <f t="shared" si="2619"/>
        <v/>
      </c>
      <c r="H1299" s="51"/>
      <c r="I1299" s="51"/>
      <c r="J1299" s="52"/>
      <c r="K1299" s="50" t="str">
        <f t="shared" si="2620"/>
        <v/>
      </c>
      <c r="L1299" s="51"/>
      <c r="M1299" s="51"/>
      <c r="N1299" s="52"/>
      <c r="O1299" s="50" t="str">
        <f t="shared" si="2621"/>
        <v/>
      </c>
      <c r="P1299" s="51"/>
      <c r="Q1299" s="51"/>
      <c r="R1299" s="52"/>
      <c r="S1299" s="50" t="str">
        <f t="shared" si="2622"/>
        <v/>
      </c>
      <c r="T1299" s="51"/>
      <c r="U1299" s="51"/>
      <c r="V1299" s="52"/>
      <c r="W1299" s="50" t="str">
        <f t="shared" si="2623"/>
        <v/>
      </c>
      <c r="X1299" s="51"/>
      <c r="Y1299" s="51"/>
      <c r="Z1299" s="52"/>
      <c r="AA1299" s="50" t="str">
        <f t="shared" si="2624"/>
        <v/>
      </c>
      <c r="AB1299" s="51"/>
      <c r="AC1299" s="51"/>
      <c r="AD1299" s="52"/>
      <c r="AE1299" s="53">
        <f t="shared" si="2625"/>
        <v>0</v>
      </c>
      <c r="AF1299" s="93">
        <f t="shared" si="2626"/>
        <v>0</v>
      </c>
      <c r="AG1299" s="94">
        <f t="shared" si="2627"/>
        <v>0</v>
      </c>
      <c r="AH1299" s="76" t="str">
        <f t="shared" si="2628"/>
        <v/>
      </c>
      <c r="AI1299" s="95">
        <f> ( IF(ISNUMBER(G1299), VLOOKUP(G1299/$AH1299,F!$A1:$B101,2,1)*G1299*$H1299*$I1299,0)+IF(ISNUMBER(K1299), VLOOKUP(K1299/$AH1299,F!$A1:$B101,2,1)*K1299*$L1299*$M1299,0)+IF(ISNUMBER(O1299), VLOOKUP(O1299/$AH1299,F!$A1:$B101,2,1)*O1299*$P1299*$Q1299,0)+IF(ISNUMBER(S1299), VLOOKUP(S1299/$AH1299,F!$A1:$B101,2,1)*S1299*$T1299*$U1299,0)+IF(ISNUMBER(W1299), VLOOKUP(W1299/$AH1299,F!$A1:$B101,2,1)*W1299*$X1299*$Y1299,0)+IF(ISNUMBER(AA1299), VLOOKUP(AA1299/$AH1299,F!$A1:$B101,2,1)*AA1299*$AB1299*$AC1299,0))*IF(ISNUMBER(F1299),F1299,1)*IF(ISNUMBER(E1299),E1299,1)</f>
        <v>0</v>
      </c>
      <c r="AJ1299" s="96">
        <f t="shared" si="2629"/>
        <v>0</v>
      </c>
      <c r="AK1299" s="97">
        <f t="array" ref="AK1299">IFERROR(I1299*INDEX(F!$P$21:$AB$33, MATCH(G1299/$AH1299, F!$O$21:$O$33,1), MATCH(E1299, F!$P$20:$AB$20,1)), 0 ) +IFERROR( M1299*INDEX(F!$P$21:$AB$33, MATCH(K1299/$AH1299, F!$O$21:$O$33,1), MATCH(E1299, F!$P$20:$AB$20,1)),0) +  IFERROR( Q1299*INDEX(F!$P$21:$AB$33, MATCH(O1299/$AH1299, F!$O$21:$O$33,1), MATCH(E1299, F!$P$20:$AB$20,1)), 0) + IFERROR( U1299*INDEX(F!$P$21:$AB$33, MATCH(S1299/$AH1299, F!$O$21:$O$33,1), MATCH(E1299, F!$P$20:$AB$20,1)),0)  + IFERROR(Y1299*INDEX(F!$P$21:$AB$33, MATCH(W1299/$AH1299, F!$O$21:$O$33,1), MATCH(E1299, F!$P$20:$AB$20,1)),0)  + IFERROR( AC1299*INDEX(F!$P$21:$AB$33, MATCH(AA1299/$AH1299, F!$O$21:$O$33,1), MATCH(E1299, F!$P$20:$AB$20,1)),)</f>
        <v>0</v>
      </c>
      <c r="AL1299" s="59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</row>
    <row r="1300" ht="15.75" hidden="1" customHeight="1">
      <c r="A1300" s="98"/>
      <c r="B1300" s="99"/>
      <c r="C1300" s="100"/>
      <c r="D1300" s="101"/>
      <c r="E1300" s="102">
        <f>ROUND(IFERROR(SUMPRODUCT(AJ1292:AJ1299,E1292:E1299)/AJ1300,0),3)</f>
        <v>0</v>
      </c>
      <c r="F1300" s="199"/>
      <c r="G1300" s="104"/>
      <c r="H1300" s="105"/>
      <c r="I1300" s="105"/>
      <c r="J1300" s="106"/>
      <c r="K1300" s="104"/>
      <c r="L1300" s="105"/>
      <c r="M1300" s="105"/>
      <c r="N1300" s="106"/>
      <c r="O1300" s="104"/>
      <c r="P1300" s="105"/>
      <c r="Q1300" s="105"/>
      <c r="R1300" s="106"/>
      <c r="S1300" s="104"/>
      <c r="T1300" s="105"/>
      <c r="U1300" s="105"/>
      <c r="V1300" s="106"/>
      <c r="W1300" s="104"/>
      <c r="X1300" s="105"/>
      <c r="Y1300" s="105"/>
      <c r="Z1300" s="106"/>
      <c r="AA1300" s="104"/>
      <c r="AB1300" s="105"/>
      <c r="AC1300" s="105"/>
      <c r="AD1300" s="106"/>
      <c r="AE1300" s="107">
        <f>SUM(AE1292:AE1299)</f>
        <v>0</v>
      </c>
      <c r="AF1300" s="108">
        <f t="shared" si="2626"/>
        <v>0</v>
      </c>
      <c r="AG1300" s="109">
        <f>IFERROR(  SUMPRODUCT(AG1292:AG1299,AJ1292:AJ1299)/AJ1300,0)</f>
        <v>0</v>
      </c>
      <c r="AH1300" s="157"/>
      <c r="AI1300" s="111">
        <f t="shared" ref="AI1300:AJ1300" si="2636">SUM(AI1292:AI1299)</f>
        <v>0</v>
      </c>
      <c r="AJ1300" s="111">
        <f t="shared" si="2636"/>
        <v>0</v>
      </c>
      <c r="AK1300" s="112">
        <f>IF(SUM(AK1292:AK1299)=0,TIME(,0,),TIME(,SUM(AK1292:AK1299)+F!$V$37,))</f>
        <v>0</v>
      </c>
      <c r="AL1300" s="98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</row>
    <row r="1301" ht="15.75" hidden="1" customHeight="1">
      <c r="A1301" s="113">
        <f>A1302</f>
        <v>43943</v>
      </c>
      <c r="B1301" s="114" t="str">
        <f t="shared" ref="B1301:F1301" si="2637">IF(B1245="","",B1245)</f>
        <v>Тяжелая</v>
      </c>
      <c r="C1301" s="115" t="str">
        <f t="shared" si="2637"/>
        <v>ТГ</v>
      </c>
      <c r="D1301" s="116" t="str">
        <f t="shared" si="2637"/>
        <v>Становая тяга</v>
      </c>
      <c r="E1301" s="29">
        <f t="shared" si="2637"/>
        <v>1.4</v>
      </c>
      <c r="F1301" s="117" t="str">
        <f t="shared" si="2637"/>
        <v/>
      </c>
      <c r="G1301" s="118" t="str">
        <f t="shared" ref="G1301:G1308" si="2639">IF(J1301&lt;&gt;0, IFERROR(IF( $F1301=2,  MROUND($AH1301*J1301,1),    IF( OR($F1301="",$F1301=1),   MROUND($AH1301*J1301,2.5),  MROUND($AH1301*J1301, 0.1))), "" ), "")</f>
        <v/>
      </c>
      <c r="H1301" s="119"/>
      <c r="I1301" s="119"/>
      <c r="J1301" s="120"/>
      <c r="K1301" s="118" t="str">
        <f t="shared" ref="K1301:K1308" si="2640">IF(N1301&lt;&gt;0, IFERROR(IF( $F1301=2,  MROUND($AH1301*N1301,1),    IF( OR($F1301="",$F1301=1),   MROUND($AH1301*N1301,2.5),  MROUND($AH1301*N1301, 0.1))), "" ), "")</f>
        <v/>
      </c>
      <c r="L1301" s="119"/>
      <c r="M1301" s="119"/>
      <c r="N1301" s="120"/>
      <c r="O1301" s="118" t="str">
        <f t="shared" ref="O1301:O1308" si="2641">IF(R1301&lt;&gt;0, IFERROR(IF( $F1301=2,  MROUND($AH1301*R1301,1),    IF( OR($F1301="",$F1301=1),   MROUND($AH1301*R1301,2.5),  MROUND($AH1301*R1301, 0.1))), "" ), "")</f>
        <v/>
      </c>
      <c r="P1301" s="119"/>
      <c r="Q1301" s="119"/>
      <c r="R1301" s="120"/>
      <c r="S1301" s="118" t="str">
        <f t="shared" ref="S1301:S1308" si="2642">IF(V1301&lt;&gt;0, IFERROR(IF( $F1301=2,  MROUND($AH1301*V1301,1),    IF( OR($F1301="",$F1301=1),   MROUND($AH1301*V1301,2.5),  MROUND($AH1301*V1301, 0.1))), "" ), "")</f>
        <v/>
      </c>
      <c r="T1301" s="119"/>
      <c r="U1301" s="119"/>
      <c r="V1301" s="120"/>
      <c r="W1301" s="118" t="str">
        <f t="shared" ref="W1301:W1308" si="2643">IF(Z1301&lt;&gt;0, IFERROR(IF( $F1301=2,  MROUND($AH1301*Z1301,1),    IF( OR($F1301="",$F1301=1),   MROUND($AH1301*Z1301,2.5),  MROUND($AH1301*Z1301, 0.1))), "" ), "")</f>
        <v/>
      </c>
      <c r="X1301" s="119"/>
      <c r="Y1301" s="119"/>
      <c r="Z1301" s="120"/>
      <c r="AA1301" s="118" t="str">
        <f t="shared" ref="AA1301:AA1308" si="2644">IF(AD1301&lt;&gt;0, IFERROR(IF( $F1301=2,  MROUND($AH1301*AD1301,1),    IF( OR($F1301="",$F1301=1),   MROUND($AH1301*AD1301,2.5),  MROUND($AH1301*AD1301, 0.1))), "" ), "")</f>
        <v/>
      </c>
      <c r="AB1301" s="119"/>
      <c r="AC1301" s="119"/>
      <c r="AD1301" s="120"/>
      <c r="AE1301" s="121">
        <f t="shared" ref="AE1301:AE1308" si="2645">(IF(ISNUMBER(G1301),G1301,0)*H1301*I1301+IF(ISNUMBER(K1301),K1301,1)*L1301*M1301+IF(ISNUMBER(O1301),O1301,1)*P1301*Q1301+IF(ISNUMBER(S1301),S1301,1)*T1301*U1301+IF(ISNUMBER(W1301),W1301,1)*X1301*Y1301+IF(ISNUMBER(AA1301),AA1301,1)*AB1301*AC1301)*IF(ISNUMBER(F1301),F1301,1)</f>
        <v>0</v>
      </c>
      <c r="AF1301" s="122">
        <f t="shared" si="2626"/>
        <v>0</v>
      </c>
      <c r="AG1301" s="200">
        <f t="shared" ref="AG1301:AG1308" si="2646">IFERROR((AF1301/(AH1301*IF(ISNUMBER(F1301),F1301,1))),0)</f>
        <v>0</v>
      </c>
      <c r="AH1301" s="169">
        <f t="shared" ref="AH1301:AH1308" si="2647">IF(ISNUMBER(AH1245), AH1245+(AH1245*$AH$1290),"")</f>
        <v>291.7263639</v>
      </c>
      <c r="AI1301" s="122">
        <f> ( IF(ISNUMBER(G1301), VLOOKUP(G1301/$AH1301,F!$A1:$B101,2,1)*G1301*$H1301*$I1301,0)+IF(ISNUMBER(K1301), VLOOKUP(K1301/$AH1301,F!$A1:$B101,2,1)*K1301*$L1301*$M1301,0)+IF(ISNUMBER(O1301), VLOOKUP(O1301/$AH1301,F!$A1:$B101,2,1)*O1301*$P1301*$Q1301,0)+IF(ISNUMBER(S1301), VLOOKUP(S1301/$AH1301,F!$A1:$B101,2,1)*S1301*$T1301*$U1301,0)+IF(ISNUMBER(W1301), VLOOKUP(W1301/$AH1301,F!$A1:$B101,2,1)*W1301*$X1301*$Y1301,0)+IF(ISNUMBER(AA1301), VLOOKUP(AA1301/$AH1301,F!$A1:$B101,2,1)*AA1301*$AB1301*$AC1301,0))*IF(ISNUMBER(F1301),F1301,1)*IF(ISNUMBER(E1301),E1301,1)</f>
        <v>0</v>
      </c>
      <c r="AJ1301" s="119">
        <f t="shared" ref="AJ1301:AJ1308" si="2648">H1301*I1301+L1301*M1301+P1301*Q1301+T1301*U1301+X1301*Y1301+AB1301*AC1301</f>
        <v>0</v>
      </c>
      <c r="AK1301" s="125">
        <f t="array" ref="AK1301">IFERROR(I1301*INDEX(F!$P$21:$AB$33, MATCH(G1301/$AH1301, F!$O$21:$O$33,1), MATCH(E1301, F!$P$20:$AB$20,1)), 0 ) +IFERROR( M1301*INDEX(F!$P$21:$AB$33, MATCH(K1301/$AH1301, F!$O$21:$O$33,1), MATCH(E1301, F!$P$20:$AB$20,1)),0) +  IFERROR( Q1301*INDEX(F!$P$21:$AB$33, MATCH(O1301/$AH1301, F!$O$21:$O$33,1), MATCH(E1301, F!$P$20:$AB$20,1)), 0) + IFERROR( U1301*INDEX(F!$P$21:$AB$33, MATCH(S1301/$AH1301, F!$O$21:$O$33,1), MATCH(E1301, F!$P$20:$AB$20,1)),0)  + IFERROR(Y1301*INDEX(F!$P$21:$AB$33, MATCH(W1301/$AH1301, F!$O$21:$O$33,1), MATCH(E1301, F!$P$20:$AB$20,1)),0)  + IFERROR( AC1301*INDEX(F!$P$21:$AB$33, MATCH(AA1301/$AH1301, F!$O$21:$O$33,1), MATCH(E1301, F!$P$20:$AB$20,1)),)</f>
        <v>0</v>
      </c>
      <c r="AL1301" s="42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</row>
    <row r="1302" ht="15.75" hidden="1" customHeight="1">
      <c r="A1302" s="44">
        <f>A1246+A1234</f>
        <v>43943</v>
      </c>
      <c r="B1302" s="126" t="str">
        <f t="shared" ref="B1302:F1302" si="2638">IF(B1246="","",B1246)</f>
        <v>Средняя</v>
      </c>
      <c r="C1302" s="127" t="str">
        <f t="shared" si="2638"/>
        <v>ЖМ</v>
      </c>
      <c r="D1302" s="128" t="str">
        <f t="shared" si="2638"/>
        <v>Жим лежа</v>
      </c>
      <c r="E1302" s="48">
        <f t="shared" si="2638"/>
        <v>1</v>
      </c>
      <c r="F1302" s="129" t="str">
        <f t="shared" si="2638"/>
        <v/>
      </c>
      <c r="G1302" s="130" t="str">
        <f t="shared" si="2639"/>
        <v/>
      </c>
      <c r="H1302" s="34"/>
      <c r="I1302" s="34"/>
      <c r="J1302" s="65"/>
      <c r="K1302" s="130" t="str">
        <f t="shared" si="2640"/>
        <v/>
      </c>
      <c r="L1302" s="34"/>
      <c r="M1302" s="34"/>
      <c r="N1302" s="65"/>
      <c r="O1302" s="130" t="str">
        <f t="shared" si="2641"/>
        <v/>
      </c>
      <c r="P1302" s="34"/>
      <c r="Q1302" s="34"/>
      <c r="R1302" s="65"/>
      <c r="S1302" s="130" t="str">
        <f t="shared" si="2642"/>
        <v/>
      </c>
      <c r="T1302" s="34"/>
      <c r="U1302" s="34"/>
      <c r="V1302" s="65"/>
      <c r="W1302" s="130" t="str">
        <f t="shared" si="2643"/>
        <v/>
      </c>
      <c r="X1302" s="34"/>
      <c r="Y1302" s="34"/>
      <c r="Z1302" s="65"/>
      <c r="AA1302" s="130" t="str">
        <f t="shared" si="2644"/>
        <v/>
      </c>
      <c r="AB1302" s="34"/>
      <c r="AC1302" s="34"/>
      <c r="AD1302" s="65"/>
      <c r="AE1302" s="131">
        <f t="shared" si="2645"/>
        <v>0</v>
      </c>
      <c r="AF1302" s="132">
        <f t="shared" si="2626"/>
        <v>0</v>
      </c>
      <c r="AG1302" s="133">
        <f t="shared" si="2646"/>
        <v>0</v>
      </c>
      <c r="AH1302" s="76">
        <f t="shared" si="2647"/>
        <v>149.8054301</v>
      </c>
      <c r="AI1302" s="132">
        <f> ( IF(ISNUMBER(G1302), VLOOKUP(G1302/$AH1302,F!$A1:$B101,2,1)*G1302*$H1302*$I1302,0)+IF(ISNUMBER(K1302), VLOOKUP(K1302/$AH1302,F!$A1:$B101,2,1)*K1302*$L1302*$M1302,0)+IF(ISNUMBER(O1302), VLOOKUP(O1302/$AH1302,F!$A1:$B101,2,1)*O1302*$P1302*$Q1302,0)+IF(ISNUMBER(S1302), VLOOKUP(S1302/$AH1302,F!$A1:$B101,2,1)*S1302*$T1302*$U1302,0)+IF(ISNUMBER(W1302), VLOOKUP(W1302/$AH1302,F!$A1:$B101,2,1)*W1302*$X1302*$Y1302,0)+IF(ISNUMBER(AA1302), VLOOKUP(AA1302/$AH1302,F!$A1:$B101,2,1)*AA1302*$AB1302*$AC1302,0))*IF(ISNUMBER(F1302),F1302,1)*IF(ISNUMBER(E1302),E1302,1)</f>
        <v>0</v>
      </c>
      <c r="AJ1302" s="34">
        <f t="shared" si="2648"/>
        <v>0</v>
      </c>
      <c r="AK1302" s="134">
        <f t="array" ref="AK1302">IFERROR(I1302*INDEX(F!$P$21:$AB$33, MATCH(G1302/$AH1302, F!$O$21:$O$33,1), MATCH(E1302, F!$P$20:$AB$20,1)), 0 ) +IFERROR( M1302*INDEX(F!$P$21:$AB$33, MATCH(K1302/$AH1302, F!$O$21:$O$33,1), MATCH(E1302, F!$P$20:$AB$20,1)),0) +  IFERROR( Q1302*INDEX(F!$P$21:$AB$33, MATCH(O1302/$AH1302, F!$O$21:$O$33,1), MATCH(E1302, F!$P$20:$AB$20,1)), 0) + IFERROR( U1302*INDEX(F!$P$21:$AB$33, MATCH(S1302/$AH1302, F!$O$21:$O$33,1), MATCH(E1302, F!$P$20:$AB$20,1)),0)  + IFERROR(Y1302*INDEX(F!$P$21:$AB$33, MATCH(W1302/$AH1302, F!$O$21:$O$33,1), MATCH(E1302, F!$P$20:$AB$20,1)),0)  + IFERROR( AC1302*INDEX(F!$P$21:$AB$33, MATCH(AA1302/$AH1302, F!$O$21:$O$33,1), MATCH(E1302, F!$P$20:$AB$20,1)),)</f>
        <v>0</v>
      </c>
      <c r="AL1302" s="59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</row>
    <row r="1303" ht="15.75" hidden="1" customHeight="1">
      <c r="A1303" s="59"/>
      <c r="B1303" s="135" t="str">
        <f t="shared" ref="B1303:F1303" si="2649">IF(B1247="","",B1247)</f>
        <v>Легкая</v>
      </c>
      <c r="C1303" s="136" t="str">
        <f t="shared" si="2649"/>
        <v>ОФП</v>
      </c>
      <c r="D1303" s="137" t="str">
        <f t="shared" si="2649"/>
        <v>Наклоны со штангой</v>
      </c>
      <c r="E1303" s="48">
        <f t="shared" si="2649"/>
        <v>0.8</v>
      </c>
      <c r="F1303" s="138" t="str">
        <f t="shared" si="2649"/>
        <v/>
      </c>
      <c r="G1303" s="139" t="str">
        <f t="shared" si="2639"/>
        <v/>
      </c>
      <c r="H1303" s="140"/>
      <c r="I1303" s="140"/>
      <c r="J1303" s="141"/>
      <c r="K1303" s="139" t="str">
        <f t="shared" si="2640"/>
        <v/>
      </c>
      <c r="L1303" s="140"/>
      <c r="M1303" s="140"/>
      <c r="N1303" s="141"/>
      <c r="O1303" s="139" t="str">
        <f t="shared" si="2641"/>
        <v/>
      </c>
      <c r="P1303" s="140"/>
      <c r="Q1303" s="140"/>
      <c r="R1303" s="141"/>
      <c r="S1303" s="139" t="str">
        <f t="shared" si="2642"/>
        <v/>
      </c>
      <c r="T1303" s="140"/>
      <c r="U1303" s="140"/>
      <c r="V1303" s="141"/>
      <c r="W1303" s="139" t="str">
        <f t="shared" si="2643"/>
        <v/>
      </c>
      <c r="X1303" s="140"/>
      <c r="Y1303" s="140"/>
      <c r="Z1303" s="141"/>
      <c r="AA1303" s="139" t="str">
        <f t="shared" si="2644"/>
        <v/>
      </c>
      <c r="AB1303" s="140"/>
      <c r="AC1303" s="140"/>
      <c r="AD1303" s="141"/>
      <c r="AE1303" s="142">
        <f t="shared" si="2645"/>
        <v>0</v>
      </c>
      <c r="AF1303" s="143">
        <f t="shared" si="2626"/>
        <v>0</v>
      </c>
      <c r="AG1303" s="144">
        <f t="shared" si="2646"/>
        <v>0</v>
      </c>
      <c r="AH1303" s="76">
        <f t="shared" si="2647"/>
        <v>160.4495001</v>
      </c>
      <c r="AI1303" s="143">
        <f> ( IF(ISNUMBER(G1303), VLOOKUP(G1303/$AH1303,F!$A1:$B101,2,1)*G1303*$H1303*$I1303,0)+IF(ISNUMBER(K1303), VLOOKUP(K1303/$AH1303,F!$A1:$B101,2,1)*K1303*$L1303*$M1303,0)+IF(ISNUMBER(O1303), VLOOKUP(O1303/$AH1303,F!$A1:$B101,2,1)*O1303*$P1303*$Q1303,0)+IF(ISNUMBER(S1303), VLOOKUP(S1303/$AH1303,F!$A1:$B101,2,1)*S1303*$T1303*$U1303,0)+IF(ISNUMBER(W1303), VLOOKUP(W1303/$AH1303,F!$A1:$B101,2,1)*W1303*$X1303*$Y1303,0)+IF(ISNUMBER(AA1303), VLOOKUP(AA1303/$AH1303,F!$A1:$B101,2,1)*AA1303*$AB1303*$AC1303,0))*IF(ISNUMBER(F1303),F1303,1)*IF(ISNUMBER(E1303),E1303,1)</f>
        <v>0</v>
      </c>
      <c r="AJ1303" s="140">
        <f t="shared" si="2648"/>
        <v>0</v>
      </c>
      <c r="AK1303" s="145">
        <f t="array" ref="AK1303">IFERROR(I1303*INDEX(F!$P$21:$AB$33, MATCH(G1303/$AH1303, F!$O$21:$O$33,1), MATCH(E1303, F!$P$20:$AB$20,1)), 0 ) +IFERROR( M1303*INDEX(F!$P$21:$AB$33, MATCH(K1303/$AH1303, F!$O$21:$O$33,1), MATCH(E1303, F!$P$20:$AB$20,1)),0) +  IFERROR( Q1303*INDEX(F!$P$21:$AB$33, MATCH(O1303/$AH1303, F!$O$21:$O$33,1), MATCH(E1303, F!$P$20:$AB$20,1)), 0) + IFERROR( U1303*INDEX(F!$P$21:$AB$33, MATCH(S1303/$AH1303, F!$O$21:$O$33,1), MATCH(E1303, F!$P$20:$AB$20,1)),0)  + IFERROR(Y1303*INDEX(F!$P$21:$AB$33, MATCH(W1303/$AH1303, F!$O$21:$O$33,1), MATCH(E1303, F!$P$20:$AB$20,1)),0)  + IFERROR( AC1303*INDEX(F!$P$21:$AB$33, MATCH(AA1303/$AH1303, F!$O$21:$O$33,1), MATCH(E1303, F!$P$20:$AB$20,1)),)</f>
        <v>0</v>
      </c>
      <c r="AL1303" s="59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</row>
    <row r="1304" ht="15.75" hidden="1" customHeight="1">
      <c r="A1304" s="59"/>
      <c r="B1304" s="126" t="str">
        <f t="shared" ref="B1304:F1304" si="2650">IF(B1248="","",B1248)</f>
        <v>Средняя</v>
      </c>
      <c r="C1304" s="127" t="str">
        <f t="shared" si="2650"/>
        <v>ОФП</v>
      </c>
      <c r="D1304" s="128" t="str">
        <f t="shared" si="2650"/>
        <v>Жим стоя</v>
      </c>
      <c r="E1304" s="48">
        <f t="shared" si="2650"/>
        <v>1</v>
      </c>
      <c r="F1304" s="129" t="str">
        <f t="shared" si="2650"/>
        <v/>
      </c>
      <c r="G1304" s="130" t="str">
        <f t="shared" si="2639"/>
        <v/>
      </c>
      <c r="H1304" s="34"/>
      <c r="I1304" s="34"/>
      <c r="J1304" s="65"/>
      <c r="K1304" s="130" t="str">
        <f t="shared" si="2640"/>
        <v/>
      </c>
      <c r="L1304" s="34"/>
      <c r="M1304" s="34"/>
      <c r="N1304" s="65"/>
      <c r="O1304" s="130" t="str">
        <f t="shared" si="2641"/>
        <v/>
      </c>
      <c r="P1304" s="34"/>
      <c r="Q1304" s="34"/>
      <c r="R1304" s="65"/>
      <c r="S1304" s="130" t="str">
        <f t="shared" si="2642"/>
        <v/>
      </c>
      <c r="T1304" s="34"/>
      <c r="U1304" s="34"/>
      <c r="V1304" s="65"/>
      <c r="W1304" s="130" t="str">
        <f t="shared" si="2643"/>
        <v/>
      </c>
      <c r="X1304" s="34"/>
      <c r="Y1304" s="34"/>
      <c r="Z1304" s="65"/>
      <c r="AA1304" s="130" t="str">
        <f t="shared" si="2644"/>
        <v/>
      </c>
      <c r="AB1304" s="34"/>
      <c r="AC1304" s="34"/>
      <c r="AD1304" s="65"/>
      <c r="AE1304" s="131">
        <f t="shared" si="2645"/>
        <v>0</v>
      </c>
      <c r="AF1304" s="132">
        <f t="shared" si="2626"/>
        <v>0</v>
      </c>
      <c r="AG1304" s="133">
        <f t="shared" si="2646"/>
        <v>0</v>
      </c>
      <c r="AH1304" s="76">
        <f t="shared" si="2647"/>
        <v>89.88325806</v>
      </c>
      <c r="AI1304" s="132">
        <f> ( IF(ISNUMBER(G1304), VLOOKUP(G1304/$AH1304,F!$A1:$B101,2,1)*G1304*$H1304*$I1304,0)+IF(ISNUMBER(K1304), VLOOKUP(K1304/$AH1304,F!$A1:$B101,2,1)*K1304*$L1304*$M1304,0)+IF(ISNUMBER(O1304), VLOOKUP(O1304/$AH1304,F!$A1:$B101,2,1)*O1304*$P1304*$Q1304,0)+IF(ISNUMBER(S1304), VLOOKUP(S1304/$AH1304,F!$A1:$B101,2,1)*S1304*$T1304*$U1304,0)+IF(ISNUMBER(W1304), VLOOKUP(W1304/$AH1304,F!$A1:$B101,2,1)*W1304*$X1304*$Y1304,0)+IF(ISNUMBER(AA1304), VLOOKUP(AA1304/$AH1304,F!$A1:$B101,2,1)*AA1304*$AB1304*$AC1304,0))*IF(ISNUMBER(F1304),F1304,1)*IF(ISNUMBER(E1304),E1304,1)</f>
        <v>0</v>
      </c>
      <c r="AJ1304" s="34">
        <f t="shared" si="2648"/>
        <v>0</v>
      </c>
      <c r="AK1304" s="134">
        <f t="array" ref="AK1304">IFERROR(I1304*INDEX(F!$P$21:$AB$33, MATCH(G1304/$AH1304, F!$O$21:$O$33,1), MATCH(E1304, F!$P$20:$AB$20,1)), 0 ) +IFERROR( M1304*INDEX(F!$P$21:$AB$33, MATCH(K1304/$AH1304, F!$O$21:$O$33,1), MATCH(E1304, F!$P$20:$AB$20,1)),0) +  IFERROR( Q1304*INDEX(F!$P$21:$AB$33, MATCH(O1304/$AH1304, F!$O$21:$O$33,1), MATCH(E1304, F!$P$20:$AB$20,1)), 0) + IFERROR( U1304*INDEX(F!$P$21:$AB$33, MATCH(S1304/$AH1304, F!$O$21:$O$33,1), MATCH(E1304, F!$P$20:$AB$20,1)),0)  + IFERROR(Y1304*INDEX(F!$P$21:$AB$33, MATCH(W1304/$AH1304, F!$O$21:$O$33,1), MATCH(E1304, F!$P$20:$AB$20,1)),0)  + IFERROR( AC1304*INDEX(F!$P$21:$AB$33, MATCH(AA1304/$AH1304, F!$O$21:$O$33,1), MATCH(E1304, F!$P$20:$AB$20,1)),)</f>
        <v>0</v>
      </c>
      <c r="AL1304" s="59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</row>
    <row r="1305" ht="15.75" hidden="1" customHeight="1">
      <c r="A1305" s="59"/>
      <c r="B1305" s="135" t="str">
        <f t="shared" ref="B1305:F1305" si="2651">IF(B1249="","",B1249)</f>
        <v>Средняя</v>
      </c>
      <c r="C1305" s="136" t="str">
        <f t="shared" si="2651"/>
        <v>ЖМ</v>
      </c>
      <c r="D1305" s="137" t="str">
        <f t="shared" si="2651"/>
        <v>Жим средним хватом</v>
      </c>
      <c r="E1305" s="48">
        <f t="shared" si="2651"/>
        <v>1</v>
      </c>
      <c r="F1305" s="138" t="str">
        <f t="shared" si="2651"/>
        <v/>
      </c>
      <c r="G1305" s="139" t="str">
        <f t="shared" si="2639"/>
        <v/>
      </c>
      <c r="H1305" s="140"/>
      <c r="I1305" s="140"/>
      <c r="J1305" s="141"/>
      <c r="K1305" s="139" t="str">
        <f t="shared" si="2640"/>
        <v/>
      </c>
      <c r="L1305" s="140"/>
      <c r="M1305" s="140"/>
      <c r="N1305" s="141"/>
      <c r="O1305" s="139" t="str">
        <f t="shared" si="2641"/>
        <v/>
      </c>
      <c r="P1305" s="140"/>
      <c r="Q1305" s="140"/>
      <c r="R1305" s="141"/>
      <c r="S1305" s="139" t="str">
        <f t="shared" si="2642"/>
        <v/>
      </c>
      <c r="T1305" s="140"/>
      <c r="U1305" s="140"/>
      <c r="V1305" s="141"/>
      <c r="W1305" s="139" t="str">
        <f t="shared" si="2643"/>
        <v/>
      </c>
      <c r="X1305" s="140"/>
      <c r="Y1305" s="140"/>
      <c r="Z1305" s="141"/>
      <c r="AA1305" s="139" t="str">
        <f t="shared" si="2644"/>
        <v/>
      </c>
      <c r="AB1305" s="140"/>
      <c r="AC1305" s="140"/>
      <c r="AD1305" s="141"/>
      <c r="AE1305" s="142">
        <f t="shared" si="2645"/>
        <v>0</v>
      </c>
      <c r="AF1305" s="143">
        <f t="shared" si="2626"/>
        <v>0</v>
      </c>
      <c r="AG1305" s="144">
        <f t="shared" si="2646"/>
        <v>0</v>
      </c>
      <c r="AH1305" s="76">
        <f t="shared" si="2647"/>
        <v>127.3346156</v>
      </c>
      <c r="AI1305" s="143">
        <f> ( IF(ISNUMBER(G1305), VLOOKUP(G1305/$AH1305,F!$A1:$B101,2,1)*G1305*$H1305*$I1305,0)+IF(ISNUMBER(K1305), VLOOKUP(K1305/$AH1305,F!$A1:$B101,2,1)*K1305*$L1305*$M1305,0)+IF(ISNUMBER(O1305), VLOOKUP(O1305/$AH1305,F!$A1:$B101,2,1)*O1305*$P1305*$Q1305,0)+IF(ISNUMBER(S1305), VLOOKUP(S1305/$AH1305,F!$A1:$B101,2,1)*S1305*$T1305*$U1305,0)+IF(ISNUMBER(W1305), VLOOKUP(W1305/$AH1305,F!$A1:$B101,2,1)*W1305*$X1305*$Y1305,0)+IF(ISNUMBER(AA1305), VLOOKUP(AA1305/$AH1305,F!$A1:$B101,2,1)*AA1305*$AB1305*$AC1305,0))*IF(ISNUMBER(F1305),F1305,1)*IF(ISNUMBER(E1305),E1305,1)</f>
        <v>0</v>
      </c>
      <c r="AJ1305" s="140">
        <f t="shared" si="2648"/>
        <v>0</v>
      </c>
      <c r="AK1305" s="145">
        <f t="array" ref="AK1305">IFERROR(I1305*INDEX(F!$P$21:$AB$33, MATCH(G1305/$AH1305, F!$O$21:$O$33,1), MATCH(E1305, F!$P$20:$AB$20,1)), 0 ) +IFERROR( M1305*INDEX(F!$P$21:$AB$33, MATCH(K1305/$AH1305, F!$O$21:$O$33,1), MATCH(E1305, F!$P$20:$AB$20,1)),0) +  IFERROR( Q1305*INDEX(F!$P$21:$AB$33, MATCH(O1305/$AH1305, F!$O$21:$O$33,1), MATCH(E1305, F!$P$20:$AB$20,1)), 0) + IFERROR( U1305*INDEX(F!$P$21:$AB$33, MATCH(S1305/$AH1305, F!$O$21:$O$33,1), MATCH(E1305, F!$P$20:$AB$20,1)),0)  + IFERROR(Y1305*INDEX(F!$P$21:$AB$33, MATCH(W1305/$AH1305, F!$O$21:$O$33,1), MATCH(E1305, F!$P$20:$AB$20,1)),0)  + IFERROR( AC1305*INDEX(F!$P$21:$AB$33, MATCH(AA1305/$AH1305, F!$O$21:$O$33,1), MATCH(E1305, F!$P$20:$AB$20,1)),)</f>
        <v>0</v>
      </c>
      <c r="AL1305" s="59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</row>
    <row r="1306" ht="15.75" hidden="1" customHeight="1">
      <c r="A1306" s="59"/>
      <c r="B1306" s="126" t="str">
        <f t="shared" ref="B1306:F1306" si="2652">IF(B1250="","",B1250)</f>
        <v/>
      </c>
      <c r="C1306" s="127" t="str">
        <f t="shared" si="2652"/>
        <v/>
      </c>
      <c r="D1306" s="128" t="str">
        <f t="shared" si="2652"/>
        <v/>
      </c>
      <c r="E1306" s="48" t="str">
        <f t="shared" si="2652"/>
        <v/>
      </c>
      <c r="F1306" s="129" t="str">
        <f t="shared" si="2652"/>
        <v/>
      </c>
      <c r="G1306" s="130" t="str">
        <f t="shared" si="2639"/>
        <v/>
      </c>
      <c r="H1306" s="34"/>
      <c r="I1306" s="34"/>
      <c r="J1306" s="65"/>
      <c r="K1306" s="130" t="str">
        <f t="shared" si="2640"/>
        <v/>
      </c>
      <c r="L1306" s="34"/>
      <c r="M1306" s="34"/>
      <c r="N1306" s="65"/>
      <c r="O1306" s="130" t="str">
        <f t="shared" si="2641"/>
        <v/>
      </c>
      <c r="P1306" s="34"/>
      <c r="Q1306" s="34"/>
      <c r="R1306" s="65"/>
      <c r="S1306" s="130" t="str">
        <f t="shared" si="2642"/>
        <v/>
      </c>
      <c r="T1306" s="34"/>
      <c r="U1306" s="34"/>
      <c r="V1306" s="65"/>
      <c r="W1306" s="130" t="str">
        <f t="shared" si="2643"/>
        <v/>
      </c>
      <c r="X1306" s="34"/>
      <c r="Y1306" s="34"/>
      <c r="Z1306" s="65"/>
      <c r="AA1306" s="130" t="str">
        <f t="shared" si="2644"/>
        <v/>
      </c>
      <c r="AB1306" s="34"/>
      <c r="AC1306" s="34"/>
      <c r="AD1306" s="65"/>
      <c r="AE1306" s="131">
        <f t="shared" si="2645"/>
        <v>0</v>
      </c>
      <c r="AF1306" s="132">
        <f t="shared" si="2626"/>
        <v>0</v>
      </c>
      <c r="AG1306" s="133">
        <f t="shared" si="2646"/>
        <v>0</v>
      </c>
      <c r="AH1306" s="76" t="str">
        <f t="shared" si="2647"/>
        <v/>
      </c>
      <c r="AI1306" s="132">
        <f> ( IF(ISNUMBER(G1306), VLOOKUP(G1306/$AH1306,F!$A1:$B101,2,1)*G1306*$H1306*$I1306,0)+IF(ISNUMBER(K1306), VLOOKUP(K1306/$AH1306,F!$A1:$B101,2,1)*K1306*$L1306*$M1306,0)+IF(ISNUMBER(O1306), VLOOKUP(O1306/$AH1306,F!$A1:$B101,2,1)*O1306*$P1306*$Q1306,0)+IF(ISNUMBER(S1306), VLOOKUP(S1306/$AH1306,F!$A1:$B101,2,1)*S1306*$T1306*$U1306,0)+IF(ISNUMBER(W1306), VLOOKUP(W1306/$AH1306,F!$A1:$B101,2,1)*W1306*$X1306*$Y1306,0)+IF(ISNUMBER(AA1306), VLOOKUP(AA1306/$AH1306,F!$A1:$B101,2,1)*AA1306*$AB1306*$AC1306,0))*IF(ISNUMBER(F1306),F1306,1)*IF(ISNUMBER(E1306),E1306,1)</f>
        <v>0</v>
      </c>
      <c r="AJ1306" s="34">
        <f t="shared" si="2648"/>
        <v>0</v>
      </c>
      <c r="AK1306" s="134">
        <f t="array" ref="AK1306">IFERROR(I1306*INDEX(F!$P$21:$AB$33, MATCH(G1306/$AH1306, F!$O$21:$O$33,1), MATCH(E1306, F!$P$20:$AB$20,1)), 0 ) +IFERROR( M1306*INDEX(F!$P$21:$AB$33, MATCH(K1306/$AH1306, F!$O$21:$O$33,1), MATCH(E1306, F!$P$20:$AB$20,1)),0) +  IFERROR( Q1306*INDEX(F!$P$21:$AB$33, MATCH(O1306/$AH1306, F!$O$21:$O$33,1), MATCH(E1306, F!$P$20:$AB$20,1)), 0) + IFERROR( U1306*INDEX(F!$P$21:$AB$33, MATCH(S1306/$AH1306, F!$O$21:$O$33,1), MATCH(E1306, F!$P$20:$AB$20,1)),0)  + IFERROR(Y1306*INDEX(F!$P$21:$AB$33, MATCH(W1306/$AH1306, F!$O$21:$O$33,1), MATCH(E1306, F!$P$20:$AB$20,1)),0)  + IFERROR( AC1306*INDEX(F!$P$21:$AB$33, MATCH(AA1306/$AH1306, F!$O$21:$O$33,1), MATCH(E1306, F!$P$20:$AB$20,1)),)</f>
        <v>0</v>
      </c>
      <c r="AL1306" s="59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</row>
    <row r="1307" ht="15.75" hidden="1" customHeight="1">
      <c r="A1307" s="59"/>
      <c r="B1307" s="135" t="str">
        <f t="shared" ref="B1307:F1307" si="2653">IF(B1251="","",B1251)</f>
        <v/>
      </c>
      <c r="C1307" s="136" t="str">
        <f t="shared" si="2653"/>
        <v/>
      </c>
      <c r="D1307" s="137" t="str">
        <f t="shared" si="2653"/>
        <v/>
      </c>
      <c r="E1307" s="48" t="str">
        <f t="shared" si="2653"/>
        <v/>
      </c>
      <c r="F1307" s="138" t="str">
        <f t="shared" si="2653"/>
        <v/>
      </c>
      <c r="G1307" s="139" t="str">
        <f t="shared" si="2639"/>
        <v/>
      </c>
      <c r="H1307" s="140"/>
      <c r="I1307" s="140"/>
      <c r="J1307" s="141"/>
      <c r="K1307" s="139" t="str">
        <f t="shared" si="2640"/>
        <v/>
      </c>
      <c r="L1307" s="140"/>
      <c r="M1307" s="140"/>
      <c r="N1307" s="141"/>
      <c r="O1307" s="139" t="str">
        <f t="shared" si="2641"/>
        <v/>
      </c>
      <c r="P1307" s="140"/>
      <c r="Q1307" s="140"/>
      <c r="R1307" s="141"/>
      <c r="S1307" s="139" t="str">
        <f t="shared" si="2642"/>
        <v/>
      </c>
      <c r="T1307" s="140"/>
      <c r="U1307" s="140"/>
      <c r="V1307" s="141"/>
      <c r="W1307" s="139" t="str">
        <f t="shared" si="2643"/>
        <v/>
      </c>
      <c r="X1307" s="140"/>
      <c r="Y1307" s="140"/>
      <c r="Z1307" s="141"/>
      <c r="AA1307" s="139" t="str">
        <f t="shared" si="2644"/>
        <v/>
      </c>
      <c r="AB1307" s="140"/>
      <c r="AC1307" s="140"/>
      <c r="AD1307" s="141"/>
      <c r="AE1307" s="142">
        <f t="shared" si="2645"/>
        <v>0</v>
      </c>
      <c r="AF1307" s="143">
        <f t="shared" si="2626"/>
        <v>0</v>
      </c>
      <c r="AG1307" s="144">
        <f t="shared" si="2646"/>
        <v>0</v>
      </c>
      <c r="AH1307" s="76" t="str">
        <f t="shared" si="2647"/>
        <v/>
      </c>
      <c r="AI1307" s="143">
        <f> ( IF(ISNUMBER(G1307), VLOOKUP(G1307/$AH1307,F!$A1:$B101,2,1)*G1307*$H1307*$I1307,0)+IF(ISNUMBER(K1307), VLOOKUP(K1307/$AH1307,F!$A1:$B101,2,1)*K1307*$L1307*$M1307,0)+IF(ISNUMBER(O1307), VLOOKUP(O1307/$AH1307,F!$A1:$B101,2,1)*O1307*$P1307*$Q1307,0)+IF(ISNUMBER(S1307), VLOOKUP(S1307/$AH1307,F!$A1:$B101,2,1)*S1307*$T1307*$U1307,0)+IF(ISNUMBER(W1307), VLOOKUP(W1307/$AH1307,F!$A1:$B101,2,1)*W1307*$X1307*$Y1307,0)+IF(ISNUMBER(AA1307), VLOOKUP(AA1307/$AH1307,F!$A1:$B101,2,1)*AA1307*$AB1307*$AC1307,0))*IF(ISNUMBER(F1307),F1307,1)*IF(ISNUMBER(E1307),E1307,1)</f>
        <v>0</v>
      </c>
      <c r="AJ1307" s="140">
        <f t="shared" si="2648"/>
        <v>0</v>
      </c>
      <c r="AK1307" s="145">
        <f t="array" ref="AK1307">IFERROR(I1307*INDEX(F!$P$21:$AB$33, MATCH(G1307/$AH1307, F!$O$21:$O$33,1), MATCH(E1307, F!$P$20:$AB$20,1)), 0 ) +IFERROR( M1307*INDEX(F!$P$21:$AB$33, MATCH(K1307/$AH1307, F!$O$21:$O$33,1), MATCH(E1307, F!$P$20:$AB$20,1)),0) +  IFERROR( Q1307*INDEX(F!$P$21:$AB$33, MATCH(O1307/$AH1307, F!$O$21:$O$33,1), MATCH(E1307, F!$P$20:$AB$20,1)), 0) + IFERROR( U1307*INDEX(F!$P$21:$AB$33, MATCH(S1307/$AH1307, F!$O$21:$O$33,1), MATCH(E1307, F!$P$20:$AB$20,1)),0)  + IFERROR(Y1307*INDEX(F!$P$21:$AB$33, MATCH(W1307/$AH1307, F!$O$21:$O$33,1), MATCH(E1307, F!$P$20:$AB$20,1)),0)  + IFERROR( AC1307*INDEX(F!$P$21:$AB$33, MATCH(AA1307/$AH1307, F!$O$21:$O$33,1), MATCH(E1307, F!$P$20:$AB$20,1)),)</f>
        <v>0</v>
      </c>
      <c r="AL1307" s="59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</row>
    <row r="1308" ht="15.75" hidden="1" customHeight="1">
      <c r="A1308" s="59"/>
      <c r="B1308" s="126" t="str">
        <f t="shared" ref="B1308:F1308" si="2654">IF(B1252="","",B1252)</f>
        <v/>
      </c>
      <c r="C1308" s="127" t="str">
        <f t="shared" si="2654"/>
        <v/>
      </c>
      <c r="D1308" s="128" t="str">
        <f t="shared" si="2654"/>
        <v/>
      </c>
      <c r="E1308" s="48" t="str">
        <f t="shared" si="2654"/>
        <v/>
      </c>
      <c r="F1308" s="129" t="str">
        <f t="shared" si="2654"/>
        <v/>
      </c>
      <c r="G1308" s="130" t="str">
        <f t="shared" si="2639"/>
        <v/>
      </c>
      <c r="H1308" s="34"/>
      <c r="I1308" s="34"/>
      <c r="J1308" s="65"/>
      <c r="K1308" s="130" t="str">
        <f t="shared" si="2640"/>
        <v/>
      </c>
      <c r="L1308" s="34"/>
      <c r="M1308" s="34"/>
      <c r="N1308" s="65"/>
      <c r="O1308" s="130" t="str">
        <f t="shared" si="2641"/>
        <v/>
      </c>
      <c r="P1308" s="34"/>
      <c r="Q1308" s="34"/>
      <c r="R1308" s="65"/>
      <c r="S1308" s="130" t="str">
        <f t="shared" si="2642"/>
        <v/>
      </c>
      <c r="T1308" s="34"/>
      <c r="U1308" s="34"/>
      <c r="V1308" s="65"/>
      <c r="W1308" s="130" t="str">
        <f t="shared" si="2643"/>
        <v/>
      </c>
      <c r="X1308" s="34"/>
      <c r="Y1308" s="34"/>
      <c r="Z1308" s="65"/>
      <c r="AA1308" s="130" t="str">
        <f t="shared" si="2644"/>
        <v/>
      </c>
      <c r="AB1308" s="34"/>
      <c r="AC1308" s="34"/>
      <c r="AD1308" s="65"/>
      <c r="AE1308" s="131">
        <f t="shared" si="2645"/>
        <v>0</v>
      </c>
      <c r="AF1308" s="132">
        <f t="shared" si="2626"/>
        <v>0</v>
      </c>
      <c r="AG1308" s="133">
        <f t="shared" si="2646"/>
        <v>0</v>
      </c>
      <c r="AH1308" s="76" t="str">
        <f t="shared" si="2647"/>
        <v/>
      </c>
      <c r="AI1308" s="132">
        <f> ( IF(ISNUMBER(G1308), VLOOKUP(G1308/$AH1308,F!$A1:$B101,2,1)*G1308*$H1308*$I1308,0)+IF(ISNUMBER(K1308), VLOOKUP(K1308/$AH1308,F!$A1:$B101,2,1)*K1308*$L1308*$M1308,0)+IF(ISNUMBER(O1308), VLOOKUP(O1308/$AH1308,F!$A1:$B101,2,1)*O1308*$P1308*$Q1308,0)+IF(ISNUMBER(S1308), VLOOKUP(S1308/$AH1308,F!$A1:$B101,2,1)*S1308*$T1308*$U1308,0)+IF(ISNUMBER(W1308), VLOOKUP(W1308/$AH1308,F!$A1:$B101,2,1)*W1308*$X1308*$Y1308,0)+IF(ISNUMBER(AA1308), VLOOKUP(AA1308/$AH1308,F!$A1:$B101,2,1)*AA1308*$AB1308*$AC1308,0))*IF(ISNUMBER(F1308),F1308,1)*IF(ISNUMBER(E1308),E1308,1)</f>
        <v>0</v>
      </c>
      <c r="AJ1308" s="34">
        <f t="shared" si="2648"/>
        <v>0</v>
      </c>
      <c r="AK1308" s="134">
        <f t="array" ref="AK1308">IFERROR(I1308*INDEX(F!$P$21:$AB$33, MATCH(G1308/$AH1308, F!$O$21:$O$33,1), MATCH(E1308, F!$P$20:$AB$20,1)), 0 ) +IFERROR( M1308*INDEX(F!$P$21:$AB$33, MATCH(K1308/$AH1308, F!$O$21:$O$33,1), MATCH(E1308, F!$P$20:$AB$20,1)),0) +  IFERROR( Q1308*INDEX(F!$P$21:$AB$33, MATCH(O1308/$AH1308, F!$O$21:$O$33,1), MATCH(E1308, F!$P$20:$AB$20,1)), 0) + IFERROR( U1308*INDEX(F!$P$21:$AB$33, MATCH(S1308/$AH1308, F!$O$21:$O$33,1), MATCH(E1308, F!$P$20:$AB$20,1)),0)  + IFERROR(Y1308*INDEX(F!$P$21:$AB$33, MATCH(W1308/$AH1308, F!$O$21:$O$33,1), MATCH(E1308, F!$P$20:$AB$20,1)),0)  + IFERROR( AC1308*INDEX(F!$P$21:$AB$33, MATCH(AA1308/$AH1308, F!$O$21:$O$33,1), MATCH(E1308, F!$P$20:$AB$20,1)),)</f>
        <v>0</v>
      </c>
      <c r="AL1308" s="59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</row>
    <row r="1309" ht="15.75" hidden="1" customHeight="1">
      <c r="A1309" s="98"/>
      <c r="B1309" s="150"/>
      <c r="C1309" s="151"/>
      <c r="D1309" s="152"/>
      <c r="E1309" s="102">
        <f>ROUND(IFERROR(SUMPRODUCT(AJ1301:AJ1308,E1301:E1308)/AJ1309,0),3)</f>
        <v>0</v>
      </c>
      <c r="F1309" s="153"/>
      <c r="G1309" s="154"/>
      <c r="H1309" s="155"/>
      <c r="I1309" s="155"/>
      <c r="J1309" s="156"/>
      <c r="K1309" s="154"/>
      <c r="L1309" s="155"/>
      <c r="M1309" s="155"/>
      <c r="N1309" s="156"/>
      <c r="O1309" s="154"/>
      <c r="P1309" s="155"/>
      <c r="Q1309" s="155"/>
      <c r="R1309" s="156"/>
      <c r="S1309" s="154"/>
      <c r="T1309" s="155"/>
      <c r="U1309" s="155"/>
      <c r="V1309" s="156"/>
      <c r="W1309" s="154"/>
      <c r="X1309" s="155"/>
      <c r="Y1309" s="155"/>
      <c r="Z1309" s="156"/>
      <c r="AA1309" s="154"/>
      <c r="AB1309" s="155"/>
      <c r="AC1309" s="155"/>
      <c r="AD1309" s="156"/>
      <c r="AE1309" s="107">
        <f>SUM(AE1301:AE1308)</f>
        <v>0</v>
      </c>
      <c r="AF1309" s="108">
        <f t="shared" si="2626"/>
        <v>0</v>
      </c>
      <c r="AG1309" s="109">
        <f>IFERROR(  SUMPRODUCT(AG1301:AG1308,AJ1301:AJ1308)/AJ1309,0)</f>
        <v>0</v>
      </c>
      <c r="AH1309" s="157"/>
      <c r="AI1309" s="111">
        <f t="shared" ref="AI1309:AJ1309" si="2655">SUM(AI1301:AI1308)</f>
        <v>0</v>
      </c>
      <c r="AJ1309" s="111">
        <f t="shared" si="2655"/>
        <v>0</v>
      </c>
      <c r="AK1309" s="112">
        <f>IF(SUM(AK1301:AK1308)=0,TIME(,0,),TIME(,SUM(AK1301:AK1308)+F!$V$37,))</f>
        <v>0</v>
      </c>
      <c r="AL1309" s="98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</row>
    <row r="1310" ht="15.75" hidden="1" customHeight="1">
      <c r="A1310" s="158">
        <f>A1311</f>
        <v>43945</v>
      </c>
      <c r="B1310" s="159" t="str">
        <f t="shared" ref="B1310:F1310" si="2656">IF(B1254="","",B1254)</f>
        <v>Тяжелая</v>
      </c>
      <c r="C1310" s="160" t="str">
        <f t="shared" si="2656"/>
        <v>ПР</v>
      </c>
      <c r="D1310" s="161" t="str">
        <f t="shared" si="2656"/>
        <v>Присед</v>
      </c>
      <c r="E1310" s="29">
        <f t="shared" si="2656"/>
        <v>1.2</v>
      </c>
      <c r="F1310" s="162" t="str">
        <f t="shared" si="2656"/>
        <v/>
      </c>
      <c r="G1310" s="163" t="str">
        <f t="shared" ref="G1310:G1317" si="2658">IF(J1310&lt;&gt;0, IFERROR(IF( $F1310=2,  MROUND($AH1310*J1310,1),    IF( OR($F1310="",$F1310=1),   MROUND($AH1310*J1310,2.5),  MROUND($AH1310*J1310, 0.1))), "" ), "")</f>
        <v/>
      </c>
      <c r="H1310" s="164"/>
      <c r="I1310" s="164"/>
      <c r="J1310" s="165"/>
      <c r="K1310" s="163" t="str">
        <f t="shared" ref="K1310:K1317" si="2659">IF(N1310&lt;&gt;0, IFERROR(IF( $F1310=2,  MROUND($AH1310*N1310,1),    IF( OR($F1310="",$F1310=1),   MROUND($AH1310*N1310,2.5),  MROUND($AH1310*N1310, 0.1))), "" ), "")</f>
        <v/>
      </c>
      <c r="L1310" s="164"/>
      <c r="M1310" s="164"/>
      <c r="N1310" s="165"/>
      <c r="O1310" s="163" t="str">
        <f t="shared" ref="O1310:O1317" si="2660">IF(R1310&lt;&gt;0, IFERROR(IF( $F1310=2,  MROUND($AH1310*R1310,1),    IF( OR($F1310="",$F1310=1),   MROUND($AH1310*R1310,2.5),  MROUND($AH1310*R1310, 0.1))), "" ), "")</f>
        <v/>
      </c>
      <c r="P1310" s="164"/>
      <c r="Q1310" s="164"/>
      <c r="R1310" s="165"/>
      <c r="S1310" s="163" t="str">
        <f t="shared" ref="S1310:S1317" si="2661">IF(V1310&lt;&gt;0, IFERROR(IF( $F1310=2,  MROUND($AH1310*V1310,1),    IF( OR($F1310="",$F1310=1),   MROUND($AH1310*V1310,2.5),  MROUND($AH1310*V1310, 0.1))), "" ), "")</f>
        <v/>
      </c>
      <c r="T1310" s="164"/>
      <c r="U1310" s="164"/>
      <c r="V1310" s="165"/>
      <c r="W1310" s="163" t="str">
        <f t="shared" ref="W1310:W1317" si="2662">IF(Z1310&lt;&gt;0, IFERROR(IF( $F1310=2,  MROUND($AH1310*Z1310,1),    IF( OR($F1310="",$F1310=1),   MROUND($AH1310*Z1310,2.5),  MROUND($AH1310*Z1310, 0.1))), "" ), "")</f>
        <v/>
      </c>
      <c r="X1310" s="164"/>
      <c r="Y1310" s="164"/>
      <c r="Z1310" s="165"/>
      <c r="AA1310" s="163" t="str">
        <f t="shared" ref="AA1310:AA1317" si="2663">IF(AD1310&lt;&gt;0, IFERROR(IF( $F1310=2,  MROUND($AH1310*AD1310,1),    IF( OR($F1310="",$F1310=1),   MROUND($AH1310*AD1310,2.5),  MROUND($AH1310*AD1310, 0.1))), "" ), "")</f>
        <v/>
      </c>
      <c r="AB1310" s="164"/>
      <c r="AC1310" s="164"/>
      <c r="AD1310" s="165"/>
      <c r="AE1310" s="166">
        <f t="shared" ref="AE1310:AE1317" si="2664">(IF(ISNUMBER(G1310),G1310,0)*H1310*I1310+IF(ISNUMBER(K1310),K1310,1)*L1310*M1310+IF(ISNUMBER(O1310),O1310,1)*P1310*Q1310+IF(ISNUMBER(S1310),S1310,1)*T1310*U1310+IF(ISNUMBER(W1310),W1310,1)*X1310*Y1310+IF(ISNUMBER(AA1310),AA1310,1)*AB1310*AC1310)*IF(ISNUMBER(F1310),F1310,1)</f>
        <v>0</v>
      </c>
      <c r="AF1310" s="167">
        <f t="shared" si="2626"/>
        <v>0</v>
      </c>
      <c r="AG1310" s="168">
        <f t="shared" ref="AG1310:AG1317" si="2665">IFERROR((AF1310/(AH1310*IF(ISNUMBER(F1310),F1310,1))),0)</f>
        <v>0</v>
      </c>
      <c r="AH1310" s="169">
        <f t="shared" ref="AH1310:AH1317" si="2666">IF(ISNUMBER(AH1254), AH1254+(AH1254*$AH$1290),"")</f>
        <v>212.8814007</v>
      </c>
      <c r="AI1310" s="167">
        <f> ( IF(ISNUMBER(G1310), VLOOKUP(G1310/$AH1310,F!$A1:$B101,2,1)*G1310*$H1310*$I1310,0)+IF(ISNUMBER(K1310), VLOOKUP(K1310/$AH1310,F!$A1:$B101,2,1)*K1310*$L1310*$M1310,0)+IF(ISNUMBER(O1310), VLOOKUP(O1310/$AH1310,F!$A1:$B101,2,1)*O1310*$P1310*$Q1310,0)+IF(ISNUMBER(S1310), VLOOKUP(S1310/$AH1310,F!$A1:$B101,2,1)*S1310*$T1310*$U1310,0)+IF(ISNUMBER(W1310), VLOOKUP(W1310/$AH1310,F!$A1:$B101,2,1)*W1310*$X1310*$Y1310,0)+IF(ISNUMBER(AA1310), VLOOKUP(AA1310/$AH1310,F!$A1:$B101,2,1)*AA1310*$AB1310*$AC1310,0))*IF(ISNUMBER(F1310),F1310,1)*IF(ISNUMBER(E1310),E1310,1)</f>
        <v>0</v>
      </c>
      <c r="AJ1310" s="164">
        <f t="shared" ref="AJ1310:AJ1317" si="2667">H1310*I1310+L1310*M1310+P1310*Q1310+T1310*U1310+X1310*Y1310+AB1310*AC1310</f>
        <v>0</v>
      </c>
      <c r="AK1310" s="170">
        <f t="array" ref="AK1310">IFERROR(I1310*INDEX(F!$P$21:$AB$33, MATCH(G1310/$AH1310, F!$O$21:$O$33,1), MATCH(E1310, F!$P$20:$AB$20,1)), 0 ) +IFERROR( M1310*INDEX(F!$P$21:$AB$33, MATCH(K1310/$AH1310, F!$O$21:$O$33,1), MATCH(E1310, F!$P$20:$AB$20,1)),0) +  IFERROR( Q1310*INDEX(F!$P$21:$AB$33, MATCH(O1310/$AH1310, F!$O$21:$O$33,1), MATCH(E1310, F!$P$20:$AB$20,1)), 0) + IFERROR( U1310*INDEX(F!$P$21:$AB$33, MATCH(S1310/$AH1310, F!$O$21:$O$33,1), MATCH(E1310, F!$P$20:$AB$20,1)),0)  + IFERROR(Y1310*INDEX(F!$P$21:$AB$33, MATCH(W1310/$AH1310, F!$O$21:$O$33,1), MATCH(E1310, F!$P$20:$AB$20,1)),0)  + IFERROR( AC1310*INDEX(F!$P$21:$AB$33, MATCH(AA1310/$AH1310, F!$O$21:$O$33,1), MATCH(E1310, F!$P$20:$AB$20,1)),)</f>
        <v>0</v>
      </c>
      <c r="AL1310" s="42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</row>
    <row r="1311" ht="15.75" hidden="1" customHeight="1">
      <c r="A1311" s="44">
        <f>A1255+A1234</f>
        <v>43945</v>
      </c>
      <c r="B1311" s="135" t="str">
        <f t="shared" ref="B1311:F1311" si="2657">IF(B1255="","",B1255)</f>
        <v>Тяжелая</v>
      </c>
      <c r="C1311" s="136" t="str">
        <f t="shared" si="2657"/>
        <v>ЖМ</v>
      </c>
      <c r="D1311" s="137" t="str">
        <f t="shared" si="2657"/>
        <v>Жим лежа</v>
      </c>
      <c r="E1311" s="48">
        <f t="shared" si="2657"/>
        <v>1</v>
      </c>
      <c r="F1311" s="138" t="str">
        <f t="shared" si="2657"/>
        <v/>
      </c>
      <c r="G1311" s="139" t="str">
        <f t="shared" si="2658"/>
        <v/>
      </c>
      <c r="H1311" s="140"/>
      <c r="I1311" s="140"/>
      <c r="J1311" s="141"/>
      <c r="K1311" s="139" t="str">
        <f t="shared" si="2659"/>
        <v/>
      </c>
      <c r="L1311" s="140"/>
      <c r="M1311" s="140"/>
      <c r="N1311" s="141"/>
      <c r="O1311" s="139" t="str">
        <f t="shared" si="2660"/>
        <v/>
      </c>
      <c r="P1311" s="140"/>
      <c r="Q1311" s="140"/>
      <c r="R1311" s="141"/>
      <c r="S1311" s="139" t="str">
        <f t="shared" si="2661"/>
        <v/>
      </c>
      <c r="T1311" s="140"/>
      <c r="U1311" s="140"/>
      <c r="V1311" s="141"/>
      <c r="W1311" s="139" t="str">
        <f t="shared" si="2662"/>
        <v/>
      </c>
      <c r="X1311" s="140"/>
      <c r="Y1311" s="140"/>
      <c r="Z1311" s="141"/>
      <c r="AA1311" s="139" t="str">
        <f t="shared" si="2663"/>
        <v/>
      </c>
      <c r="AB1311" s="140"/>
      <c r="AC1311" s="140"/>
      <c r="AD1311" s="141"/>
      <c r="AE1311" s="142">
        <f t="shared" si="2664"/>
        <v>0</v>
      </c>
      <c r="AF1311" s="143">
        <f t="shared" si="2626"/>
        <v>0</v>
      </c>
      <c r="AG1311" s="144">
        <f t="shared" si="2665"/>
        <v>0</v>
      </c>
      <c r="AH1311" s="76">
        <f t="shared" si="2666"/>
        <v>149.8054301</v>
      </c>
      <c r="AI1311" s="143">
        <f> ( IF(ISNUMBER(G1311), VLOOKUP(G1311/$AH1311,F!$A1:$B101,2,1)*G1311*$H1311*$I1311,0)+IF(ISNUMBER(K1311), VLOOKUP(K1311/$AH1311,F!$A1:$B101,2,1)*K1311*$L1311*$M1311,0)+IF(ISNUMBER(O1311), VLOOKUP(O1311/$AH1311,F!$A1:$B101,2,1)*O1311*$P1311*$Q1311,0)+IF(ISNUMBER(S1311), VLOOKUP(S1311/$AH1311,F!$A1:$B101,2,1)*S1311*$T1311*$U1311,0)+IF(ISNUMBER(W1311), VLOOKUP(W1311/$AH1311,F!$A1:$B101,2,1)*W1311*$X1311*$Y1311,0)+IF(ISNUMBER(AA1311), VLOOKUP(AA1311/$AH1311,F!$A1:$B101,2,1)*AA1311*$AB1311*$AC1311,0))*IF(ISNUMBER(F1311),F1311,1)*IF(ISNUMBER(E1311),E1311,1)</f>
        <v>0</v>
      </c>
      <c r="AJ1311" s="140">
        <f t="shared" si="2667"/>
        <v>0</v>
      </c>
      <c r="AK1311" s="145">
        <f t="array" ref="AK1311">IFERROR(I1311*INDEX(F!$P$21:$AB$33, MATCH(G1311/$AH1311, F!$O$21:$O$33,1), MATCH(E1311, F!$P$20:$AB$20,1)), 0 ) +IFERROR( M1311*INDEX(F!$P$21:$AB$33, MATCH(K1311/$AH1311, F!$O$21:$O$33,1), MATCH(E1311, F!$P$20:$AB$20,1)),0) +  IFERROR( Q1311*INDEX(F!$P$21:$AB$33, MATCH(O1311/$AH1311, F!$O$21:$O$33,1), MATCH(E1311, F!$P$20:$AB$20,1)), 0) + IFERROR( U1311*INDEX(F!$P$21:$AB$33, MATCH(S1311/$AH1311, F!$O$21:$O$33,1), MATCH(E1311, F!$P$20:$AB$20,1)),0)  + IFERROR(Y1311*INDEX(F!$P$21:$AB$33, MATCH(W1311/$AH1311, F!$O$21:$O$33,1), MATCH(E1311, F!$P$20:$AB$20,1)),0)  + IFERROR( AC1311*INDEX(F!$P$21:$AB$33, MATCH(AA1311/$AH1311, F!$O$21:$O$33,1), MATCH(E1311, F!$P$20:$AB$20,1)),)</f>
        <v>0</v>
      </c>
      <c r="AL1311" s="59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</row>
    <row r="1312" ht="15.75" hidden="1" customHeight="1">
      <c r="A1312" s="59"/>
      <c r="B1312" s="173" t="str">
        <f t="shared" ref="B1312:F1312" si="2668">IF(B1256="","",B1256)</f>
        <v>Средняя</v>
      </c>
      <c r="C1312" s="174" t="str">
        <f t="shared" si="2668"/>
        <v>ПР</v>
      </c>
      <c r="D1312" s="175" t="str">
        <f t="shared" si="2668"/>
        <v>Присед</v>
      </c>
      <c r="E1312" s="48">
        <f t="shared" si="2668"/>
        <v>1.2</v>
      </c>
      <c r="F1312" s="176" t="str">
        <f t="shared" si="2668"/>
        <v/>
      </c>
      <c r="G1312" s="177" t="str">
        <f t="shared" si="2658"/>
        <v/>
      </c>
      <c r="H1312" s="178"/>
      <c r="I1312" s="178"/>
      <c r="J1312" s="179"/>
      <c r="K1312" s="177" t="str">
        <f t="shared" si="2659"/>
        <v/>
      </c>
      <c r="L1312" s="178"/>
      <c r="M1312" s="178"/>
      <c r="N1312" s="179"/>
      <c r="O1312" s="177" t="str">
        <f t="shared" si="2660"/>
        <v/>
      </c>
      <c r="P1312" s="178"/>
      <c r="Q1312" s="178"/>
      <c r="R1312" s="179"/>
      <c r="S1312" s="177" t="str">
        <f t="shared" si="2661"/>
        <v/>
      </c>
      <c r="T1312" s="178"/>
      <c r="U1312" s="178"/>
      <c r="V1312" s="179"/>
      <c r="W1312" s="177" t="str">
        <f t="shared" si="2662"/>
        <v/>
      </c>
      <c r="X1312" s="178"/>
      <c r="Y1312" s="178"/>
      <c r="Z1312" s="179"/>
      <c r="AA1312" s="177" t="str">
        <f t="shared" si="2663"/>
        <v/>
      </c>
      <c r="AB1312" s="178"/>
      <c r="AC1312" s="178"/>
      <c r="AD1312" s="179"/>
      <c r="AE1312" s="180">
        <f t="shared" si="2664"/>
        <v>0</v>
      </c>
      <c r="AF1312" s="181">
        <f t="shared" si="2626"/>
        <v>0</v>
      </c>
      <c r="AG1312" s="182">
        <f t="shared" si="2665"/>
        <v>0</v>
      </c>
      <c r="AH1312" s="76">
        <f t="shared" si="2666"/>
        <v>212.8814007</v>
      </c>
      <c r="AI1312" s="181">
        <f> ( IF(ISNUMBER(G1312), VLOOKUP(G1312/$AH1312,F!$A1:$B101,2,1)*G1312*$H1312*$I1312,0)+IF(ISNUMBER(K1312), VLOOKUP(K1312/$AH1312,F!$A1:$B101,2,1)*K1312*$L1312*$M1312,0)+IF(ISNUMBER(O1312), VLOOKUP(O1312/$AH1312,F!$A1:$B101,2,1)*O1312*$P1312*$Q1312,0)+IF(ISNUMBER(S1312), VLOOKUP(S1312/$AH1312,F!$A1:$B101,2,1)*S1312*$T1312*$U1312,0)+IF(ISNUMBER(W1312), VLOOKUP(W1312/$AH1312,F!$A1:$B101,2,1)*W1312*$X1312*$Y1312,0)+IF(ISNUMBER(AA1312), VLOOKUP(AA1312/$AH1312,F!$A1:$B101,2,1)*AA1312*$AB1312*$AC1312,0))*IF(ISNUMBER(F1312),F1312,1)*IF(ISNUMBER(E1312),E1312,1)</f>
        <v>0</v>
      </c>
      <c r="AJ1312" s="178">
        <f t="shared" si="2667"/>
        <v>0</v>
      </c>
      <c r="AK1312" s="183">
        <f t="array" ref="AK1312">IFERROR(I1312*INDEX(F!$P$21:$AB$33, MATCH(G1312/$AH1312, F!$O$21:$O$33,1), MATCH(E1312, F!$P$20:$AB$20,1)), 0 ) +IFERROR( M1312*INDEX(F!$P$21:$AB$33, MATCH(K1312/$AH1312, F!$O$21:$O$33,1), MATCH(E1312, F!$P$20:$AB$20,1)),0) +  IFERROR( Q1312*INDEX(F!$P$21:$AB$33, MATCH(O1312/$AH1312, F!$O$21:$O$33,1), MATCH(E1312, F!$P$20:$AB$20,1)), 0) + IFERROR( U1312*INDEX(F!$P$21:$AB$33, MATCH(S1312/$AH1312, F!$O$21:$O$33,1), MATCH(E1312, F!$P$20:$AB$20,1)),0)  + IFERROR(Y1312*INDEX(F!$P$21:$AB$33, MATCH(W1312/$AH1312, F!$O$21:$O$33,1), MATCH(E1312, F!$P$20:$AB$20,1)),0)  + IFERROR( AC1312*INDEX(F!$P$21:$AB$33, MATCH(AA1312/$AH1312, F!$O$21:$O$33,1), MATCH(E1312, F!$P$20:$AB$20,1)),)</f>
        <v>0</v>
      </c>
      <c r="AL1312" s="59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</row>
    <row r="1313" ht="15.75" hidden="1" customHeight="1">
      <c r="A1313" s="59"/>
      <c r="B1313" s="135" t="str">
        <f t="shared" ref="B1313:F1313" si="2669">IF(B1257="","",B1257)</f>
        <v>Средняя</v>
      </c>
      <c r="C1313" s="136" t="str">
        <f t="shared" si="2669"/>
        <v>ЖМ</v>
      </c>
      <c r="D1313" s="137" t="str">
        <f t="shared" si="2669"/>
        <v>Жим на наклонной скамье</v>
      </c>
      <c r="E1313" s="48">
        <f t="shared" si="2669"/>
        <v>1</v>
      </c>
      <c r="F1313" s="138" t="str">
        <f t="shared" si="2669"/>
        <v/>
      </c>
      <c r="G1313" s="139" t="str">
        <f t="shared" si="2658"/>
        <v/>
      </c>
      <c r="H1313" s="140"/>
      <c r="I1313" s="140"/>
      <c r="J1313" s="141"/>
      <c r="K1313" s="139" t="str">
        <f t="shared" si="2659"/>
        <v/>
      </c>
      <c r="L1313" s="140"/>
      <c r="M1313" s="140"/>
      <c r="N1313" s="141"/>
      <c r="O1313" s="139" t="str">
        <f t="shared" si="2660"/>
        <v/>
      </c>
      <c r="P1313" s="140"/>
      <c r="Q1313" s="140"/>
      <c r="R1313" s="141"/>
      <c r="S1313" s="139" t="str">
        <f t="shared" si="2661"/>
        <v/>
      </c>
      <c r="T1313" s="140"/>
      <c r="U1313" s="140"/>
      <c r="V1313" s="141"/>
      <c r="W1313" s="139" t="str">
        <f t="shared" si="2662"/>
        <v/>
      </c>
      <c r="X1313" s="140"/>
      <c r="Y1313" s="140"/>
      <c r="Z1313" s="141"/>
      <c r="AA1313" s="139" t="str">
        <f t="shared" si="2663"/>
        <v/>
      </c>
      <c r="AB1313" s="140"/>
      <c r="AC1313" s="140"/>
      <c r="AD1313" s="141"/>
      <c r="AE1313" s="142">
        <f t="shared" si="2664"/>
        <v>0</v>
      </c>
      <c r="AF1313" s="143">
        <f t="shared" si="2626"/>
        <v>0</v>
      </c>
      <c r="AG1313" s="144">
        <f t="shared" si="2665"/>
        <v>0</v>
      </c>
      <c r="AH1313" s="76">
        <f t="shared" si="2666"/>
        <v>119.8443441</v>
      </c>
      <c r="AI1313" s="143">
        <f> ( IF(ISNUMBER(G1313), VLOOKUP(G1313/$AH1313,F!$A1:$B101,2,1)*G1313*$H1313*$I1313,0)+IF(ISNUMBER(K1313), VLOOKUP(K1313/$AH1313,F!$A1:$B101,2,1)*K1313*$L1313*$M1313,0)+IF(ISNUMBER(O1313), VLOOKUP(O1313/$AH1313,F!$A1:$B101,2,1)*O1313*$P1313*$Q1313,0)+IF(ISNUMBER(S1313), VLOOKUP(S1313/$AH1313,F!$A1:$B101,2,1)*S1313*$T1313*$U1313,0)+IF(ISNUMBER(W1313), VLOOKUP(W1313/$AH1313,F!$A1:$B101,2,1)*W1313*$X1313*$Y1313,0)+IF(ISNUMBER(AA1313), VLOOKUP(AA1313/$AH1313,F!$A1:$B101,2,1)*AA1313*$AB1313*$AC1313,0))*IF(ISNUMBER(F1313),F1313,1)*IF(ISNUMBER(E1313),E1313,1)</f>
        <v>0</v>
      </c>
      <c r="AJ1313" s="140">
        <f t="shared" si="2667"/>
        <v>0</v>
      </c>
      <c r="AK1313" s="145">
        <f t="array" ref="AK1313">IFERROR(I1313*INDEX(F!$P$21:$AB$33, MATCH(G1313/$AH1313, F!$O$21:$O$33,1), MATCH(E1313, F!$P$20:$AB$20,1)), 0 ) +IFERROR( M1313*INDEX(F!$P$21:$AB$33, MATCH(K1313/$AH1313, F!$O$21:$O$33,1), MATCH(E1313, F!$P$20:$AB$20,1)),0) +  IFERROR( Q1313*INDEX(F!$P$21:$AB$33, MATCH(O1313/$AH1313, F!$O$21:$O$33,1), MATCH(E1313, F!$P$20:$AB$20,1)), 0) + IFERROR( U1313*INDEX(F!$P$21:$AB$33, MATCH(S1313/$AH1313, F!$O$21:$O$33,1), MATCH(E1313, F!$P$20:$AB$20,1)),0)  + IFERROR(Y1313*INDEX(F!$P$21:$AB$33, MATCH(W1313/$AH1313, F!$O$21:$O$33,1), MATCH(E1313, F!$P$20:$AB$20,1)),0)  + IFERROR( AC1313*INDEX(F!$P$21:$AB$33, MATCH(AA1313/$AH1313, F!$O$21:$O$33,1), MATCH(E1313, F!$P$20:$AB$20,1)),)</f>
        <v>0</v>
      </c>
      <c r="AL1313" s="59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</row>
    <row r="1314" ht="15.75" hidden="1" customHeight="1">
      <c r="A1314" s="59"/>
      <c r="B1314" s="173" t="str">
        <f t="shared" ref="B1314:F1314" si="2670">IF(B1258="","",B1258)</f>
        <v>Средняя</v>
      </c>
      <c r="C1314" s="174" t="str">
        <f t="shared" si="2670"/>
        <v>ОФП</v>
      </c>
      <c r="D1314" s="175" t="str">
        <f t="shared" si="2670"/>
        <v>Бицепс стоя</v>
      </c>
      <c r="E1314" s="48">
        <f t="shared" si="2670"/>
        <v>0.5</v>
      </c>
      <c r="F1314" s="176" t="str">
        <f t="shared" si="2670"/>
        <v/>
      </c>
      <c r="G1314" s="177" t="str">
        <f t="shared" si="2658"/>
        <v/>
      </c>
      <c r="H1314" s="178"/>
      <c r="I1314" s="178"/>
      <c r="J1314" s="179"/>
      <c r="K1314" s="177" t="str">
        <f t="shared" si="2659"/>
        <v/>
      </c>
      <c r="L1314" s="178"/>
      <c r="M1314" s="178"/>
      <c r="N1314" s="179"/>
      <c r="O1314" s="177" t="str">
        <f t="shared" si="2660"/>
        <v/>
      </c>
      <c r="P1314" s="178"/>
      <c r="Q1314" s="178"/>
      <c r="R1314" s="179"/>
      <c r="S1314" s="177" t="str">
        <f t="shared" si="2661"/>
        <v/>
      </c>
      <c r="T1314" s="178"/>
      <c r="U1314" s="178"/>
      <c r="V1314" s="179"/>
      <c r="W1314" s="177" t="str">
        <f t="shared" si="2662"/>
        <v/>
      </c>
      <c r="X1314" s="178"/>
      <c r="Y1314" s="178"/>
      <c r="Z1314" s="179"/>
      <c r="AA1314" s="177" t="str">
        <f t="shared" si="2663"/>
        <v/>
      </c>
      <c r="AB1314" s="178"/>
      <c r="AC1314" s="178"/>
      <c r="AD1314" s="179"/>
      <c r="AE1314" s="180">
        <f t="shared" si="2664"/>
        <v>0</v>
      </c>
      <c r="AF1314" s="181">
        <f t="shared" si="2626"/>
        <v>0</v>
      </c>
      <c r="AG1314" s="182">
        <f t="shared" si="2665"/>
        <v>0</v>
      </c>
      <c r="AH1314" s="76" t="str">
        <f t="shared" si="2666"/>
        <v/>
      </c>
      <c r="AI1314" s="181">
        <f> ( IF(ISNUMBER(G1314), VLOOKUP(G1314/$AH1314,F!$A1:$B101,2,1)*G1314*$H1314*$I1314,0)+IF(ISNUMBER(K1314), VLOOKUP(K1314/$AH1314,F!$A1:$B101,2,1)*K1314*$L1314*$M1314,0)+IF(ISNUMBER(O1314), VLOOKUP(O1314/$AH1314,F!$A1:$B101,2,1)*O1314*$P1314*$Q1314,0)+IF(ISNUMBER(S1314), VLOOKUP(S1314/$AH1314,F!$A1:$B101,2,1)*S1314*$T1314*$U1314,0)+IF(ISNUMBER(W1314), VLOOKUP(W1314/$AH1314,F!$A1:$B101,2,1)*W1314*$X1314*$Y1314,0)+IF(ISNUMBER(AA1314), VLOOKUP(AA1314/$AH1314,F!$A1:$B101,2,1)*AA1314*$AB1314*$AC1314,0))*IF(ISNUMBER(F1314),F1314,1)*IF(ISNUMBER(E1314),E1314,1)</f>
        <v>0</v>
      </c>
      <c r="AJ1314" s="178">
        <f t="shared" si="2667"/>
        <v>0</v>
      </c>
      <c r="AK1314" s="183">
        <f t="array" ref="AK1314">IFERROR(I1314*INDEX(F!$P$21:$AB$33, MATCH(G1314/$AH1314, F!$O$21:$O$33,1), MATCH(E1314, F!$P$20:$AB$20,1)), 0 ) +IFERROR( M1314*INDEX(F!$P$21:$AB$33, MATCH(K1314/$AH1314, F!$O$21:$O$33,1), MATCH(E1314, F!$P$20:$AB$20,1)),0) +  IFERROR( Q1314*INDEX(F!$P$21:$AB$33, MATCH(O1314/$AH1314, F!$O$21:$O$33,1), MATCH(E1314, F!$P$20:$AB$20,1)), 0) + IFERROR( U1314*INDEX(F!$P$21:$AB$33, MATCH(S1314/$AH1314, F!$O$21:$O$33,1), MATCH(E1314, F!$P$20:$AB$20,1)),0)  + IFERROR(Y1314*INDEX(F!$P$21:$AB$33, MATCH(W1314/$AH1314, F!$O$21:$O$33,1), MATCH(E1314, F!$P$20:$AB$20,1)),0)  + IFERROR( AC1314*INDEX(F!$P$21:$AB$33, MATCH(AA1314/$AH1314, F!$O$21:$O$33,1), MATCH(E1314, F!$P$20:$AB$20,1)),)</f>
        <v>0</v>
      </c>
      <c r="AL1314" s="59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</row>
    <row r="1315" ht="15.75" hidden="1" customHeight="1">
      <c r="A1315" s="59"/>
      <c r="B1315" s="135" t="str">
        <f t="shared" ref="B1315:F1315" si="2671">IF(B1259="","",B1259)</f>
        <v/>
      </c>
      <c r="C1315" s="136" t="str">
        <f t="shared" si="2671"/>
        <v/>
      </c>
      <c r="D1315" s="137" t="str">
        <f t="shared" si="2671"/>
        <v/>
      </c>
      <c r="E1315" s="48" t="str">
        <f t="shared" si="2671"/>
        <v/>
      </c>
      <c r="F1315" s="138" t="str">
        <f t="shared" si="2671"/>
        <v/>
      </c>
      <c r="G1315" s="139" t="str">
        <f t="shared" si="2658"/>
        <v/>
      </c>
      <c r="H1315" s="140"/>
      <c r="I1315" s="140"/>
      <c r="J1315" s="141"/>
      <c r="K1315" s="139" t="str">
        <f t="shared" si="2659"/>
        <v/>
      </c>
      <c r="L1315" s="140"/>
      <c r="M1315" s="140"/>
      <c r="N1315" s="141"/>
      <c r="O1315" s="139" t="str">
        <f t="shared" si="2660"/>
        <v/>
      </c>
      <c r="P1315" s="140"/>
      <c r="Q1315" s="140"/>
      <c r="R1315" s="141"/>
      <c r="S1315" s="139" t="str">
        <f t="shared" si="2661"/>
        <v/>
      </c>
      <c r="T1315" s="140"/>
      <c r="U1315" s="140"/>
      <c r="V1315" s="141"/>
      <c r="W1315" s="139" t="str">
        <f t="shared" si="2662"/>
        <v/>
      </c>
      <c r="X1315" s="140"/>
      <c r="Y1315" s="140"/>
      <c r="Z1315" s="141"/>
      <c r="AA1315" s="139" t="str">
        <f t="shared" si="2663"/>
        <v/>
      </c>
      <c r="AB1315" s="140"/>
      <c r="AC1315" s="140"/>
      <c r="AD1315" s="141"/>
      <c r="AE1315" s="142">
        <f t="shared" si="2664"/>
        <v>0</v>
      </c>
      <c r="AF1315" s="143">
        <f t="shared" si="2626"/>
        <v>0</v>
      </c>
      <c r="AG1315" s="144">
        <f t="shared" si="2665"/>
        <v>0</v>
      </c>
      <c r="AH1315" s="76" t="str">
        <f t="shared" si="2666"/>
        <v/>
      </c>
      <c r="AI1315" s="143">
        <f> ( IF(ISNUMBER(G1315), VLOOKUP(G1315/$AH1315,F!$A1:$B101,2,1)*G1315*$H1315*$I1315,0)+IF(ISNUMBER(K1315), VLOOKUP(K1315/$AH1315,F!$A1:$B101,2,1)*K1315*$L1315*$M1315,0)+IF(ISNUMBER(O1315), VLOOKUP(O1315/$AH1315,F!$A1:$B101,2,1)*O1315*$P1315*$Q1315,0)+IF(ISNUMBER(S1315), VLOOKUP(S1315/$AH1315,F!$A1:$B101,2,1)*S1315*$T1315*$U1315,0)+IF(ISNUMBER(W1315), VLOOKUP(W1315/$AH1315,F!$A1:$B101,2,1)*W1315*$X1315*$Y1315,0)+IF(ISNUMBER(AA1315), VLOOKUP(AA1315/$AH1315,F!$A1:$B101,2,1)*AA1315*$AB1315*$AC1315,0))*IF(ISNUMBER(F1315),F1315,1)*IF(ISNUMBER(E1315),E1315,1)</f>
        <v>0</v>
      </c>
      <c r="AJ1315" s="140">
        <f t="shared" si="2667"/>
        <v>0</v>
      </c>
      <c r="AK1315" s="145">
        <f t="array" ref="AK1315">IFERROR(I1315*INDEX(F!$P$21:$AB$33, MATCH(G1315/$AH1315, F!$O$21:$O$33,1), MATCH(E1315, F!$P$20:$AB$20,1)), 0 ) +IFERROR( M1315*INDEX(F!$P$21:$AB$33, MATCH(K1315/$AH1315, F!$O$21:$O$33,1), MATCH(E1315, F!$P$20:$AB$20,1)),0) +  IFERROR( Q1315*INDEX(F!$P$21:$AB$33, MATCH(O1315/$AH1315, F!$O$21:$O$33,1), MATCH(E1315, F!$P$20:$AB$20,1)), 0) + IFERROR( U1315*INDEX(F!$P$21:$AB$33, MATCH(S1315/$AH1315, F!$O$21:$O$33,1), MATCH(E1315, F!$P$20:$AB$20,1)),0)  + IFERROR(Y1315*INDEX(F!$P$21:$AB$33, MATCH(W1315/$AH1315, F!$O$21:$O$33,1), MATCH(E1315, F!$P$20:$AB$20,1)),0)  + IFERROR( AC1315*INDEX(F!$P$21:$AB$33, MATCH(AA1315/$AH1315, F!$O$21:$O$33,1), MATCH(E1315, F!$P$20:$AB$20,1)),)</f>
        <v>0</v>
      </c>
      <c r="AL1315" s="59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</row>
    <row r="1316" ht="15.75" hidden="1" customHeight="1">
      <c r="A1316" s="59"/>
      <c r="B1316" s="173" t="str">
        <f t="shared" ref="B1316:F1316" si="2672">IF(B1260="","",B1260)</f>
        <v/>
      </c>
      <c r="C1316" s="174" t="str">
        <f t="shared" si="2672"/>
        <v/>
      </c>
      <c r="D1316" s="175" t="str">
        <f t="shared" si="2672"/>
        <v/>
      </c>
      <c r="E1316" s="48" t="str">
        <f t="shared" si="2672"/>
        <v/>
      </c>
      <c r="F1316" s="176" t="str">
        <f t="shared" si="2672"/>
        <v/>
      </c>
      <c r="G1316" s="177" t="str">
        <f t="shared" si="2658"/>
        <v/>
      </c>
      <c r="H1316" s="178"/>
      <c r="I1316" s="178"/>
      <c r="J1316" s="179"/>
      <c r="K1316" s="177" t="str">
        <f t="shared" si="2659"/>
        <v/>
      </c>
      <c r="L1316" s="178"/>
      <c r="M1316" s="178"/>
      <c r="N1316" s="179"/>
      <c r="O1316" s="177" t="str">
        <f t="shared" si="2660"/>
        <v/>
      </c>
      <c r="P1316" s="178"/>
      <c r="Q1316" s="178"/>
      <c r="R1316" s="179"/>
      <c r="S1316" s="177" t="str">
        <f t="shared" si="2661"/>
        <v/>
      </c>
      <c r="T1316" s="178"/>
      <c r="U1316" s="178"/>
      <c r="V1316" s="179"/>
      <c r="W1316" s="177" t="str">
        <f t="shared" si="2662"/>
        <v/>
      </c>
      <c r="X1316" s="178"/>
      <c r="Y1316" s="178"/>
      <c r="Z1316" s="179"/>
      <c r="AA1316" s="177" t="str">
        <f t="shared" si="2663"/>
        <v/>
      </c>
      <c r="AB1316" s="178"/>
      <c r="AC1316" s="178"/>
      <c r="AD1316" s="179"/>
      <c r="AE1316" s="180">
        <f t="shared" si="2664"/>
        <v>0</v>
      </c>
      <c r="AF1316" s="181">
        <f t="shared" si="2626"/>
        <v>0</v>
      </c>
      <c r="AG1316" s="182">
        <f t="shared" si="2665"/>
        <v>0</v>
      </c>
      <c r="AH1316" s="76" t="str">
        <f t="shared" si="2666"/>
        <v/>
      </c>
      <c r="AI1316" s="181">
        <f> ( IF(ISNUMBER(G1316), VLOOKUP(G1316/$AH1316,F!$A1:$B101,2,1)*G1316*$H1316*$I1316,0)+IF(ISNUMBER(K1316), VLOOKUP(K1316/$AH1316,F!$A1:$B101,2,1)*K1316*$L1316*$M1316,0)+IF(ISNUMBER(O1316), VLOOKUP(O1316/$AH1316,F!$A1:$B101,2,1)*O1316*$P1316*$Q1316,0)+IF(ISNUMBER(S1316), VLOOKUP(S1316/$AH1316,F!$A1:$B101,2,1)*S1316*$T1316*$U1316,0)+IF(ISNUMBER(W1316), VLOOKUP(W1316/$AH1316,F!$A1:$B101,2,1)*W1316*$X1316*$Y1316,0)+IF(ISNUMBER(AA1316), VLOOKUP(AA1316/$AH1316,F!$A1:$B101,2,1)*AA1316*$AB1316*$AC1316,0))*IF(ISNUMBER(F1316),F1316,1)*IF(ISNUMBER(E1316),E1316,1)</f>
        <v>0</v>
      </c>
      <c r="AJ1316" s="178">
        <f t="shared" si="2667"/>
        <v>0</v>
      </c>
      <c r="AK1316" s="183">
        <f t="array" ref="AK1316">IFERROR(I1316*INDEX(F!$P$21:$AB$33, MATCH(G1316/$AH1316, F!$O$21:$O$33,1), MATCH(E1316, F!$P$20:$AB$20,1)), 0 ) +IFERROR( M1316*INDEX(F!$P$21:$AB$33, MATCH(K1316/$AH1316, F!$O$21:$O$33,1), MATCH(E1316, F!$P$20:$AB$20,1)),0) +  IFERROR( Q1316*INDEX(F!$P$21:$AB$33, MATCH(O1316/$AH1316, F!$O$21:$O$33,1), MATCH(E1316, F!$P$20:$AB$20,1)), 0) + IFERROR( U1316*INDEX(F!$P$21:$AB$33, MATCH(S1316/$AH1316, F!$O$21:$O$33,1), MATCH(E1316, F!$P$20:$AB$20,1)),0)  + IFERROR(Y1316*INDEX(F!$P$21:$AB$33, MATCH(W1316/$AH1316, F!$O$21:$O$33,1), MATCH(E1316, F!$P$20:$AB$20,1)),0)  + IFERROR( AC1316*INDEX(F!$P$21:$AB$33, MATCH(AA1316/$AH1316, F!$O$21:$O$33,1), MATCH(E1316, F!$P$20:$AB$20,1)),)</f>
        <v>0</v>
      </c>
      <c r="AL1316" s="59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</row>
    <row r="1317" ht="15.75" hidden="1" customHeight="1">
      <c r="A1317" s="59"/>
      <c r="B1317" s="135" t="str">
        <f t="shared" ref="B1317:F1317" si="2673">IF(B1261="","",B1261)</f>
        <v/>
      </c>
      <c r="C1317" s="136" t="str">
        <f t="shared" si="2673"/>
        <v/>
      </c>
      <c r="D1317" s="137" t="str">
        <f t="shared" si="2673"/>
        <v/>
      </c>
      <c r="E1317" s="48" t="str">
        <f t="shared" si="2673"/>
        <v/>
      </c>
      <c r="F1317" s="138" t="str">
        <f t="shared" si="2673"/>
        <v/>
      </c>
      <c r="G1317" s="139" t="str">
        <f t="shared" si="2658"/>
        <v/>
      </c>
      <c r="H1317" s="140"/>
      <c r="I1317" s="140"/>
      <c r="J1317" s="141"/>
      <c r="K1317" s="139" t="str">
        <f t="shared" si="2659"/>
        <v/>
      </c>
      <c r="L1317" s="140"/>
      <c r="M1317" s="140"/>
      <c r="N1317" s="141"/>
      <c r="O1317" s="139" t="str">
        <f t="shared" si="2660"/>
        <v/>
      </c>
      <c r="P1317" s="140"/>
      <c r="Q1317" s="140"/>
      <c r="R1317" s="141"/>
      <c r="S1317" s="139" t="str">
        <f t="shared" si="2661"/>
        <v/>
      </c>
      <c r="T1317" s="140"/>
      <c r="U1317" s="140"/>
      <c r="V1317" s="141"/>
      <c r="W1317" s="139" t="str">
        <f t="shared" si="2662"/>
        <v/>
      </c>
      <c r="X1317" s="140"/>
      <c r="Y1317" s="140"/>
      <c r="Z1317" s="141"/>
      <c r="AA1317" s="139" t="str">
        <f t="shared" si="2663"/>
        <v/>
      </c>
      <c r="AB1317" s="140"/>
      <c r="AC1317" s="140"/>
      <c r="AD1317" s="141"/>
      <c r="AE1317" s="142">
        <f t="shared" si="2664"/>
        <v>0</v>
      </c>
      <c r="AF1317" s="143">
        <f t="shared" si="2626"/>
        <v>0</v>
      </c>
      <c r="AG1317" s="144">
        <f t="shared" si="2665"/>
        <v>0</v>
      </c>
      <c r="AH1317" s="76" t="str">
        <f t="shared" si="2666"/>
        <v/>
      </c>
      <c r="AI1317" s="143">
        <f> ( IF(ISNUMBER(G1317), VLOOKUP(G1317/$AH1317,F!$A1:$B101,2,1)*G1317*$H1317*$I1317,0)+IF(ISNUMBER(K1317), VLOOKUP(K1317/$AH1317,F!$A1:$B101,2,1)*K1317*$L1317*$M1317,0)+IF(ISNUMBER(O1317), VLOOKUP(O1317/$AH1317,F!$A1:$B101,2,1)*O1317*$P1317*$Q1317,0)+IF(ISNUMBER(S1317), VLOOKUP(S1317/$AH1317,F!$A1:$B101,2,1)*S1317*$T1317*$U1317,0)+IF(ISNUMBER(W1317), VLOOKUP(W1317/$AH1317,F!$A1:$B101,2,1)*W1317*$X1317*$Y1317,0)+IF(ISNUMBER(AA1317), VLOOKUP(AA1317/$AH1317,F!$A1:$B101,2,1)*AA1317*$AB1317*$AC1317,0))*IF(ISNUMBER(F1317),F1317,1)*IF(ISNUMBER(E1317),E1317,1)</f>
        <v>0</v>
      </c>
      <c r="AJ1317" s="140">
        <f t="shared" si="2667"/>
        <v>0</v>
      </c>
      <c r="AK1317" s="145">
        <f t="array" ref="AK1317">IFERROR(I1317*INDEX(F!$P$21:$AB$33, MATCH(G1317/$AH1317, F!$O$21:$O$33,1), MATCH(E1317, F!$P$20:$AB$20,1)), 0 ) +IFERROR( M1317*INDEX(F!$P$21:$AB$33, MATCH(K1317/$AH1317, F!$O$21:$O$33,1), MATCH(E1317, F!$P$20:$AB$20,1)),0) +  IFERROR( Q1317*INDEX(F!$P$21:$AB$33, MATCH(O1317/$AH1317, F!$O$21:$O$33,1), MATCH(E1317, F!$P$20:$AB$20,1)), 0) + IFERROR( U1317*INDEX(F!$P$21:$AB$33, MATCH(S1317/$AH1317, F!$O$21:$O$33,1), MATCH(E1317, F!$P$20:$AB$20,1)),0)  + IFERROR(Y1317*INDEX(F!$P$21:$AB$33, MATCH(W1317/$AH1317, F!$O$21:$O$33,1), MATCH(E1317, F!$P$20:$AB$20,1)),0)  + IFERROR( AC1317*INDEX(F!$P$21:$AB$33, MATCH(AA1317/$AH1317, F!$O$21:$O$33,1), MATCH(E1317, F!$P$20:$AB$20,1)),)</f>
        <v>0</v>
      </c>
      <c r="AL1317" s="59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</row>
    <row r="1318" ht="15.75" hidden="1" customHeight="1">
      <c r="A1318" s="98"/>
      <c r="B1318" s="188"/>
      <c r="C1318" s="189"/>
      <c r="D1318" s="190"/>
      <c r="E1318" s="102">
        <f>ROUND(IFERROR(SUMPRODUCT(AJ1310:AJ1317,E1310:E1317)/AJ1318,0),3)</f>
        <v>0</v>
      </c>
      <c r="F1318" s="191"/>
      <c r="G1318" s="192"/>
      <c r="H1318" s="193"/>
      <c r="I1318" s="193"/>
      <c r="J1318" s="194"/>
      <c r="K1318" s="192"/>
      <c r="L1318" s="193"/>
      <c r="M1318" s="193"/>
      <c r="N1318" s="194"/>
      <c r="O1318" s="192"/>
      <c r="P1318" s="193"/>
      <c r="Q1318" s="193"/>
      <c r="R1318" s="194"/>
      <c r="S1318" s="192"/>
      <c r="T1318" s="193"/>
      <c r="U1318" s="193"/>
      <c r="V1318" s="194"/>
      <c r="W1318" s="192"/>
      <c r="X1318" s="193"/>
      <c r="Y1318" s="193"/>
      <c r="Z1318" s="194"/>
      <c r="AA1318" s="192"/>
      <c r="AB1318" s="193"/>
      <c r="AC1318" s="193"/>
      <c r="AD1318" s="194"/>
      <c r="AE1318" s="107">
        <f>SUM(AE1310:AE1317)</f>
        <v>0</v>
      </c>
      <c r="AF1318" s="108">
        <f t="shared" si="2626"/>
        <v>0</v>
      </c>
      <c r="AG1318" s="109">
        <f>IFERROR(  SUMPRODUCT(AG1310:AG1317,AJ1310:AJ1317)/AJ1318,0)</f>
        <v>0</v>
      </c>
      <c r="AH1318" s="157"/>
      <c r="AI1318" s="111">
        <f t="shared" ref="AI1318:AJ1318" si="2674">SUM(AI1310:AI1317)</f>
        <v>0</v>
      </c>
      <c r="AJ1318" s="111">
        <f t="shared" si="2674"/>
        <v>0</v>
      </c>
      <c r="AK1318" s="112">
        <f>IF(SUM(AK1310:AK1317)=0,TIME(,0,),TIME(,SUM(AK1310:AK1317)+F!$V$37,))</f>
        <v>0</v>
      </c>
      <c r="AL1318" s="98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</row>
    <row r="1319" ht="15.75" hidden="1" customHeight="1">
      <c r="A1319" s="25">
        <f>A1320</f>
        <v>43946</v>
      </c>
      <c r="B1319" s="26" t="str">
        <f t="shared" ref="B1319:F1319" si="2675">IF(B1263="","",B1263)</f>
        <v/>
      </c>
      <c r="C1319" s="27" t="str">
        <f t="shared" si="2675"/>
        <v/>
      </c>
      <c r="D1319" s="28" t="str">
        <f t="shared" si="2675"/>
        <v/>
      </c>
      <c r="E1319" s="29" t="str">
        <f t="shared" si="2675"/>
        <v/>
      </c>
      <c r="F1319" s="30" t="str">
        <f t="shared" si="2675"/>
        <v/>
      </c>
      <c r="G1319" s="31" t="str">
        <f t="shared" ref="G1319:G1326" si="2677">IF(J1319&lt;&gt;0, IFERROR(IF( $F1319=2,  MROUND($AH1319*J1319,1),    IF( OR($F1319="",$F1319=1),   MROUND($AH1319*J1319,2.5),  MROUND($AH1319*J1319, 0.1))), "" ), "")</f>
        <v/>
      </c>
      <c r="H1319" s="32"/>
      <c r="I1319" s="32"/>
      <c r="J1319" s="33"/>
      <c r="K1319" s="31" t="str">
        <f t="shared" ref="K1319:K1326" si="2678">IF(N1319&lt;&gt;0, IFERROR(IF( $F1319=2,  MROUND($AH1319*N1319,1),    IF( OR($F1319="",$F1319=1),   MROUND($AH1319*N1319,2.5),  MROUND($AH1319*N1319, 0.1))), "" ), "")</f>
        <v/>
      </c>
      <c r="L1319" s="32"/>
      <c r="M1319" s="32"/>
      <c r="N1319" s="33"/>
      <c r="O1319" s="31" t="str">
        <f t="shared" ref="O1319:O1326" si="2679">IF(R1319&lt;&gt;0, IFERROR(IF( $F1319=2,  MROUND($AH1319*R1319,1),    IF( OR($F1319="",$F1319=1),   MROUND($AH1319*R1319,2.5),  MROUND($AH1319*R1319, 0.1))), "" ), "")</f>
        <v/>
      </c>
      <c r="P1319" s="32"/>
      <c r="Q1319" s="32"/>
      <c r="R1319" s="33"/>
      <c r="S1319" s="31" t="str">
        <f t="shared" ref="S1319:S1326" si="2680">IF(V1319&lt;&gt;0, IFERROR(IF( $F1319=2,  MROUND($AH1319*V1319,1),    IF( OR($F1319="",$F1319=1),   MROUND($AH1319*V1319,2.5),  MROUND($AH1319*V1319, 0.1))), "" ), "")</f>
        <v/>
      </c>
      <c r="T1319" s="32"/>
      <c r="U1319" s="32"/>
      <c r="V1319" s="33"/>
      <c r="W1319" s="31" t="str">
        <f t="shared" ref="W1319:W1326" si="2681">IF(Z1319&lt;&gt;0, IFERROR(IF( $F1319=2,  MROUND($AH1319*Z1319,1),    IF( OR($F1319="",$F1319=1),   MROUND($AH1319*Z1319,2.5),  MROUND($AH1319*Z1319, 0.1))), "" ), "")</f>
        <v/>
      </c>
      <c r="X1319" s="32"/>
      <c r="Y1319" s="32"/>
      <c r="Z1319" s="33"/>
      <c r="AA1319" s="31" t="str">
        <f t="shared" ref="AA1319:AA1326" si="2682">IF(AD1319&lt;&gt;0, IFERROR(IF( $F1319=2,  MROUND($AH1319*AD1319,1),    IF( OR($F1319="",$F1319=1),   MROUND($AH1319*AD1319,2.5),  MROUND($AH1319*AD1319, 0.1))), "" ), "")</f>
        <v/>
      </c>
      <c r="AB1319" s="32"/>
      <c r="AC1319" s="32"/>
      <c r="AD1319" s="33"/>
      <c r="AE1319" s="35">
        <f t="shared" ref="AE1319:AE1326" si="2683">(IF(ISNUMBER(G1319),G1319,0)*H1319*I1319+IF(ISNUMBER(K1319),K1319,1)*L1319*M1319+IF(ISNUMBER(O1319),O1319,1)*P1319*Q1319+IF(ISNUMBER(S1319),S1319,1)*T1319*U1319+IF(ISNUMBER(W1319),W1319,1)*X1319*Y1319+IF(ISNUMBER(AA1319),AA1319,1)*AB1319*AC1319)*IF(ISNUMBER(F1319),F1319,1)</f>
        <v>0</v>
      </c>
      <c r="AF1319" s="36">
        <f t="shared" si="2626"/>
        <v>0</v>
      </c>
      <c r="AG1319" s="195">
        <f t="shared" ref="AG1319:AG1326" si="2684">IFERROR((AF1319/(AH1319*IF(ISNUMBER(F1319),F1319,1))),0)</f>
        <v>0</v>
      </c>
      <c r="AH1319" s="169" t="str">
        <f t="shared" ref="AH1319:AH1326" si="2685">IF(ISNUMBER(AH1263), AH1263+(AH1263*$AH$1290),"")</f>
        <v/>
      </c>
      <c r="AI1319" s="196">
        <f> ( IF(ISNUMBER(G1319), VLOOKUP(G1319/$AH1319,F!$A1:$B101,2,1)*G1319*$H1319*$I1319,0)+IF(ISNUMBER(K1319), VLOOKUP(K1319/$AH1319,F!$A1:$B101,2,1)*K1319*$L1319*$M1319,0)+IF(ISNUMBER(O1319), VLOOKUP(O1319/$AH1319,F!$A1:$B101,2,1)*O1319*$P1319*$Q1319,0)+IF(ISNUMBER(S1319), VLOOKUP(S1319/$AH1319,F!$A1:$B101,2,1)*S1319*$T1319*$U1319,0)+IF(ISNUMBER(W1319), VLOOKUP(W1319/$AH1319,F!$A1:$B101,2,1)*W1319*$X1319*$Y1319,0)+IF(ISNUMBER(AA1319), VLOOKUP(AA1319/$AH1319,F!$A1:$B101,2,1)*AA1319*$AB1319*$AC1319,0))*IF(ISNUMBER(F1319),F1319,1)*IF(ISNUMBER(E1319),E1319,1)</f>
        <v>0</v>
      </c>
      <c r="AJ1319" s="40">
        <f t="shared" ref="AJ1319:AJ1326" si="2686">H1319*I1319+L1319*M1319+P1319*Q1319+T1319*U1319+X1319*Y1319+AB1319*AC1319</f>
        <v>0</v>
      </c>
      <c r="AK1319" s="41">
        <f t="array" ref="AK1319">IFERROR(I1319*INDEX(F!$P$21:$AB$33, MATCH(G1319/$AH1319, F!$O$21:$O$33,1), MATCH(E1319, F!$P$20:$AB$20,1)), 0 ) +IFERROR( M1319*INDEX(F!$P$21:$AB$33, MATCH(K1319/$AH1319, F!$O$21:$O$33,1), MATCH(E1319, F!$P$20:$AB$20,1)),0) +  IFERROR( Q1319*INDEX(F!$P$21:$AB$33, MATCH(O1319/$AH1319, F!$O$21:$O$33,1), MATCH(E1319, F!$P$20:$AB$20,1)), 0) + IFERROR( U1319*INDEX(F!$P$21:$AB$33, MATCH(S1319/$AH1319, F!$O$21:$O$33,1), MATCH(E1319, F!$P$20:$AB$20,1)),0)  + IFERROR(Y1319*INDEX(F!$P$21:$AB$33, MATCH(W1319/$AH1319, F!$O$21:$O$33,1), MATCH(E1319, F!$P$20:$AB$20,1)),0)  + IFERROR( AC1319*INDEX(F!$P$21:$AB$33, MATCH(AA1319/$AH1319, F!$O$21:$O$33,1), MATCH(E1319, F!$P$20:$AB$20,1)),)</f>
        <v>0</v>
      </c>
      <c r="AL1319" s="42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</row>
    <row r="1320" ht="15.75" hidden="1" customHeight="1">
      <c r="A1320" s="44">
        <f>A1264+A1234</f>
        <v>43946</v>
      </c>
      <c r="B1320" s="45" t="str">
        <f t="shared" ref="B1320:F1320" si="2676">IF(B1264="","",B1264)</f>
        <v/>
      </c>
      <c r="C1320" s="46" t="str">
        <f t="shared" si="2676"/>
        <v/>
      </c>
      <c r="D1320" s="47" t="str">
        <f t="shared" si="2676"/>
        <v/>
      </c>
      <c r="E1320" s="48" t="str">
        <f t="shared" si="2676"/>
        <v/>
      </c>
      <c r="F1320" s="49" t="str">
        <f t="shared" si="2676"/>
        <v/>
      </c>
      <c r="G1320" s="50" t="str">
        <f t="shared" si="2677"/>
        <v/>
      </c>
      <c r="H1320" s="51"/>
      <c r="I1320" s="51"/>
      <c r="J1320" s="52"/>
      <c r="K1320" s="50" t="str">
        <f t="shared" si="2678"/>
        <v/>
      </c>
      <c r="L1320" s="51"/>
      <c r="M1320" s="51"/>
      <c r="N1320" s="52"/>
      <c r="O1320" s="50" t="str">
        <f t="shared" si="2679"/>
        <v/>
      </c>
      <c r="P1320" s="51"/>
      <c r="Q1320" s="51"/>
      <c r="R1320" s="52"/>
      <c r="S1320" s="50" t="str">
        <f t="shared" si="2680"/>
        <v/>
      </c>
      <c r="T1320" s="51"/>
      <c r="U1320" s="51"/>
      <c r="V1320" s="52"/>
      <c r="W1320" s="50" t="str">
        <f t="shared" si="2681"/>
        <v/>
      </c>
      <c r="X1320" s="51"/>
      <c r="Y1320" s="51"/>
      <c r="Z1320" s="52"/>
      <c r="AA1320" s="50" t="str">
        <f t="shared" si="2682"/>
        <v/>
      </c>
      <c r="AB1320" s="51"/>
      <c r="AC1320" s="51"/>
      <c r="AD1320" s="52"/>
      <c r="AE1320" s="53">
        <f t="shared" si="2683"/>
        <v>0</v>
      </c>
      <c r="AF1320" s="54">
        <f t="shared" si="2626"/>
        <v>0</v>
      </c>
      <c r="AG1320" s="75">
        <f t="shared" si="2684"/>
        <v>0</v>
      </c>
      <c r="AH1320" s="76" t="str">
        <f t="shared" si="2685"/>
        <v/>
      </c>
      <c r="AI1320" s="77">
        <f> ( IF(ISNUMBER(G1320), VLOOKUP(G1320/$AH1320,F!$A1:$B101,2,1)*G1320*$H1320*$I1320,0)+IF(ISNUMBER(K1320), VLOOKUP(K1320/$AH1320,F!$A1:$B101,2,1)*K1320*$L1320*$M1320,0)+IF(ISNUMBER(O1320), VLOOKUP(O1320/$AH1320,F!$A1:$B101,2,1)*O1320*$P1320*$Q1320,0)+IF(ISNUMBER(S1320), VLOOKUP(S1320/$AH1320,F!$A1:$B101,2,1)*S1320*$T1320*$U1320,0)+IF(ISNUMBER(W1320), VLOOKUP(W1320/$AH1320,F!$A1:$B101,2,1)*W1320*$X1320*$Y1320,0)+IF(ISNUMBER(AA1320), VLOOKUP(AA1320/$AH1320,F!$A1:$B101,2,1)*AA1320*$AB1320*$AC1320,0))*IF(ISNUMBER(F1320),F1320,1)*IF(ISNUMBER(E1320),E1320,1)</f>
        <v>0</v>
      </c>
      <c r="AJ1320" s="57">
        <f t="shared" si="2686"/>
        <v>0</v>
      </c>
      <c r="AK1320" s="58">
        <f t="array" ref="AK1320">IFERROR(I1320*INDEX(F!$P$21:$AB$33, MATCH(G1320/$AH1320, F!$O$21:$O$33,1), MATCH(E1320, F!$P$20:$AB$20,1)), 0 ) +IFERROR( M1320*INDEX(F!$P$21:$AB$33, MATCH(K1320/$AH1320, F!$O$21:$O$33,1), MATCH(E1320, F!$P$20:$AB$20,1)),0) +  IFERROR( Q1320*INDEX(F!$P$21:$AB$33, MATCH(O1320/$AH1320, F!$O$21:$O$33,1), MATCH(E1320, F!$P$20:$AB$20,1)), 0) + IFERROR( U1320*INDEX(F!$P$21:$AB$33, MATCH(S1320/$AH1320, F!$O$21:$O$33,1), MATCH(E1320, F!$P$20:$AB$20,1)),0)  + IFERROR(Y1320*INDEX(F!$P$21:$AB$33, MATCH(W1320/$AH1320, F!$O$21:$O$33,1), MATCH(E1320, F!$P$20:$AB$20,1)),0)  + IFERROR( AC1320*INDEX(F!$P$21:$AB$33, MATCH(AA1320/$AH1320, F!$O$21:$O$33,1), MATCH(E1320, F!$P$20:$AB$20,1)),)</f>
        <v>0</v>
      </c>
      <c r="AL1320" s="59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</row>
    <row r="1321" ht="15.75" hidden="1" customHeight="1">
      <c r="A1321" s="59"/>
      <c r="B1321" s="60" t="str">
        <f t="shared" ref="B1321:F1321" si="2687">IF(B1265="","",B1265)</f>
        <v/>
      </c>
      <c r="C1321" s="61" t="str">
        <f t="shared" si="2687"/>
        <v/>
      </c>
      <c r="D1321" s="62" t="str">
        <f t="shared" si="2687"/>
        <v/>
      </c>
      <c r="E1321" s="48" t="str">
        <f t="shared" si="2687"/>
        <v/>
      </c>
      <c r="F1321" s="63" t="str">
        <f t="shared" si="2687"/>
        <v/>
      </c>
      <c r="G1321" s="64" t="str">
        <f t="shared" si="2677"/>
        <v/>
      </c>
      <c r="H1321" s="34"/>
      <c r="I1321" s="34"/>
      <c r="J1321" s="65"/>
      <c r="K1321" s="64" t="str">
        <f t="shared" si="2678"/>
        <v/>
      </c>
      <c r="L1321" s="34"/>
      <c r="M1321" s="34"/>
      <c r="N1321" s="65"/>
      <c r="O1321" s="64" t="str">
        <f t="shared" si="2679"/>
        <v/>
      </c>
      <c r="P1321" s="34"/>
      <c r="Q1321" s="34"/>
      <c r="R1321" s="65"/>
      <c r="S1321" s="64" t="str">
        <f t="shared" si="2680"/>
        <v/>
      </c>
      <c r="T1321" s="34"/>
      <c r="U1321" s="34"/>
      <c r="V1321" s="65"/>
      <c r="W1321" s="64" t="str">
        <f t="shared" si="2681"/>
        <v/>
      </c>
      <c r="X1321" s="34"/>
      <c r="Y1321" s="34"/>
      <c r="Z1321" s="65"/>
      <c r="AA1321" s="64" t="str">
        <f t="shared" si="2682"/>
        <v/>
      </c>
      <c r="AB1321" s="34"/>
      <c r="AC1321" s="34"/>
      <c r="AD1321" s="65"/>
      <c r="AE1321" s="66">
        <f t="shared" si="2683"/>
        <v>0</v>
      </c>
      <c r="AF1321" s="67">
        <f t="shared" si="2626"/>
        <v>0</v>
      </c>
      <c r="AG1321" s="68">
        <f t="shared" si="2684"/>
        <v>0</v>
      </c>
      <c r="AH1321" s="76" t="str">
        <f t="shared" si="2685"/>
        <v/>
      </c>
      <c r="AI1321" s="70">
        <f> ( IF(ISNUMBER(G1321), VLOOKUP(G1321/$AH1321,F!$A1:$B101,2,1)*G1321*$H1321*$I1321,0)+IF(ISNUMBER(K1321), VLOOKUP(K1321/$AH1321,F!$A1:$B101,2,1)*K1321*$L1321*$M1321,0)+IF(ISNUMBER(O1321), VLOOKUP(O1321/$AH1321,F!$A1:$B101,2,1)*O1321*$P1321*$Q1321,0)+IF(ISNUMBER(S1321), VLOOKUP(S1321/$AH1321,F!$A1:$B101,2,1)*S1321*$T1321*$U1321,0)+IF(ISNUMBER(W1321), VLOOKUP(W1321/$AH1321,F!$A1:$B101,2,1)*W1321*$X1321*$Y1321,0)+IF(ISNUMBER(AA1321), VLOOKUP(AA1321/$AH1321,F!$A1:$B101,2,1)*AA1321*$AB1321*$AC1321,0))*IF(ISNUMBER(F1321),F1321,1)*IF(ISNUMBER(E1321),E1321,1)</f>
        <v>0</v>
      </c>
      <c r="AJ1321" s="71">
        <f t="shared" si="2686"/>
        <v>0</v>
      </c>
      <c r="AK1321" s="72">
        <f t="array" ref="AK1321">IFERROR(I1321*INDEX(F!$P$21:$AB$33, MATCH(G1321/$AH1321, F!$O$21:$O$33,1), MATCH(E1321, F!$P$20:$AB$20,1)), 0 ) +IFERROR( M1321*INDEX(F!$P$21:$AB$33, MATCH(K1321/$AH1321, F!$O$21:$O$33,1), MATCH(E1321, F!$P$20:$AB$20,1)),0) +  IFERROR( Q1321*INDEX(F!$P$21:$AB$33, MATCH(O1321/$AH1321, F!$O$21:$O$33,1), MATCH(E1321, F!$P$20:$AB$20,1)), 0) + IFERROR( U1321*INDEX(F!$P$21:$AB$33, MATCH(S1321/$AH1321, F!$O$21:$O$33,1), MATCH(E1321, F!$P$20:$AB$20,1)),0)  + IFERROR(Y1321*INDEX(F!$P$21:$AB$33, MATCH(W1321/$AH1321, F!$O$21:$O$33,1), MATCH(E1321, F!$P$20:$AB$20,1)),0)  + IFERROR( AC1321*INDEX(F!$P$21:$AB$33, MATCH(AA1321/$AH1321, F!$O$21:$O$33,1), MATCH(E1321, F!$P$20:$AB$20,1)),)</f>
        <v>0</v>
      </c>
      <c r="AL1321" s="59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</row>
    <row r="1322" ht="15.75" hidden="1" customHeight="1">
      <c r="A1322" s="59"/>
      <c r="B1322" s="215" t="str">
        <f t="shared" ref="B1322:F1322" si="2688">IF(B1266="","",B1266)</f>
        <v/>
      </c>
      <c r="C1322" s="73" t="str">
        <f t="shared" si="2688"/>
        <v/>
      </c>
      <c r="D1322" s="47" t="str">
        <f t="shared" si="2688"/>
        <v/>
      </c>
      <c r="E1322" s="48" t="str">
        <f t="shared" si="2688"/>
        <v/>
      </c>
      <c r="F1322" s="74" t="str">
        <f t="shared" si="2688"/>
        <v/>
      </c>
      <c r="G1322" s="50" t="str">
        <f t="shared" si="2677"/>
        <v/>
      </c>
      <c r="H1322" s="51"/>
      <c r="I1322" s="51"/>
      <c r="J1322" s="52"/>
      <c r="K1322" s="50" t="str">
        <f t="shared" si="2678"/>
        <v/>
      </c>
      <c r="L1322" s="51"/>
      <c r="M1322" s="51"/>
      <c r="N1322" s="52"/>
      <c r="O1322" s="50" t="str">
        <f t="shared" si="2679"/>
        <v/>
      </c>
      <c r="P1322" s="51"/>
      <c r="Q1322" s="51"/>
      <c r="R1322" s="52"/>
      <c r="S1322" s="50" t="str">
        <f t="shared" si="2680"/>
        <v/>
      </c>
      <c r="T1322" s="51"/>
      <c r="U1322" s="51"/>
      <c r="V1322" s="52"/>
      <c r="W1322" s="50" t="str">
        <f t="shared" si="2681"/>
        <v/>
      </c>
      <c r="X1322" s="51"/>
      <c r="Y1322" s="51"/>
      <c r="Z1322" s="52"/>
      <c r="AA1322" s="50" t="str">
        <f t="shared" si="2682"/>
        <v/>
      </c>
      <c r="AB1322" s="51"/>
      <c r="AC1322" s="51"/>
      <c r="AD1322" s="52"/>
      <c r="AE1322" s="53">
        <f t="shared" si="2683"/>
        <v>0</v>
      </c>
      <c r="AF1322" s="54">
        <f t="shared" si="2626"/>
        <v>0</v>
      </c>
      <c r="AG1322" s="75">
        <f t="shared" si="2684"/>
        <v>0</v>
      </c>
      <c r="AH1322" s="76" t="str">
        <f t="shared" si="2685"/>
        <v/>
      </c>
      <c r="AI1322" s="77">
        <f> ( IF(ISNUMBER(G1322), VLOOKUP(G1322/$AH1322,F!$A1:$B101,2,1)*G1322*$H1322*$I1322,0)+IF(ISNUMBER(K1322), VLOOKUP(K1322/$AH1322,F!$A1:$B101,2,1)*K1322*$L1322*$M1322,0)+IF(ISNUMBER(O1322), VLOOKUP(O1322/$AH1322,F!$A1:$B101,2,1)*O1322*$P1322*$Q1322,0)+IF(ISNUMBER(S1322), VLOOKUP(S1322/$AH1322,F!$A1:$B101,2,1)*S1322*$T1322*$U1322,0)+IF(ISNUMBER(W1322), VLOOKUP(W1322/$AH1322,F!$A1:$B101,2,1)*W1322*$X1322*$Y1322,0)+IF(ISNUMBER(AA1322), VLOOKUP(AA1322/$AH1322,F!$A1:$B101,2,1)*AA1322*$AB1322*$AC1322,0))*IF(ISNUMBER(F1322),F1322,1)*IF(ISNUMBER(E1322),E1322,1)</f>
        <v>0</v>
      </c>
      <c r="AJ1322" s="57">
        <f t="shared" si="2686"/>
        <v>0</v>
      </c>
      <c r="AK1322" s="58">
        <f t="array" ref="AK1322">IFERROR(I1322*INDEX(F!$P$21:$AB$33, MATCH(G1322/$AH1322, F!$O$21:$O$33,1), MATCH(E1322, F!$P$20:$AB$20,1)), 0 ) +IFERROR( M1322*INDEX(F!$P$21:$AB$33, MATCH(K1322/$AH1322, F!$O$21:$O$33,1), MATCH(E1322, F!$P$20:$AB$20,1)),0) +  IFERROR( Q1322*INDEX(F!$P$21:$AB$33, MATCH(O1322/$AH1322, F!$O$21:$O$33,1), MATCH(E1322, F!$P$20:$AB$20,1)), 0) + IFERROR( U1322*INDEX(F!$P$21:$AB$33, MATCH(S1322/$AH1322, F!$O$21:$O$33,1), MATCH(E1322, F!$P$20:$AB$20,1)),0)  + IFERROR(Y1322*INDEX(F!$P$21:$AB$33, MATCH(W1322/$AH1322, F!$O$21:$O$33,1), MATCH(E1322, F!$P$20:$AB$20,1)),0)  + IFERROR( AC1322*INDEX(F!$P$21:$AB$33, MATCH(AA1322/$AH1322, F!$O$21:$O$33,1), MATCH(E1322, F!$P$20:$AB$20,1)),)</f>
        <v>0</v>
      </c>
      <c r="AL1322" s="59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</row>
    <row r="1323" ht="15.75" hidden="1" customHeight="1">
      <c r="A1323" s="59"/>
      <c r="B1323" s="216" t="str">
        <f t="shared" ref="B1323:F1323" si="2689">IF(B1267="","",B1267)</f>
        <v/>
      </c>
      <c r="C1323" s="78" t="str">
        <f t="shared" si="2689"/>
        <v/>
      </c>
      <c r="D1323" s="62" t="str">
        <f t="shared" si="2689"/>
        <v/>
      </c>
      <c r="E1323" s="48" t="str">
        <f t="shared" si="2689"/>
        <v/>
      </c>
      <c r="F1323" s="79" t="str">
        <f t="shared" si="2689"/>
        <v/>
      </c>
      <c r="G1323" s="64" t="str">
        <f t="shared" si="2677"/>
        <v/>
      </c>
      <c r="H1323" s="34"/>
      <c r="I1323" s="34"/>
      <c r="J1323" s="65"/>
      <c r="K1323" s="64" t="str">
        <f t="shared" si="2678"/>
        <v/>
      </c>
      <c r="L1323" s="34"/>
      <c r="M1323" s="34"/>
      <c r="N1323" s="65"/>
      <c r="O1323" s="64" t="str">
        <f t="shared" si="2679"/>
        <v/>
      </c>
      <c r="P1323" s="34"/>
      <c r="Q1323" s="34"/>
      <c r="R1323" s="65"/>
      <c r="S1323" s="64" t="str">
        <f t="shared" si="2680"/>
        <v/>
      </c>
      <c r="T1323" s="34"/>
      <c r="U1323" s="34"/>
      <c r="V1323" s="65"/>
      <c r="W1323" s="64" t="str">
        <f t="shared" si="2681"/>
        <v/>
      </c>
      <c r="X1323" s="34"/>
      <c r="Y1323" s="34"/>
      <c r="Z1323" s="65"/>
      <c r="AA1323" s="64" t="str">
        <f t="shared" si="2682"/>
        <v/>
      </c>
      <c r="AB1323" s="34"/>
      <c r="AC1323" s="34"/>
      <c r="AD1323" s="65"/>
      <c r="AE1323" s="66">
        <f t="shared" si="2683"/>
        <v>0</v>
      </c>
      <c r="AF1323" s="67">
        <f t="shared" si="2626"/>
        <v>0</v>
      </c>
      <c r="AG1323" s="68">
        <f t="shared" si="2684"/>
        <v>0</v>
      </c>
      <c r="AH1323" s="76" t="str">
        <f t="shared" si="2685"/>
        <v/>
      </c>
      <c r="AI1323" s="70">
        <f> ( IF(ISNUMBER(G1323), VLOOKUP(G1323/$AH1323,F!$A1:$B101,2,1)*G1323*$H1323*$I1323,0)+IF(ISNUMBER(K1323), VLOOKUP(K1323/$AH1323,F!$A1:$B101,2,1)*K1323*$L1323*$M1323,0)+IF(ISNUMBER(O1323), VLOOKUP(O1323/$AH1323,F!$A1:$B101,2,1)*O1323*$P1323*$Q1323,0)+IF(ISNUMBER(S1323), VLOOKUP(S1323/$AH1323,F!$A1:$B101,2,1)*S1323*$T1323*$U1323,0)+IF(ISNUMBER(W1323), VLOOKUP(W1323/$AH1323,F!$A1:$B101,2,1)*W1323*$X1323*$Y1323,0)+IF(ISNUMBER(AA1323), VLOOKUP(AA1323/$AH1323,F!$A1:$B101,2,1)*AA1323*$AB1323*$AC1323,0))*IF(ISNUMBER(F1323),F1323,1)*IF(ISNUMBER(E1323),E1323,1)</f>
        <v>0</v>
      </c>
      <c r="AJ1323" s="71">
        <f t="shared" si="2686"/>
        <v>0</v>
      </c>
      <c r="AK1323" s="72">
        <f t="array" ref="AK1323">IFERROR(I1323*INDEX(F!$P$21:$AB$33, MATCH(G1323/$AH1323, F!$O$21:$O$33,1), MATCH(E1323, F!$P$20:$AB$20,1)), 0 ) +IFERROR( M1323*INDEX(F!$P$21:$AB$33, MATCH(K1323/$AH1323, F!$O$21:$O$33,1), MATCH(E1323, F!$P$20:$AB$20,1)),0) +  IFERROR( Q1323*INDEX(F!$P$21:$AB$33, MATCH(O1323/$AH1323, F!$O$21:$O$33,1), MATCH(E1323, F!$P$20:$AB$20,1)), 0) + IFERROR( U1323*INDEX(F!$P$21:$AB$33, MATCH(S1323/$AH1323, F!$O$21:$O$33,1), MATCH(E1323, F!$P$20:$AB$20,1)),0)  + IFERROR(Y1323*INDEX(F!$P$21:$AB$33, MATCH(W1323/$AH1323, F!$O$21:$O$33,1), MATCH(E1323, F!$P$20:$AB$20,1)),0)  + IFERROR( AC1323*INDEX(F!$P$21:$AB$33, MATCH(AA1323/$AH1323, F!$O$21:$O$33,1), MATCH(E1323, F!$P$20:$AB$20,1)),)</f>
        <v>0</v>
      </c>
      <c r="AL1323" s="59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</row>
    <row r="1324" ht="15.75" hidden="1" customHeight="1">
      <c r="A1324" s="59"/>
      <c r="B1324" s="45" t="str">
        <f t="shared" ref="B1324:F1324" si="2690">IF(B1268="","",B1268)</f>
        <v/>
      </c>
      <c r="C1324" s="46" t="str">
        <f t="shared" si="2690"/>
        <v/>
      </c>
      <c r="D1324" s="197" t="str">
        <f t="shared" si="2690"/>
        <v/>
      </c>
      <c r="E1324" s="48" t="str">
        <f t="shared" si="2690"/>
        <v/>
      </c>
      <c r="F1324" s="83" t="str">
        <f t="shared" si="2690"/>
        <v/>
      </c>
      <c r="G1324" s="50" t="str">
        <f t="shared" si="2677"/>
        <v/>
      </c>
      <c r="H1324" s="51"/>
      <c r="I1324" s="51"/>
      <c r="J1324" s="52"/>
      <c r="K1324" s="50" t="str">
        <f t="shared" si="2678"/>
        <v/>
      </c>
      <c r="L1324" s="51"/>
      <c r="M1324" s="51"/>
      <c r="N1324" s="52"/>
      <c r="O1324" s="50" t="str">
        <f t="shared" si="2679"/>
        <v/>
      </c>
      <c r="P1324" s="51"/>
      <c r="Q1324" s="51"/>
      <c r="R1324" s="52"/>
      <c r="S1324" s="50" t="str">
        <f t="shared" si="2680"/>
        <v/>
      </c>
      <c r="T1324" s="51"/>
      <c r="U1324" s="51"/>
      <c r="V1324" s="52"/>
      <c r="W1324" s="50" t="str">
        <f t="shared" si="2681"/>
        <v/>
      </c>
      <c r="X1324" s="51"/>
      <c r="Y1324" s="51"/>
      <c r="Z1324" s="52"/>
      <c r="AA1324" s="50" t="str">
        <f t="shared" si="2682"/>
        <v/>
      </c>
      <c r="AB1324" s="51"/>
      <c r="AC1324" s="51"/>
      <c r="AD1324" s="52"/>
      <c r="AE1324" s="53">
        <f t="shared" si="2683"/>
        <v>0</v>
      </c>
      <c r="AF1324" s="54">
        <f t="shared" si="2626"/>
        <v>0</v>
      </c>
      <c r="AG1324" s="75">
        <f t="shared" si="2684"/>
        <v>0</v>
      </c>
      <c r="AH1324" s="76" t="str">
        <f t="shared" si="2685"/>
        <v/>
      </c>
      <c r="AI1324" s="77">
        <f> ( IF(ISNUMBER(G1324), VLOOKUP(G1324/$AH1324,F!$A1:$B101,2,1)*G1324*$H1324*$I1324,0)+IF(ISNUMBER(K1324), VLOOKUP(K1324/$AH1324,F!$A1:$B101,2,1)*K1324*$L1324*$M1324,0)+IF(ISNUMBER(O1324), VLOOKUP(O1324/$AH1324,F!$A1:$B101,2,1)*O1324*$P1324*$Q1324,0)+IF(ISNUMBER(S1324), VLOOKUP(S1324/$AH1324,F!$A1:$B101,2,1)*S1324*$T1324*$U1324,0)+IF(ISNUMBER(W1324), VLOOKUP(W1324/$AH1324,F!$A1:$B101,2,1)*W1324*$X1324*$Y1324,0)+IF(ISNUMBER(AA1324), VLOOKUP(AA1324/$AH1324,F!$A1:$B101,2,1)*AA1324*$AB1324*$AC1324,0))*IF(ISNUMBER(F1324),F1324,1)*IF(ISNUMBER(E1324),E1324,1)</f>
        <v>0</v>
      </c>
      <c r="AJ1324" s="86">
        <f t="shared" si="2686"/>
        <v>0</v>
      </c>
      <c r="AK1324" s="58">
        <f t="array" ref="AK1324">IFERROR(I1324*INDEX(F!$P$21:$AB$33, MATCH(G1324/$AH1324, F!$O$21:$O$33,1), MATCH(E1324, F!$P$20:$AB$20,1)), 0 ) +IFERROR( M1324*INDEX(F!$P$21:$AB$33, MATCH(K1324/$AH1324, F!$O$21:$O$33,1), MATCH(E1324, F!$P$20:$AB$20,1)),0) +  IFERROR( Q1324*INDEX(F!$P$21:$AB$33, MATCH(O1324/$AH1324, F!$O$21:$O$33,1), MATCH(E1324, F!$P$20:$AB$20,1)), 0) + IFERROR( U1324*INDEX(F!$P$21:$AB$33, MATCH(S1324/$AH1324, F!$O$21:$O$33,1), MATCH(E1324, F!$P$20:$AB$20,1)),0)  + IFERROR(Y1324*INDEX(F!$P$21:$AB$33, MATCH(W1324/$AH1324, F!$O$21:$O$33,1), MATCH(E1324, F!$P$20:$AB$20,1)),0)  + IFERROR( AC1324*INDEX(F!$P$21:$AB$33, MATCH(AA1324/$AH1324, F!$O$21:$O$33,1), MATCH(E1324, F!$P$20:$AB$20,1)),)</f>
        <v>0</v>
      </c>
      <c r="AL1324" s="59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</row>
    <row r="1325" ht="15.75" hidden="1" customHeight="1">
      <c r="A1325" s="59"/>
      <c r="B1325" s="60" t="str">
        <f t="shared" ref="B1325:F1325" si="2691">IF(B1269="","",B1269)</f>
        <v/>
      </c>
      <c r="C1325" s="61" t="str">
        <f t="shared" si="2691"/>
        <v/>
      </c>
      <c r="D1325" s="198" t="str">
        <f t="shared" si="2691"/>
        <v/>
      </c>
      <c r="E1325" s="48" t="str">
        <f t="shared" si="2691"/>
        <v/>
      </c>
      <c r="F1325" s="79" t="str">
        <f t="shared" si="2691"/>
        <v/>
      </c>
      <c r="G1325" s="64" t="str">
        <f t="shared" si="2677"/>
        <v/>
      </c>
      <c r="H1325" s="34"/>
      <c r="I1325" s="34"/>
      <c r="J1325" s="65"/>
      <c r="K1325" s="64" t="str">
        <f t="shared" si="2678"/>
        <v/>
      </c>
      <c r="L1325" s="34"/>
      <c r="M1325" s="34"/>
      <c r="N1325" s="65"/>
      <c r="O1325" s="64" t="str">
        <f t="shared" si="2679"/>
        <v/>
      </c>
      <c r="P1325" s="34"/>
      <c r="Q1325" s="34"/>
      <c r="R1325" s="65"/>
      <c r="S1325" s="64" t="str">
        <f t="shared" si="2680"/>
        <v/>
      </c>
      <c r="T1325" s="34"/>
      <c r="U1325" s="34"/>
      <c r="V1325" s="65"/>
      <c r="W1325" s="64" t="str">
        <f t="shared" si="2681"/>
        <v/>
      </c>
      <c r="X1325" s="34"/>
      <c r="Y1325" s="34"/>
      <c r="Z1325" s="65"/>
      <c r="AA1325" s="64" t="str">
        <f t="shared" si="2682"/>
        <v/>
      </c>
      <c r="AB1325" s="34"/>
      <c r="AC1325" s="34"/>
      <c r="AD1325" s="65"/>
      <c r="AE1325" s="66">
        <f t="shared" si="2683"/>
        <v>0</v>
      </c>
      <c r="AF1325" s="67">
        <f t="shared" si="2626"/>
        <v>0</v>
      </c>
      <c r="AG1325" s="68">
        <f t="shared" si="2684"/>
        <v>0</v>
      </c>
      <c r="AH1325" s="76" t="str">
        <f t="shared" si="2685"/>
        <v/>
      </c>
      <c r="AI1325" s="90">
        <f> ( IF(ISNUMBER(G1325), VLOOKUP(G1325/$AH1325,F!$A1:$B101,2,1)*G1325*$H1325*$I1325,0)+IF(ISNUMBER(K1325), VLOOKUP(K1325/$AH1325,F!$A1:$B101,2,1)*K1325*$L1325*$M1325,0)+IF(ISNUMBER(O1325), VLOOKUP(O1325/$AH1325,F!$A1:$B101,2,1)*O1325*$P1325*$Q1325,0)+IF(ISNUMBER(S1325), VLOOKUP(S1325/$AH1325,F!$A1:$B101,2,1)*S1325*$T1325*$U1325,0)+IF(ISNUMBER(W1325), VLOOKUP(W1325/$AH1325,F!$A1:$B101,2,1)*W1325*$X1325*$Y1325,0)+IF(ISNUMBER(AA1325), VLOOKUP(AA1325/$AH1325,F!$A1:$B101,2,1)*AA1325*$AB1325*$AC1325,0))*IF(ISNUMBER(F1325),F1325,1)*IF(ISNUMBER(E1325),E1325,1)</f>
        <v>0</v>
      </c>
      <c r="AJ1325" s="34">
        <f t="shared" si="2686"/>
        <v>0</v>
      </c>
      <c r="AK1325" s="91">
        <f t="array" ref="AK1325">IFERROR(I1325*INDEX(F!$P$21:$AB$33, MATCH(G1325/$AH1325, F!$O$21:$O$33,1), MATCH(E1325, F!$P$20:$AB$20,1)), 0 ) +IFERROR( M1325*INDEX(F!$P$21:$AB$33, MATCH(K1325/$AH1325, F!$O$21:$O$33,1), MATCH(E1325, F!$P$20:$AB$20,1)),0) +  IFERROR( Q1325*INDEX(F!$P$21:$AB$33, MATCH(O1325/$AH1325, F!$O$21:$O$33,1), MATCH(E1325, F!$P$20:$AB$20,1)), 0) + IFERROR( U1325*INDEX(F!$P$21:$AB$33, MATCH(S1325/$AH1325, F!$O$21:$O$33,1), MATCH(E1325, F!$P$20:$AB$20,1)),0)  + IFERROR(Y1325*INDEX(F!$P$21:$AB$33, MATCH(W1325/$AH1325, F!$O$21:$O$33,1), MATCH(E1325, F!$P$20:$AB$20,1)),0)  + IFERROR( AC1325*INDEX(F!$P$21:$AB$33, MATCH(AA1325/$AH1325, F!$O$21:$O$33,1), MATCH(E1325, F!$P$20:$AB$20,1)),)</f>
        <v>0</v>
      </c>
      <c r="AL1325" s="59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</row>
    <row r="1326" ht="15.75" hidden="1" customHeight="1">
      <c r="A1326" s="59"/>
      <c r="B1326" s="45" t="str">
        <f t="shared" ref="B1326:F1326" si="2692">IF(B1270="","",B1270)</f>
        <v/>
      </c>
      <c r="C1326" s="46" t="str">
        <f t="shared" si="2692"/>
        <v/>
      </c>
      <c r="D1326" s="92" t="str">
        <f t="shared" si="2692"/>
        <v/>
      </c>
      <c r="E1326" s="48" t="str">
        <f t="shared" si="2692"/>
        <v/>
      </c>
      <c r="F1326" s="74" t="str">
        <f t="shared" si="2692"/>
        <v/>
      </c>
      <c r="G1326" s="50" t="str">
        <f t="shared" si="2677"/>
        <v/>
      </c>
      <c r="H1326" s="51"/>
      <c r="I1326" s="51"/>
      <c r="J1326" s="52"/>
      <c r="K1326" s="50" t="str">
        <f t="shared" si="2678"/>
        <v/>
      </c>
      <c r="L1326" s="51"/>
      <c r="M1326" s="51"/>
      <c r="N1326" s="52"/>
      <c r="O1326" s="50" t="str">
        <f t="shared" si="2679"/>
        <v/>
      </c>
      <c r="P1326" s="51"/>
      <c r="Q1326" s="51"/>
      <c r="R1326" s="52"/>
      <c r="S1326" s="50" t="str">
        <f t="shared" si="2680"/>
        <v/>
      </c>
      <c r="T1326" s="51"/>
      <c r="U1326" s="51"/>
      <c r="V1326" s="52"/>
      <c r="W1326" s="50" t="str">
        <f t="shared" si="2681"/>
        <v/>
      </c>
      <c r="X1326" s="51"/>
      <c r="Y1326" s="51"/>
      <c r="Z1326" s="52"/>
      <c r="AA1326" s="50" t="str">
        <f t="shared" si="2682"/>
        <v/>
      </c>
      <c r="AB1326" s="51"/>
      <c r="AC1326" s="51"/>
      <c r="AD1326" s="52"/>
      <c r="AE1326" s="53">
        <f t="shared" si="2683"/>
        <v>0</v>
      </c>
      <c r="AF1326" s="93">
        <f t="shared" si="2626"/>
        <v>0</v>
      </c>
      <c r="AG1326" s="94">
        <f t="shared" si="2684"/>
        <v>0</v>
      </c>
      <c r="AH1326" s="76" t="str">
        <f t="shared" si="2685"/>
        <v/>
      </c>
      <c r="AI1326" s="95">
        <f> ( IF(ISNUMBER(G1326), VLOOKUP(G1326/$AH1326,F!$A1:$B101,2,1)*G1326*$H1326*$I1326,0)+IF(ISNUMBER(K1326), VLOOKUP(K1326/$AH1326,F!$A1:$B101,2,1)*K1326*$L1326*$M1326,0)+IF(ISNUMBER(O1326), VLOOKUP(O1326/$AH1326,F!$A1:$B101,2,1)*O1326*$P1326*$Q1326,0)+IF(ISNUMBER(S1326), VLOOKUP(S1326/$AH1326,F!$A1:$B101,2,1)*S1326*$T1326*$U1326,0)+IF(ISNUMBER(W1326), VLOOKUP(W1326/$AH1326,F!$A1:$B101,2,1)*W1326*$X1326*$Y1326,0)+IF(ISNUMBER(AA1326), VLOOKUP(AA1326/$AH1326,F!$A1:$B101,2,1)*AA1326*$AB1326*$AC1326,0))*IF(ISNUMBER(F1326),F1326,1)*IF(ISNUMBER(E1326),E1326,1)</f>
        <v>0</v>
      </c>
      <c r="AJ1326" s="96">
        <f t="shared" si="2686"/>
        <v>0</v>
      </c>
      <c r="AK1326" s="97">
        <f t="array" ref="AK1326">IFERROR(I1326*INDEX(F!$P$21:$AB$33, MATCH(G1326/$AH1326, F!$O$21:$O$33,1), MATCH(E1326, F!$P$20:$AB$20,1)), 0 ) +IFERROR( M1326*INDEX(F!$P$21:$AB$33, MATCH(K1326/$AH1326, F!$O$21:$O$33,1), MATCH(E1326, F!$P$20:$AB$20,1)),0) +  IFERROR( Q1326*INDEX(F!$P$21:$AB$33, MATCH(O1326/$AH1326, F!$O$21:$O$33,1), MATCH(E1326, F!$P$20:$AB$20,1)), 0) + IFERROR( U1326*INDEX(F!$P$21:$AB$33, MATCH(S1326/$AH1326, F!$O$21:$O$33,1), MATCH(E1326, F!$P$20:$AB$20,1)),0)  + IFERROR(Y1326*INDEX(F!$P$21:$AB$33, MATCH(W1326/$AH1326, F!$O$21:$O$33,1), MATCH(E1326, F!$P$20:$AB$20,1)),0)  + IFERROR( AC1326*INDEX(F!$P$21:$AB$33, MATCH(AA1326/$AH1326, F!$O$21:$O$33,1), MATCH(E1326, F!$P$20:$AB$20,1)),)</f>
        <v>0</v>
      </c>
      <c r="AL1326" s="59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</row>
    <row r="1327" ht="15.75" hidden="1" customHeight="1">
      <c r="A1327" s="98"/>
      <c r="B1327" s="99"/>
      <c r="C1327" s="100"/>
      <c r="D1327" s="101"/>
      <c r="E1327" s="102">
        <f>ROUND(IFERROR(SUMPRODUCT(AJ1319:AJ1326,E1319:E1326)/AJ1327,0),3)</f>
        <v>0</v>
      </c>
      <c r="F1327" s="199"/>
      <c r="G1327" s="104"/>
      <c r="H1327" s="105"/>
      <c r="I1327" s="105"/>
      <c r="J1327" s="106"/>
      <c r="K1327" s="104"/>
      <c r="L1327" s="105"/>
      <c r="M1327" s="105"/>
      <c r="N1327" s="106"/>
      <c r="O1327" s="104"/>
      <c r="P1327" s="105"/>
      <c r="Q1327" s="105"/>
      <c r="R1327" s="106"/>
      <c r="S1327" s="104"/>
      <c r="T1327" s="105"/>
      <c r="U1327" s="105"/>
      <c r="V1327" s="106"/>
      <c r="W1327" s="104"/>
      <c r="X1327" s="105"/>
      <c r="Y1327" s="105"/>
      <c r="Z1327" s="106"/>
      <c r="AA1327" s="104"/>
      <c r="AB1327" s="105"/>
      <c r="AC1327" s="105"/>
      <c r="AD1327" s="106"/>
      <c r="AE1327" s="107">
        <f>SUM(AE1319:AE1326)</f>
        <v>0</v>
      </c>
      <c r="AF1327" s="108">
        <f t="shared" si="2626"/>
        <v>0</v>
      </c>
      <c r="AG1327" s="109">
        <f>IFERROR(  SUMPRODUCT(AG1319:AG1326,AJ1319:AJ1326)/AJ1327,0)</f>
        <v>0</v>
      </c>
      <c r="AH1327" s="157"/>
      <c r="AI1327" s="111">
        <f t="shared" ref="AI1327:AJ1327" si="2693">SUM(AI1319:AI1326)</f>
        <v>0</v>
      </c>
      <c r="AJ1327" s="111">
        <f t="shared" si="2693"/>
        <v>0</v>
      </c>
      <c r="AK1327" s="112">
        <f>IF(SUM(AK1319:AK1326)=0,TIME(,0,),TIME(,SUM(AK1319:AK1326)+F!$V$37,))</f>
        <v>0</v>
      </c>
      <c r="AL1327" s="98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</row>
    <row r="1328" ht="15.75" hidden="1" customHeight="1">
      <c r="A1328" s="113">
        <f>A1329</f>
        <v>43947</v>
      </c>
      <c r="B1328" s="114" t="str">
        <f t="shared" ref="B1328:F1328" si="2694">IF(B1272="","",B1272)</f>
        <v/>
      </c>
      <c r="C1328" s="115" t="str">
        <f t="shared" si="2694"/>
        <v/>
      </c>
      <c r="D1328" s="116" t="str">
        <f t="shared" si="2694"/>
        <v/>
      </c>
      <c r="E1328" s="29" t="str">
        <f t="shared" si="2694"/>
        <v/>
      </c>
      <c r="F1328" s="117" t="str">
        <f t="shared" si="2694"/>
        <v/>
      </c>
      <c r="G1328" s="118" t="str">
        <f t="shared" ref="G1328:G1335" si="2696">IF(J1328&lt;&gt;0, IFERROR(IF( $F1328=2,  MROUND($AH1328*J1328,1),    IF( OR($F1328="",$F1328=1),   MROUND($AH1328*J1328,2.5),  MROUND($AH1328*J1328, 0.1))), "" ), "")</f>
        <v/>
      </c>
      <c r="H1328" s="119"/>
      <c r="I1328" s="119"/>
      <c r="J1328" s="120"/>
      <c r="K1328" s="118" t="str">
        <f t="shared" ref="K1328:K1335" si="2697">IF(N1328&lt;&gt;0, IFERROR(IF( $F1328=2,  MROUND($AH1328*N1328,1),    IF( OR($F1328="",$F1328=1),   MROUND($AH1328*N1328,2.5),  MROUND($AH1328*N1328, 0.1))), "" ), "")</f>
        <v/>
      </c>
      <c r="L1328" s="119"/>
      <c r="M1328" s="119"/>
      <c r="N1328" s="120"/>
      <c r="O1328" s="118" t="str">
        <f t="shared" ref="O1328:O1335" si="2698">IF(R1328&lt;&gt;0, IFERROR(IF( $F1328=2,  MROUND($AH1328*R1328,1),    IF( OR($F1328="",$F1328=1),   MROUND($AH1328*R1328,2.5),  MROUND($AH1328*R1328, 0.1))), "" ), "")</f>
        <v/>
      </c>
      <c r="P1328" s="119"/>
      <c r="Q1328" s="119"/>
      <c r="R1328" s="120"/>
      <c r="S1328" s="118" t="str">
        <f t="shared" ref="S1328:S1335" si="2699">IF(V1328&lt;&gt;0, IFERROR(IF( $F1328=2,  MROUND($AH1328*V1328,1),    IF( OR($F1328="",$F1328=1),   MROUND($AH1328*V1328,2.5),  MROUND($AH1328*V1328, 0.1))), "" ), "")</f>
        <v/>
      </c>
      <c r="T1328" s="119"/>
      <c r="U1328" s="119"/>
      <c r="V1328" s="120"/>
      <c r="W1328" s="118" t="str">
        <f t="shared" ref="W1328:W1335" si="2700">IF(Z1328&lt;&gt;0, IFERROR(IF( $F1328=2,  MROUND($AH1328*Z1328,1),    IF( OR($F1328="",$F1328=1),   MROUND($AH1328*Z1328,2.5),  MROUND($AH1328*Z1328, 0.1))), "" ), "")</f>
        <v/>
      </c>
      <c r="X1328" s="119"/>
      <c r="Y1328" s="119"/>
      <c r="Z1328" s="120"/>
      <c r="AA1328" s="118" t="str">
        <f t="shared" ref="AA1328:AA1335" si="2701">IF(AD1328&lt;&gt;0, IFERROR(IF( $F1328=2,  MROUND($AH1328*AD1328,1),    IF( OR($F1328="",$F1328=1),   MROUND($AH1328*AD1328,2.5),  MROUND($AH1328*AD1328, 0.1))), "" ), "")</f>
        <v/>
      </c>
      <c r="AB1328" s="119"/>
      <c r="AC1328" s="119"/>
      <c r="AD1328" s="120"/>
      <c r="AE1328" s="121">
        <f t="shared" ref="AE1328:AE1335" si="2702">(IF(ISNUMBER(G1328),G1328,0)*H1328*I1328+IF(ISNUMBER(K1328),K1328,1)*L1328*M1328+IF(ISNUMBER(O1328),O1328,1)*P1328*Q1328+IF(ISNUMBER(S1328),S1328,1)*T1328*U1328+IF(ISNUMBER(W1328),W1328,1)*X1328*Y1328+IF(ISNUMBER(AA1328),AA1328,1)*AB1328*AC1328)*IF(ISNUMBER(F1328),F1328,1)</f>
        <v>0</v>
      </c>
      <c r="AF1328" s="122">
        <f t="shared" si="2626"/>
        <v>0</v>
      </c>
      <c r="AG1328" s="200">
        <f t="shared" ref="AG1328:AG1335" si="2703">IFERROR((AF1328/(AH1328*IF(ISNUMBER(F1328),F1328,1))),0)</f>
        <v>0</v>
      </c>
      <c r="AH1328" s="169" t="str">
        <f t="shared" ref="AH1328:AH1335" si="2704">IF(ISNUMBER(AH1272), AH1272+(AH1272*$AH$1290),"")</f>
        <v/>
      </c>
      <c r="AI1328" s="122">
        <f> ( IF(ISNUMBER(G1328), VLOOKUP(G1328/$AH1328,F!$A1:$B101,2,1)*G1328*$H1328*$I1328,0)+IF(ISNUMBER(K1328), VLOOKUP(K1328/$AH1328,F!$A1:$B101,2,1)*K1328*$L1328*$M1328,0)+IF(ISNUMBER(O1328), VLOOKUP(O1328/$AH1328,F!$A1:$B101,2,1)*O1328*$P1328*$Q1328,0)+IF(ISNUMBER(S1328), VLOOKUP(S1328/$AH1328,F!$A1:$B101,2,1)*S1328*$T1328*$U1328,0)+IF(ISNUMBER(W1328), VLOOKUP(W1328/$AH1328,F!$A1:$B101,2,1)*W1328*$X1328*$Y1328,0)+IF(ISNUMBER(AA1328), VLOOKUP(AA1328/$AH1328,F!$A1:$B101,2,1)*AA1328*$AB1328*$AC1328,0))*IF(ISNUMBER(F1328),F1328,1)*IF(ISNUMBER(E1328),E1328,1)</f>
        <v>0</v>
      </c>
      <c r="AJ1328" s="119">
        <f t="shared" ref="AJ1328:AJ1335" si="2705">H1328*I1328+L1328*M1328+P1328*Q1328+T1328*U1328+X1328*Y1328+AB1328*AC1328</f>
        <v>0</v>
      </c>
      <c r="AK1328" s="125">
        <f t="array" ref="AK1328">IFERROR(I1328*INDEX(F!$P$21:$AB$33, MATCH(G1328/$AH1328, F!$O$21:$O$33,1), MATCH(E1328, F!$P$20:$AB$20,1)), 0 ) +IFERROR( M1328*INDEX(F!$P$21:$AB$33, MATCH(K1328/$AH1328, F!$O$21:$O$33,1), MATCH(E1328, F!$P$20:$AB$20,1)),0) +  IFERROR( Q1328*INDEX(F!$P$21:$AB$33, MATCH(O1328/$AH1328, F!$O$21:$O$33,1), MATCH(E1328, F!$P$20:$AB$20,1)), 0) + IFERROR( U1328*INDEX(F!$P$21:$AB$33, MATCH(S1328/$AH1328, F!$O$21:$O$33,1), MATCH(E1328, F!$P$20:$AB$20,1)),0)  + IFERROR(Y1328*INDEX(F!$P$21:$AB$33, MATCH(W1328/$AH1328, F!$O$21:$O$33,1), MATCH(E1328, F!$P$20:$AB$20,1)),0)  + IFERROR( AC1328*INDEX(F!$P$21:$AB$33, MATCH(AA1328/$AH1328, F!$O$21:$O$33,1), MATCH(E1328, F!$P$20:$AB$20,1)),)</f>
        <v>0</v>
      </c>
      <c r="AL1328" s="42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</row>
    <row r="1329" ht="15.75" hidden="1" customHeight="1">
      <c r="A1329" s="44">
        <f>A1273+A1234</f>
        <v>43947</v>
      </c>
      <c r="B1329" s="126" t="str">
        <f t="shared" ref="B1329:F1329" si="2695">IF(B1273="","",B1273)</f>
        <v/>
      </c>
      <c r="C1329" s="127" t="str">
        <f t="shared" si="2695"/>
        <v/>
      </c>
      <c r="D1329" s="128" t="str">
        <f t="shared" si="2695"/>
        <v/>
      </c>
      <c r="E1329" s="48" t="str">
        <f t="shared" si="2695"/>
        <v/>
      </c>
      <c r="F1329" s="129" t="str">
        <f t="shared" si="2695"/>
        <v/>
      </c>
      <c r="G1329" s="130" t="str">
        <f t="shared" si="2696"/>
        <v/>
      </c>
      <c r="H1329" s="34"/>
      <c r="I1329" s="34"/>
      <c r="J1329" s="65"/>
      <c r="K1329" s="130" t="str">
        <f t="shared" si="2697"/>
        <v/>
      </c>
      <c r="L1329" s="34"/>
      <c r="M1329" s="34"/>
      <c r="N1329" s="65"/>
      <c r="O1329" s="130" t="str">
        <f t="shared" si="2698"/>
        <v/>
      </c>
      <c r="P1329" s="34"/>
      <c r="Q1329" s="34"/>
      <c r="R1329" s="65"/>
      <c r="S1329" s="130" t="str">
        <f t="shared" si="2699"/>
        <v/>
      </c>
      <c r="T1329" s="34"/>
      <c r="U1329" s="34"/>
      <c r="V1329" s="65"/>
      <c r="W1329" s="130" t="str">
        <f t="shared" si="2700"/>
        <v/>
      </c>
      <c r="X1329" s="34"/>
      <c r="Y1329" s="34"/>
      <c r="Z1329" s="65"/>
      <c r="AA1329" s="130" t="str">
        <f t="shared" si="2701"/>
        <v/>
      </c>
      <c r="AB1329" s="34"/>
      <c r="AC1329" s="34"/>
      <c r="AD1329" s="65"/>
      <c r="AE1329" s="131">
        <f t="shared" si="2702"/>
        <v>0</v>
      </c>
      <c r="AF1329" s="132">
        <f t="shared" si="2626"/>
        <v>0</v>
      </c>
      <c r="AG1329" s="133">
        <f t="shared" si="2703"/>
        <v>0</v>
      </c>
      <c r="AH1329" s="76" t="str">
        <f t="shared" si="2704"/>
        <v/>
      </c>
      <c r="AI1329" s="132">
        <f> ( IF(ISNUMBER(G1329), VLOOKUP(G1329/$AH1329,F!$A1:$B101,2,1)*G1329*$H1329*$I1329,0)+IF(ISNUMBER(K1329), VLOOKUP(K1329/$AH1329,F!$A1:$B101,2,1)*K1329*$L1329*$M1329,0)+IF(ISNUMBER(O1329), VLOOKUP(O1329/$AH1329,F!$A1:$B101,2,1)*O1329*$P1329*$Q1329,0)+IF(ISNUMBER(S1329), VLOOKUP(S1329/$AH1329,F!$A1:$B101,2,1)*S1329*$T1329*$U1329,0)+IF(ISNUMBER(W1329), VLOOKUP(W1329/$AH1329,F!$A1:$B101,2,1)*W1329*$X1329*$Y1329,0)+IF(ISNUMBER(AA1329), VLOOKUP(AA1329/$AH1329,F!$A1:$B101,2,1)*AA1329*$AB1329*$AC1329,0))*IF(ISNUMBER(F1329),F1329,1)*IF(ISNUMBER(E1329),E1329,1)</f>
        <v>0</v>
      </c>
      <c r="AJ1329" s="34">
        <f t="shared" si="2705"/>
        <v>0</v>
      </c>
      <c r="AK1329" s="134">
        <f t="array" ref="AK1329">IFERROR(I1329*INDEX(F!$P$21:$AB$33, MATCH(G1329/$AH1329, F!$O$21:$O$33,1), MATCH(E1329, F!$P$20:$AB$20,1)), 0 ) +IFERROR( M1329*INDEX(F!$P$21:$AB$33, MATCH(K1329/$AH1329, F!$O$21:$O$33,1), MATCH(E1329, F!$P$20:$AB$20,1)),0) +  IFERROR( Q1329*INDEX(F!$P$21:$AB$33, MATCH(O1329/$AH1329, F!$O$21:$O$33,1), MATCH(E1329, F!$P$20:$AB$20,1)), 0) + IFERROR( U1329*INDEX(F!$P$21:$AB$33, MATCH(S1329/$AH1329, F!$O$21:$O$33,1), MATCH(E1329, F!$P$20:$AB$20,1)),0)  + IFERROR(Y1329*INDEX(F!$P$21:$AB$33, MATCH(W1329/$AH1329, F!$O$21:$O$33,1), MATCH(E1329, F!$P$20:$AB$20,1)),0)  + IFERROR( AC1329*INDEX(F!$P$21:$AB$33, MATCH(AA1329/$AH1329, F!$O$21:$O$33,1), MATCH(E1329, F!$P$20:$AB$20,1)),)</f>
        <v>0</v>
      </c>
      <c r="AL1329" s="59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</row>
    <row r="1330" ht="15.75" hidden="1" customHeight="1">
      <c r="A1330" s="59"/>
      <c r="B1330" s="135" t="str">
        <f t="shared" ref="B1330:F1330" si="2706">IF(B1274="","",B1274)</f>
        <v/>
      </c>
      <c r="C1330" s="136" t="str">
        <f t="shared" si="2706"/>
        <v/>
      </c>
      <c r="D1330" s="137" t="str">
        <f t="shared" si="2706"/>
        <v/>
      </c>
      <c r="E1330" s="48" t="str">
        <f t="shared" si="2706"/>
        <v/>
      </c>
      <c r="F1330" s="138" t="str">
        <f t="shared" si="2706"/>
        <v/>
      </c>
      <c r="G1330" s="139" t="str">
        <f t="shared" si="2696"/>
        <v/>
      </c>
      <c r="H1330" s="140"/>
      <c r="I1330" s="140"/>
      <c r="J1330" s="141"/>
      <c r="K1330" s="139" t="str">
        <f t="shared" si="2697"/>
        <v/>
      </c>
      <c r="L1330" s="140"/>
      <c r="M1330" s="140"/>
      <c r="N1330" s="141"/>
      <c r="O1330" s="139" t="str">
        <f t="shared" si="2698"/>
        <v/>
      </c>
      <c r="P1330" s="140"/>
      <c r="Q1330" s="140"/>
      <c r="R1330" s="141"/>
      <c r="S1330" s="139" t="str">
        <f t="shared" si="2699"/>
        <v/>
      </c>
      <c r="T1330" s="140"/>
      <c r="U1330" s="140"/>
      <c r="V1330" s="141"/>
      <c r="W1330" s="139" t="str">
        <f t="shared" si="2700"/>
        <v/>
      </c>
      <c r="X1330" s="140"/>
      <c r="Y1330" s="140"/>
      <c r="Z1330" s="141"/>
      <c r="AA1330" s="139" t="str">
        <f t="shared" si="2701"/>
        <v/>
      </c>
      <c r="AB1330" s="140"/>
      <c r="AC1330" s="140"/>
      <c r="AD1330" s="141"/>
      <c r="AE1330" s="142">
        <f t="shared" si="2702"/>
        <v>0</v>
      </c>
      <c r="AF1330" s="143">
        <f t="shared" si="2626"/>
        <v>0</v>
      </c>
      <c r="AG1330" s="144">
        <f t="shared" si="2703"/>
        <v>0</v>
      </c>
      <c r="AH1330" s="76" t="str">
        <f t="shared" si="2704"/>
        <v/>
      </c>
      <c r="AI1330" s="143">
        <f> ( IF(ISNUMBER(G1330), VLOOKUP(G1330/$AH1330,F!$A1:$B101,2,1)*G1330*$H1330*$I1330,0)+IF(ISNUMBER(K1330), VLOOKUP(K1330/$AH1330,F!$A1:$B101,2,1)*K1330*$L1330*$M1330,0)+IF(ISNUMBER(O1330), VLOOKUP(O1330/$AH1330,F!$A1:$B101,2,1)*O1330*$P1330*$Q1330,0)+IF(ISNUMBER(S1330), VLOOKUP(S1330/$AH1330,F!$A1:$B101,2,1)*S1330*$T1330*$U1330,0)+IF(ISNUMBER(W1330), VLOOKUP(W1330/$AH1330,F!$A1:$B101,2,1)*W1330*$X1330*$Y1330,0)+IF(ISNUMBER(AA1330), VLOOKUP(AA1330/$AH1330,F!$A1:$B101,2,1)*AA1330*$AB1330*$AC1330,0))*IF(ISNUMBER(F1330),F1330,1)*IF(ISNUMBER(E1330),E1330,1)</f>
        <v>0</v>
      </c>
      <c r="AJ1330" s="140">
        <f t="shared" si="2705"/>
        <v>0</v>
      </c>
      <c r="AK1330" s="145">
        <f t="array" ref="AK1330">IFERROR(I1330*INDEX(F!$P$21:$AB$33, MATCH(G1330/$AH1330, F!$O$21:$O$33,1), MATCH(E1330, F!$P$20:$AB$20,1)), 0 ) +IFERROR( M1330*INDEX(F!$P$21:$AB$33, MATCH(K1330/$AH1330, F!$O$21:$O$33,1), MATCH(E1330, F!$P$20:$AB$20,1)),0) +  IFERROR( Q1330*INDEX(F!$P$21:$AB$33, MATCH(O1330/$AH1330, F!$O$21:$O$33,1), MATCH(E1330, F!$P$20:$AB$20,1)), 0) + IFERROR( U1330*INDEX(F!$P$21:$AB$33, MATCH(S1330/$AH1330, F!$O$21:$O$33,1), MATCH(E1330, F!$P$20:$AB$20,1)),0)  + IFERROR(Y1330*INDEX(F!$P$21:$AB$33, MATCH(W1330/$AH1330, F!$O$21:$O$33,1), MATCH(E1330, F!$P$20:$AB$20,1)),0)  + IFERROR( AC1330*INDEX(F!$P$21:$AB$33, MATCH(AA1330/$AH1330, F!$O$21:$O$33,1), MATCH(E1330, F!$P$20:$AB$20,1)),)</f>
        <v>0</v>
      </c>
      <c r="AL1330" s="59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</row>
    <row r="1331" ht="15.75" hidden="1" customHeight="1">
      <c r="A1331" s="59"/>
      <c r="B1331" s="126" t="str">
        <f t="shared" ref="B1331:F1331" si="2707">IF(B1275="","",B1275)</f>
        <v/>
      </c>
      <c r="C1331" s="127" t="str">
        <f t="shared" si="2707"/>
        <v/>
      </c>
      <c r="D1331" s="128" t="str">
        <f t="shared" si="2707"/>
        <v/>
      </c>
      <c r="E1331" s="48" t="str">
        <f t="shared" si="2707"/>
        <v/>
      </c>
      <c r="F1331" s="129" t="str">
        <f t="shared" si="2707"/>
        <v/>
      </c>
      <c r="G1331" s="130" t="str">
        <f t="shared" si="2696"/>
        <v/>
      </c>
      <c r="H1331" s="34"/>
      <c r="I1331" s="34"/>
      <c r="J1331" s="65"/>
      <c r="K1331" s="130" t="str">
        <f t="shared" si="2697"/>
        <v/>
      </c>
      <c r="L1331" s="34"/>
      <c r="M1331" s="34"/>
      <c r="N1331" s="65"/>
      <c r="O1331" s="130" t="str">
        <f t="shared" si="2698"/>
        <v/>
      </c>
      <c r="P1331" s="34"/>
      <c r="Q1331" s="34"/>
      <c r="R1331" s="65"/>
      <c r="S1331" s="130" t="str">
        <f t="shared" si="2699"/>
        <v/>
      </c>
      <c r="T1331" s="34"/>
      <c r="U1331" s="34"/>
      <c r="V1331" s="65"/>
      <c r="W1331" s="130" t="str">
        <f t="shared" si="2700"/>
        <v/>
      </c>
      <c r="X1331" s="34"/>
      <c r="Y1331" s="34"/>
      <c r="Z1331" s="65"/>
      <c r="AA1331" s="130" t="str">
        <f t="shared" si="2701"/>
        <v/>
      </c>
      <c r="AB1331" s="34"/>
      <c r="AC1331" s="34"/>
      <c r="AD1331" s="65"/>
      <c r="AE1331" s="131">
        <f t="shared" si="2702"/>
        <v>0</v>
      </c>
      <c r="AF1331" s="132">
        <f t="shared" si="2626"/>
        <v>0</v>
      </c>
      <c r="AG1331" s="133">
        <f t="shared" si="2703"/>
        <v>0</v>
      </c>
      <c r="AH1331" s="76" t="str">
        <f t="shared" si="2704"/>
        <v/>
      </c>
      <c r="AI1331" s="132">
        <f> ( IF(ISNUMBER(G1331), VLOOKUP(G1331/$AH1331,F!$A1:$B101,2,1)*G1331*$H1331*$I1331,0)+IF(ISNUMBER(K1331), VLOOKUP(K1331/$AH1331,F!$A1:$B101,2,1)*K1331*$L1331*$M1331,0)+IF(ISNUMBER(O1331), VLOOKUP(O1331/$AH1331,F!$A1:$B101,2,1)*O1331*$P1331*$Q1331,0)+IF(ISNUMBER(S1331), VLOOKUP(S1331/$AH1331,F!$A1:$B101,2,1)*S1331*$T1331*$U1331,0)+IF(ISNUMBER(W1331), VLOOKUP(W1331/$AH1331,F!$A1:$B101,2,1)*W1331*$X1331*$Y1331,0)+IF(ISNUMBER(AA1331), VLOOKUP(AA1331/$AH1331,F!$A1:$B101,2,1)*AA1331*$AB1331*$AC1331,0))*IF(ISNUMBER(F1331),F1331,1)*IF(ISNUMBER(E1331),E1331,1)</f>
        <v>0</v>
      </c>
      <c r="AJ1331" s="34">
        <f t="shared" si="2705"/>
        <v>0</v>
      </c>
      <c r="AK1331" s="134">
        <f t="array" ref="AK1331">IFERROR(I1331*INDEX(F!$P$21:$AB$33, MATCH(G1331/$AH1331, F!$O$21:$O$33,1), MATCH(E1331, F!$P$20:$AB$20,1)), 0 ) +IFERROR( M1331*INDEX(F!$P$21:$AB$33, MATCH(K1331/$AH1331, F!$O$21:$O$33,1), MATCH(E1331, F!$P$20:$AB$20,1)),0) +  IFERROR( Q1331*INDEX(F!$P$21:$AB$33, MATCH(O1331/$AH1331, F!$O$21:$O$33,1), MATCH(E1331, F!$P$20:$AB$20,1)), 0) + IFERROR( U1331*INDEX(F!$P$21:$AB$33, MATCH(S1331/$AH1331, F!$O$21:$O$33,1), MATCH(E1331, F!$P$20:$AB$20,1)),0)  + IFERROR(Y1331*INDEX(F!$P$21:$AB$33, MATCH(W1331/$AH1331, F!$O$21:$O$33,1), MATCH(E1331, F!$P$20:$AB$20,1)),0)  + IFERROR( AC1331*INDEX(F!$P$21:$AB$33, MATCH(AA1331/$AH1331, F!$O$21:$O$33,1), MATCH(E1331, F!$P$20:$AB$20,1)),)</f>
        <v>0</v>
      </c>
      <c r="AL1331" s="59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</row>
    <row r="1332" ht="15.75" hidden="1" customHeight="1">
      <c r="A1332" s="59"/>
      <c r="B1332" s="135" t="str">
        <f t="shared" ref="B1332:F1332" si="2708">IF(B1276="","",B1276)</f>
        <v/>
      </c>
      <c r="C1332" s="136" t="str">
        <f t="shared" si="2708"/>
        <v/>
      </c>
      <c r="D1332" s="137" t="str">
        <f t="shared" si="2708"/>
        <v/>
      </c>
      <c r="E1332" s="48" t="str">
        <f t="shared" si="2708"/>
        <v/>
      </c>
      <c r="F1332" s="138" t="str">
        <f t="shared" si="2708"/>
        <v/>
      </c>
      <c r="G1332" s="139" t="str">
        <f t="shared" si="2696"/>
        <v/>
      </c>
      <c r="H1332" s="140"/>
      <c r="I1332" s="140"/>
      <c r="J1332" s="141"/>
      <c r="K1332" s="139" t="str">
        <f t="shared" si="2697"/>
        <v/>
      </c>
      <c r="L1332" s="140"/>
      <c r="M1332" s="140"/>
      <c r="N1332" s="141"/>
      <c r="O1332" s="139" t="str">
        <f t="shared" si="2698"/>
        <v/>
      </c>
      <c r="P1332" s="140"/>
      <c r="Q1332" s="140"/>
      <c r="R1332" s="141"/>
      <c r="S1332" s="139" t="str">
        <f t="shared" si="2699"/>
        <v/>
      </c>
      <c r="T1332" s="140"/>
      <c r="U1332" s="140"/>
      <c r="V1332" s="141"/>
      <c r="W1332" s="139" t="str">
        <f t="shared" si="2700"/>
        <v/>
      </c>
      <c r="X1332" s="140"/>
      <c r="Y1332" s="140"/>
      <c r="Z1332" s="141"/>
      <c r="AA1332" s="139" t="str">
        <f t="shared" si="2701"/>
        <v/>
      </c>
      <c r="AB1332" s="140"/>
      <c r="AC1332" s="140"/>
      <c r="AD1332" s="141"/>
      <c r="AE1332" s="142">
        <f t="shared" si="2702"/>
        <v>0</v>
      </c>
      <c r="AF1332" s="143">
        <f t="shared" si="2626"/>
        <v>0</v>
      </c>
      <c r="AG1332" s="144">
        <f t="shared" si="2703"/>
        <v>0</v>
      </c>
      <c r="AH1332" s="76" t="str">
        <f t="shared" si="2704"/>
        <v/>
      </c>
      <c r="AI1332" s="143">
        <f> ( IF(ISNUMBER(G1332), VLOOKUP(G1332/$AH1332,F!$A1:$B101,2,1)*G1332*$H1332*$I1332,0)+IF(ISNUMBER(K1332), VLOOKUP(K1332/$AH1332,F!$A1:$B101,2,1)*K1332*$L1332*$M1332,0)+IF(ISNUMBER(O1332), VLOOKUP(O1332/$AH1332,F!$A1:$B101,2,1)*O1332*$P1332*$Q1332,0)+IF(ISNUMBER(S1332), VLOOKUP(S1332/$AH1332,F!$A1:$B101,2,1)*S1332*$T1332*$U1332,0)+IF(ISNUMBER(W1332), VLOOKUP(W1332/$AH1332,F!$A1:$B101,2,1)*W1332*$X1332*$Y1332,0)+IF(ISNUMBER(AA1332), VLOOKUP(AA1332/$AH1332,F!$A1:$B101,2,1)*AA1332*$AB1332*$AC1332,0))*IF(ISNUMBER(F1332),F1332,1)*IF(ISNUMBER(E1332),E1332,1)</f>
        <v>0</v>
      </c>
      <c r="AJ1332" s="140">
        <f t="shared" si="2705"/>
        <v>0</v>
      </c>
      <c r="AK1332" s="145">
        <f t="array" ref="AK1332">IFERROR(I1332*INDEX(F!$P$21:$AB$33, MATCH(G1332/$AH1332, F!$O$21:$O$33,1), MATCH(E1332, F!$P$20:$AB$20,1)), 0 ) +IFERROR( M1332*INDEX(F!$P$21:$AB$33, MATCH(K1332/$AH1332, F!$O$21:$O$33,1), MATCH(E1332, F!$P$20:$AB$20,1)),0) +  IFERROR( Q1332*INDEX(F!$P$21:$AB$33, MATCH(O1332/$AH1332, F!$O$21:$O$33,1), MATCH(E1332, F!$P$20:$AB$20,1)), 0) + IFERROR( U1332*INDEX(F!$P$21:$AB$33, MATCH(S1332/$AH1332, F!$O$21:$O$33,1), MATCH(E1332, F!$P$20:$AB$20,1)),0)  + IFERROR(Y1332*INDEX(F!$P$21:$AB$33, MATCH(W1332/$AH1332, F!$O$21:$O$33,1), MATCH(E1332, F!$P$20:$AB$20,1)),0)  + IFERROR( AC1332*INDEX(F!$P$21:$AB$33, MATCH(AA1332/$AH1332, F!$O$21:$O$33,1), MATCH(E1332, F!$P$20:$AB$20,1)),)</f>
        <v>0</v>
      </c>
      <c r="AL1332" s="59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</row>
    <row r="1333" ht="15.75" hidden="1" customHeight="1">
      <c r="A1333" s="59"/>
      <c r="B1333" s="126" t="str">
        <f t="shared" ref="B1333:F1333" si="2709">IF(B1277="","",B1277)</f>
        <v/>
      </c>
      <c r="C1333" s="127" t="str">
        <f t="shared" si="2709"/>
        <v/>
      </c>
      <c r="D1333" s="128" t="str">
        <f t="shared" si="2709"/>
        <v/>
      </c>
      <c r="E1333" s="48" t="str">
        <f t="shared" si="2709"/>
        <v/>
      </c>
      <c r="F1333" s="129" t="str">
        <f t="shared" si="2709"/>
        <v/>
      </c>
      <c r="G1333" s="130" t="str">
        <f t="shared" si="2696"/>
        <v/>
      </c>
      <c r="H1333" s="34"/>
      <c r="I1333" s="34"/>
      <c r="J1333" s="65"/>
      <c r="K1333" s="130" t="str">
        <f t="shared" si="2697"/>
        <v/>
      </c>
      <c r="L1333" s="34"/>
      <c r="M1333" s="34"/>
      <c r="N1333" s="65"/>
      <c r="O1333" s="130" t="str">
        <f t="shared" si="2698"/>
        <v/>
      </c>
      <c r="P1333" s="34"/>
      <c r="Q1333" s="34"/>
      <c r="R1333" s="65"/>
      <c r="S1333" s="130" t="str">
        <f t="shared" si="2699"/>
        <v/>
      </c>
      <c r="T1333" s="34"/>
      <c r="U1333" s="34"/>
      <c r="V1333" s="65"/>
      <c r="W1333" s="130" t="str">
        <f t="shared" si="2700"/>
        <v/>
      </c>
      <c r="X1333" s="34"/>
      <c r="Y1333" s="34"/>
      <c r="Z1333" s="65"/>
      <c r="AA1333" s="130" t="str">
        <f t="shared" si="2701"/>
        <v/>
      </c>
      <c r="AB1333" s="34"/>
      <c r="AC1333" s="34"/>
      <c r="AD1333" s="65"/>
      <c r="AE1333" s="131">
        <f t="shared" si="2702"/>
        <v>0</v>
      </c>
      <c r="AF1333" s="132">
        <f t="shared" si="2626"/>
        <v>0</v>
      </c>
      <c r="AG1333" s="133">
        <f t="shared" si="2703"/>
        <v>0</v>
      </c>
      <c r="AH1333" s="76" t="str">
        <f t="shared" si="2704"/>
        <v/>
      </c>
      <c r="AI1333" s="132">
        <f> ( IF(ISNUMBER(G1333), VLOOKUP(G1333/$AH1333,F!$A1:$B101,2,1)*G1333*$H1333*$I1333,0)+IF(ISNUMBER(K1333), VLOOKUP(K1333/$AH1333,F!$A1:$B101,2,1)*K1333*$L1333*$M1333,0)+IF(ISNUMBER(O1333), VLOOKUP(O1333/$AH1333,F!$A1:$B101,2,1)*O1333*$P1333*$Q1333,0)+IF(ISNUMBER(S1333), VLOOKUP(S1333/$AH1333,F!$A1:$B101,2,1)*S1333*$T1333*$U1333,0)+IF(ISNUMBER(W1333), VLOOKUP(W1333/$AH1333,F!$A1:$B101,2,1)*W1333*$X1333*$Y1333,0)+IF(ISNUMBER(AA1333), VLOOKUP(AA1333/$AH1333,F!$A1:$B101,2,1)*AA1333*$AB1333*$AC1333,0))*IF(ISNUMBER(F1333),F1333,1)*IF(ISNUMBER(E1333),E1333,1)</f>
        <v>0</v>
      </c>
      <c r="AJ1333" s="34">
        <f t="shared" si="2705"/>
        <v>0</v>
      </c>
      <c r="AK1333" s="134">
        <f t="array" ref="AK1333">IFERROR(I1333*INDEX(F!$P$21:$AB$33, MATCH(G1333/$AH1333, F!$O$21:$O$33,1), MATCH(E1333, F!$P$20:$AB$20,1)), 0 ) +IFERROR( M1333*INDEX(F!$P$21:$AB$33, MATCH(K1333/$AH1333, F!$O$21:$O$33,1), MATCH(E1333, F!$P$20:$AB$20,1)),0) +  IFERROR( Q1333*INDEX(F!$P$21:$AB$33, MATCH(O1333/$AH1333, F!$O$21:$O$33,1), MATCH(E1333, F!$P$20:$AB$20,1)), 0) + IFERROR( U1333*INDEX(F!$P$21:$AB$33, MATCH(S1333/$AH1333, F!$O$21:$O$33,1), MATCH(E1333, F!$P$20:$AB$20,1)),0)  + IFERROR(Y1333*INDEX(F!$P$21:$AB$33, MATCH(W1333/$AH1333, F!$O$21:$O$33,1), MATCH(E1333, F!$P$20:$AB$20,1)),0)  + IFERROR( AC1333*INDEX(F!$P$21:$AB$33, MATCH(AA1333/$AH1333, F!$O$21:$O$33,1), MATCH(E1333, F!$P$20:$AB$20,1)),)</f>
        <v>0</v>
      </c>
      <c r="AL1333" s="59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</row>
    <row r="1334" ht="15.75" hidden="1" customHeight="1">
      <c r="A1334" s="59"/>
      <c r="B1334" s="135" t="str">
        <f t="shared" ref="B1334:F1334" si="2710">IF(B1278="","",B1278)</f>
        <v/>
      </c>
      <c r="C1334" s="136" t="str">
        <f t="shared" si="2710"/>
        <v/>
      </c>
      <c r="D1334" s="137" t="str">
        <f t="shared" si="2710"/>
        <v/>
      </c>
      <c r="E1334" s="48" t="str">
        <f t="shared" si="2710"/>
        <v/>
      </c>
      <c r="F1334" s="138" t="str">
        <f t="shared" si="2710"/>
        <v/>
      </c>
      <c r="G1334" s="139" t="str">
        <f t="shared" si="2696"/>
        <v/>
      </c>
      <c r="H1334" s="140"/>
      <c r="I1334" s="140"/>
      <c r="J1334" s="141"/>
      <c r="K1334" s="139" t="str">
        <f t="shared" si="2697"/>
        <v/>
      </c>
      <c r="L1334" s="140"/>
      <c r="M1334" s="140"/>
      <c r="N1334" s="141"/>
      <c r="O1334" s="139" t="str">
        <f t="shared" si="2698"/>
        <v/>
      </c>
      <c r="P1334" s="140"/>
      <c r="Q1334" s="140"/>
      <c r="R1334" s="141"/>
      <c r="S1334" s="139" t="str">
        <f t="shared" si="2699"/>
        <v/>
      </c>
      <c r="T1334" s="140"/>
      <c r="U1334" s="140"/>
      <c r="V1334" s="141"/>
      <c r="W1334" s="139" t="str">
        <f t="shared" si="2700"/>
        <v/>
      </c>
      <c r="X1334" s="140"/>
      <c r="Y1334" s="140"/>
      <c r="Z1334" s="141"/>
      <c r="AA1334" s="139" t="str">
        <f t="shared" si="2701"/>
        <v/>
      </c>
      <c r="AB1334" s="140"/>
      <c r="AC1334" s="140"/>
      <c r="AD1334" s="141"/>
      <c r="AE1334" s="142">
        <f t="shared" si="2702"/>
        <v>0</v>
      </c>
      <c r="AF1334" s="143">
        <f t="shared" si="2626"/>
        <v>0</v>
      </c>
      <c r="AG1334" s="144">
        <f t="shared" si="2703"/>
        <v>0</v>
      </c>
      <c r="AH1334" s="76" t="str">
        <f t="shared" si="2704"/>
        <v/>
      </c>
      <c r="AI1334" s="143">
        <f> ( IF(ISNUMBER(G1334), VLOOKUP(G1334/$AH1334,F!$A1:$B101,2,1)*G1334*$H1334*$I1334,0)+IF(ISNUMBER(K1334), VLOOKUP(K1334/$AH1334,F!$A1:$B101,2,1)*K1334*$L1334*$M1334,0)+IF(ISNUMBER(O1334), VLOOKUP(O1334/$AH1334,F!$A1:$B101,2,1)*O1334*$P1334*$Q1334,0)+IF(ISNUMBER(S1334), VLOOKUP(S1334/$AH1334,F!$A1:$B101,2,1)*S1334*$T1334*$U1334,0)+IF(ISNUMBER(W1334), VLOOKUP(W1334/$AH1334,F!$A1:$B101,2,1)*W1334*$X1334*$Y1334,0)+IF(ISNUMBER(AA1334), VLOOKUP(AA1334/$AH1334,F!$A1:$B101,2,1)*AA1334*$AB1334*$AC1334,0))*IF(ISNUMBER(F1334),F1334,1)*IF(ISNUMBER(E1334),E1334,1)</f>
        <v>0</v>
      </c>
      <c r="AJ1334" s="140">
        <f t="shared" si="2705"/>
        <v>0</v>
      </c>
      <c r="AK1334" s="145">
        <f t="array" ref="AK1334">IFERROR(I1334*INDEX(F!$P$21:$AB$33, MATCH(G1334/$AH1334, F!$O$21:$O$33,1), MATCH(E1334, F!$P$20:$AB$20,1)), 0 ) +IFERROR( M1334*INDEX(F!$P$21:$AB$33, MATCH(K1334/$AH1334, F!$O$21:$O$33,1), MATCH(E1334, F!$P$20:$AB$20,1)),0) +  IFERROR( Q1334*INDEX(F!$P$21:$AB$33, MATCH(O1334/$AH1334, F!$O$21:$O$33,1), MATCH(E1334, F!$P$20:$AB$20,1)), 0) + IFERROR( U1334*INDEX(F!$P$21:$AB$33, MATCH(S1334/$AH1334, F!$O$21:$O$33,1), MATCH(E1334, F!$P$20:$AB$20,1)),0)  + IFERROR(Y1334*INDEX(F!$P$21:$AB$33, MATCH(W1334/$AH1334, F!$O$21:$O$33,1), MATCH(E1334, F!$P$20:$AB$20,1)),0)  + IFERROR( AC1334*INDEX(F!$P$21:$AB$33, MATCH(AA1334/$AH1334, F!$O$21:$O$33,1), MATCH(E1334, F!$P$20:$AB$20,1)),)</f>
        <v>0</v>
      </c>
      <c r="AL1334" s="59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</row>
    <row r="1335" ht="15.75" hidden="1" customHeight="1">
      <c r="A1335" s="59"/>
      <c r="B1335" s="126" t="str">
        <f t="shared" ref="B1335:F1335" si="2711">IF(B1279="","",B1279)</f>
        <v/>
      </c>
      <c r="C1335" s="127" t="str">
        <f t="shared" si="2711"/>
        <v/>
      </c>
      <c r="D1335" s="128" t="str">
        <f t="shared" si="2711"/>
        <v/>
      </c>
      <c r="E1335" s="48" t="str">
        <f t="shared" si="2711"/>
        <v/>
      </c>
      <c r="F1335" s="129" t="str">
        <f t="shared" si="2711"/>
        <v/>
      </c>
      <c r="G1335" s="130" t="str">
        <f t="shared" si="2696"/>
        <v/>
      </c>
      <c r="H1335" s="34"/>
      <c r="I1335" s="34"/>
      <c r="J1335" s="65"/>
      <c r="K1335" s="130" t="str">
        <f t="shared" si="2697"/>
        <v/>
      </c>
      <c r="L1335" s="34"/>
      <c r="M1335" s="34"/>
      <c r="N1335" s="65"/>
      <c r="O1335" s="130" t="str">
        <f t="shared" si="2698"/>
        <v/>
      </c>
      <c r="P1335" s="34"/>
      <c r="Q1335" s="34"/>
      <c r="R1335" s="65"/>
      <c r="S1335" s="130" t="str">
        <f t="shared" si="2699"/>
        <v/>
      </c>
      <c r="T1335" s="34"/>
      <c r="U1335" s="34"/>
      <c r="V1335" s="65"/>
      <c r="W1335" s="130" t="str">
        <f t="shared" si="2700"/>
        <v/>
      </c>
      <c r="X1335" s="34"/>
      <c r="Y1335" s="34"/>
      <c r="Z1335" s="65"/>
      <c r="AA1335" s="130" t="str">
        <f t="shared" si="2701"/>
        <v/>
      </c>
      <c r="AB1335" s="34"/>
      <c r="AC1335" s="34"/>
      <c r="AD1335" s="65"/>
      <c r="AE1335" s="131">
        <f t="shared" si="2702"/>
        <v>0</v>
      </c>
      <c r="AF1335" s="132">
        <f t="shared" si="2626"/>
        <v>0</v>
      </c>
      <c r="AG1335" s="133">
        <f t="shared" si="2703"/>
        <v>0</v>
      </c>
      <c r="AH1335" s="76" t="str">
        <f t="shared" si="2704"/>
        <v/>
      </c>
      <c r="AI1335" s="132">
        <f> ( IF(ISNUMBER(G1335), VLOOKUP(G1335/$AH1335,F!$A1:$B101,2,1)*G1335*$H1335*$I1335,0)+IF(ISNUMBER(K1335), VLOOKUP(K1335/$AH1335,F!$A1:$B101,2,1)*K1335*$L1335*$M1335,0)+IF(ISNUMBER(O1335), VLOOKUP(O1335/$AH1335,F!$A1:$B101,2,1)*O1335*$P1335*$Q1335,0)+IF(ISNUMBER(S1335), VLOOKUP(S1335/$AH1335,F!$A1:$B101,2,1)*S1335*$T1335*$U1335,0)+IF(ISNUMBER(W1335), VLOOKUP(W1335/$AH1335,F!$A1:$B101,2,1)*W1335*$X1335*$Y1335,0)+IF(ISNUMBER(AA1335), VLOOKUP(AA1335/$AH1335,F!$A1:$B101,2,1)*AA1335*$AB1335*$AC1335,0))*IF(ISNUMBER(F1335),F1335,1)*IF(ISNUMBER(E1335),E1335,1)</f>
        <v>0</v>
      </c>
      <c r="AJ1335" s="34">
        <f t="shared" si="2705"/>
        <v>0</v>
      </c>
      <c r="AK1335" s="134">
        <f t="array" ref="AK1335">IFERROR(I1335*INDEX(F!$P$21:$AB$33, MATCH(G1335/$AH1335, F!$O$21:$O$33,1), MATCH(E1335, F!$P$20:$AB$20,1)), 0 ) +IFERROR( M1335*INDEX(F!$P$21:$AB$33, MATCH(K1335/$AH1335, F!$O$21:$O$33,1), MATCH(E1335, F!$P$20:$AB$20,1)),0) +  IFERROR( Q1335*INDEX(F!$P$21:$AB$33, MATCH(O1335/$AH1335, F!$O$21:$O$33,1), MATCH(E1335, F!$P$20:$AB$20,1)), 0) + IFERROR( U1335*INDEX(F!$P$21:$AB$33, MATCH(S1335/$AH1335, F!$O$21:$O$33,1), MATCH(E1335, F!$P$20:$AB$20,1)),0)  + IFERROR(Y1335*INDEX(F!$P$21:$AB$33, MATCH(W1335/$AH1335, F!$O$21:$O$33,1), MATCH(E1335, F!$P$20:$AB$20,1)),0)  + IFERROR( AC1335*INDEX(F!$P$21:$AB$33, MATCH(AA1335/$AH1335, F!$O$21:$O$33,1), MATCH(E1335, F!$P$20:$AB$20,1)),)</f>
        <v>0</v>
      </c>
      <c r="AL1335" s="59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</row>
    <row r="1336" ht="15.75" hidden="1" customHeight="1">
      <c r="A1336" s="98"/>
      <c r="B1336" s="150"/>
      <c r="C1336" s="151"/>
      <c r="D1336" s="152"/>
      <c r="E1336" s="102">
        <f>ROUND(IFERROR(SUMPRODUCT(AJ1328:AJ1335,E1328:E1335)/AJ1336,0),3)</f>
        <v>0</v>
      </c>
      <c r="F1336" s="153"/>
      <c r="G1336" s="154"/>
      <c r="H1336" s="155"/>
      <c r="I1336" s="155"/>
      <c r="J1336" s="156"/>
      <c r="K1336" s="154"/>
      <c r="L1336" s="155"/>
      <c r="M1336" s="155"/>
      <c r="N1336" s="156"/>
      <c r="O1336" s="154"/>
      <c r="P1336" s="155"/>
      <c r="Q1336" s="155"/>
      <c r="R1336" s="156"/>
      <c r="S1336" s="154"/>
      <c r="T1336" s="155"/>
      <c r="U1336" s="155"/>
      <c r="V1336" s="156"/>
      <c r="W1336" s="154"/>
      <c r="X1336" s="155"/>
      <c r="Y1336" s="155"/>
      <c r="Z1336" s="156"/>
      <c r="AA1336" s="154"/>
      <c r="AB1336" s="155"/>
      <c r="AC1336" s="155"/>
      <c r="AD1336" s="156"/>
      <c r="AE1336" s="107">
        <f>SUM(AE1328:AE1335)</f>
        <v>0</v>
      </c>
      <c r="AF1336" s="108">
        <f t="shared" si="2626"/>
        <v>0</v>
      </c>
      <c r="AG1336" s="109">
        <f>IFERROR(  SUMPRODUCT(AG1328:AG1335,AJ1328:AJ1335)/AJ1336,0)</f>
        <v>0</v>
      </c>
      <c r="AH1336" s="157"/>
      <c r="AI1336" s="111">
        <f t="shared" ref="AI1336:AJ1336" si="2712">SUM(AI1328:AI1335)</f>
        <v>0</v>
      </c>
      <c r="AJ1336" s="111">
        <f t="shared" si="2712"/>
        <v>0</v>
      </c>
      <c r="AK1336" s="112">
        <f>IF(SUM(AK1328:AK1335)=0,TIME(,0,),TIME(,SUM(AK1328:AK1335)+F!$V$37,))</f>
        <v>0</v>
      </c>
      <c r="AL1336" s="98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</row>
    <row r="1337" ht="15.75" hidden="1" customHeight="1">
      <c r="A1337" s="158">
        <f>A1338</f>
        <v>43948</v>
      </c>
      <c r="B1337" s="159" t="str">
        <f t="shared" ref="B1337:F1337" si="2713">IF(B1281="","",B1281)</f>
        <v/>
      </c>
      <c r="C1337" s="160" t="str">
        <f t="shared" si="2713"/>
        <v/>
      </c>
      <c r="D1337" s="161" t="str">
        <f t="shared" si="2713"/>
        <v/>
      </c>
      <c r="E1337" s="29" t="str">
        <f t="shared" si="2713"/>
        <v/>
      </c>
      <c r="F1337" s="162" t="str">
        <f t="shared" si="2713"/>
        <v/>
      </c>
      <c r="G1337" s="163" t="str">
        <f t="shared" ref="G1337:G1344" si="2715">IF(J1337&lt;&gt;0, IFERROR(IF( $F1337=2,  MROUND($AH1337*J1337,1),    IF( OR($F1337="",$F1337=1),   MROUND($AH1337*J1337,2.5),  MROUND($AH1337*J1337, 0.1))), "" ), "")</f>
        <v/>
      </c>
      <c r="H1337" s="164"/>
      <c r="I1337" s="164"/>
      <c r="J1337" s="165"/>
      <c r="K1337" s="163" t="str">
        <f t="shared" ref="K1337:K1344" si="2716">IF(N1337&lt;&gt;0, IFERROR(IF( $F1337=2,  MROUND($AH1337*N1337,1),    IF( OR($F1337="",$F1337=1),   MROUND($AH1337*N1337,2.5),  MROUND($AH1337*N1337, 0.1))), "" ), "")</f>
        <v/>
      </c>
      <c r="L1337" s="164"/>
      <c r="M1337" s="164"/>
      <c r="N1337" s="165"/>
      <c r="O1337" s="163" t="str">
        <f t="shared" ref="O1337:O1344" si="2717">IF(R1337&lt;&gt;0, IFERROR(IF( $F1337=2,  MROUND($AH1337*R1337,1),    IF( OR($F1337="",$F1337=1),   MROUND($AH1337*R1337,2.5),  MROUND($AH1337*R1337, 0.1))), "" ), "")</f>
        <v/>
      </c>
      <c r="P1337" s="164"/>
      <c r="Q1337" s="164"/>
      <c r="R1337" s="165"/>
      <c r="S1337" s="163" t="str">
        <f t="shared" ref="S1337:S1344" si="2718">IF(V1337&lt;&gt;0, IFERROR(IF( $F1337=2,  MROUND($AH1337*V1337,1),    IF( OR($F1337="",$F1337=1),   MROUND($AH1337*V1337,2.5),  MROUND($AH1337*V1337, 0.1))), "" ), "")</f>
        <v/>
      </c>
      <c r="T1337" s="164"/>
      <c r="U1337" s="164"/>
      <c r="V1337" s="165"/>
      <c r="W1337" s="163" t="str">
        <f t="shared" ref="W1337:W1344" si="2719">IF(Z1337&lt;&gt;0, IFERROR(IF( $F1337=2,  MROUND($AH1337*Z1337,1),    IF( OR($F1337="",$F1337=1),   MROUND($AH1337*Z1337,2.5),  MROUND($AH1337*Z1337, 0.1))), "" ), "")</f>
        <v/>
      </c>
      <c r="X1337" s="164"/>
      <c r="Y1337" s="164"/>
      <c r="Z1337" s="165"/>
      <c r="AA1337" s="163" t="str">
        <f t="shared" ref="AA1337:AA1344" si="2720">IF(AD1337&lt;&gt;0, IFERROR(IF( $F1337=2,  MROUND($AH1337*AD1337,1),    IF( OR($F1337="",$F1337=1),   MROUND($AH1337*AD1337,2.5),  MROUND($AH1337*AD1337, 0.1))), "" ), "")</f>
        <v/>
      </c>
      <c r="AB1337" s="164"/>
      <c r="AC1337" s="164"/>
      <c r="AD1337" s="165"/>
      <c r="AE1337" s="166">
        <f t="shared" ref="AE1337:AE1344" si="2721">(IF(ISNUMBER(G1337),G1337,0)*H1337*I1337+IF(ISNUMBER(K1337),K1337,1)*L1337*M1337+IF(ISNUMBER(O1337),O1337,1)*P1337*Q1337+IF(ISNUMBER(S1337),S1337,1)*T1337*U1337+IF(ISNUMBER(W1337),W1337,1)*X1337*Y1337+IF(ISNUMBER(AA1337),AA1337,1)*AB1337*AC1337)*IF(ISNUMBER(F1337),F1337,1)</f>
        <v>0</v>
      </c>
      <c r="AF1337" s="167">
        <f t="shared" si="2626"/>
        <v>0</v>
      </c>
      <c r="AG1337" s="168">
        <f t="shared" ref="AG1337:AG1344" si="2722">IFERROR((AF1337/(AH1337*IF(ISNUMBER(F1337),F1337,1))),0)</f>
        <v>0</v>
      </c>
      <c r="AH1337" s="169" t="str">
        <f t="shared" ref="AH1337:AH1344" si="2723">IF(ISNUMBER(AH1281), AH1281+(AH1281*$AH$1290),"")</f>
        <v/>
      </c>
      <c r="AI1337" s="167">
        <f> ( IF(ISNUMBER(G1337), VLOOKUP(G1337/$AH1337,F!$A1:$B101,2,1)*G1337*$H1337*$I1337,0)+IF(ISNUMBER(K1337), VLOOKUP(K1337/$AH1337,F!$A1:$B101,2,1)*K1337*$L1337*$M1337,0)+IF(ISNUMBER(O1337), VLOOKUP(O1337/$AH1337,F!$A1:$B101,2,1)*O1337*$P1337*$Q1337,0)+IF(ISNUMBER(S1337), VLOOKUP(S1337/$AH1337,F!$A1:$B101,2,1)*S1337*$T1337*$U1337,0)+IF(ISNUMBER(W1337), VLOOKUP(W1337/$AH1337,F!$A1:$B101,2,1)*W1337*$X1337*$Y1337,0)+IF(ISNUMBER(AA1337), VLOOKUP(AA1337/$AH1337,F!$A1:$B101,2,1)*AA1337*$AB1337*$AC1337,0))*IF(ISNUMBER(F1337),F1337,1)*IF(ISNUMBER(E1337),E1337,1)</f>
        <v>0</v>
      </c>
      <c r="AJ1337" s="164">
        <f t="shared" ref="AJ1337:AJ1344" si="2724">H1337*I1337+L1337*M1337+P1337*Q1337+T1337*U1337+X1337*Y1337+AB1337*AC1337</f>
        <v>0</v>
      </c>
      <c r="AK1337" s="170">
        <f t="array" ref="AK1337">IFERROR(I1337*INDEX(F!$P$21:$AB$33, MATCH(G1337/$AH1337, F!$O$21:$O$33,1), MATCH(E1337, F!$P$20:$AB$20,1)), 0 ) +IFERROR( M1337*INDEX(F!$P$21:$AB$33, MATCH(K1337/$AH1337, F!$O$21:$O$33,1), MATCH(E1337, F!$P$20:$AB$20,1)),0) +  IFERROR( Q1337*INDEX(F!$P$21:$AB$33, MATCH(O1337/$AH1337, F!$O$21:$O$33,1), MATCH(E1337, F!$P$20:$AB$20,1)), 0) + IFERROR( U1337*INDEX(F!$P$21:$AB$33, MATCH(S1337/$AH1337, F!$O$21:$O$33,1), MATCH(E1337, F!$P$20:$AB$20,1)),0)  + IFERROR(Y1337*INDEX(F!$P$21:$AB$33, MATCH(W1337/$AH1337, F!$O$21:$O$33,1), MATCH(E1337, F!$P$20:$AB$20,1)),0)  + IFERROR( AC1337*INDEX(F!$P$21:$AB$33, MATCH(AA1337/$AH1337, F!$O$21:$O$33,1), MATCH(E1337, F!$P$20:$AB$20,1)),)</f>
        <v>0</v>
      </c>
      <c r="AL1337" s="42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</row>
    <row r="1338" ht="15.75" hidden="1" customHeight="1">
      <c r="A1338" s="44">
        <f>A1282+A1234</f>
        <v>43948</v>
      </c>
      <c r="B1338" s="135" t="str">
        <f t="shared" ref="B1338:F1338" si="2714">IF(B1282="","",B1282)</f>
        <v/>
      </c>
      <c r="C1338" s="136" t="str">
        <f t="shared" si="2714"/>
        <v/>
      </c>
      <c r="D1338" s="137" t="str">
        <f t="shared" si="2714"/>
        <v/>
      </c>
      <c r="E1338" s="48" t="str">
        <f t="shared" si="2714"/>
        <v/>
      </c>
      <c r="F1338" s="138" t="str">
        <f t="shared" si="2714"/>
        <v/>
      </c>
      <c r="G1338" s="139" t="str">
        <f t="shared" si="2715"/>
        <v/>
      </c>
      <c r="H1338" s="140"/>
      <c r="I1338" s="140"/>
      <c r="J1338" s="141"/>
      <c r="K1338" s="139" t="str">
        <f t="shared" si="2716"/>
        <v/>
      </c>
      <c r="L1338" s="140"/>
      <c r="M1338" s="140"/>
      <c r="N1338" s="141"/>
      <c r="O1338" s="139" t="str">
        <f t="shared" si="2717"/>
        <v/>
      </c>
      <c r="P1338" s="140"/>
      <c r="Q1338" s="140"/>
      <c r="R1338" s="141"/>
      <c r="S1338" s="139" t="str">
        <f t="shared" si="2718"/>
        <v/>
      </c>
      <c r="T1338" s="140"/>
      <c r="U1338" s="140"/>
      <c r="V1338" s="141"/>
      <c r="W1338" s="139" t="str">
        <f t="shared" si="2719"/>
        <v/>
      </c>
      <c r="X1338" s="140"/>
      <c r="Y1338" s="140"/>
      <c r="Z1338" s="141"/>
      <c r="AA1338" s="139" t="str">
        <f t="shared" si="2720"/>
        <v/>
      </c>
      <c r="AB1338" s="140"/>
      <c r="AC1338" s="140"/>
      <c r="AD1338" s="141"/>
      <c r="AE1338" s="142">
        <f t="shared" si="2721"/>
        <v>0</v>
      </c>
      <c r="AF1338" s="143">
        <f t="shared" si="2626"/>
        <v>0</v>
      </c>
      <c r="AG1338" s="144">
        <f t="shared" si="2722"/>
        <v>0</v>
      </c>
      <c r="AH1338" s="76" t="str">
        <f t="shared" si="2723"/>
        <v/>
      </c>
      <c r="AI1338" s="143">
        <f> ( IF(ISNUMBER(G1338), VLOOKUP(G1338/$AH1338,F!$A1:$B101,2,1)*G1338*$H1338*$I1338,0)+IF(ISNUMBER(K1338), VLOOKUP(K1338/$AH1338,F!$A1:$B101,2,1)*K1338*$L1338*$M1338,0)+IF(ISNUMBER(O1338), VLOOKUP(O1338/$AH1338,F!$A1:$B101,2,1)*O1338*$P1338*$Q1338,0)+IF(ISNUMBER(S1338), VLOOKUP(S1338/$AH1338,F!$A1:$B101,2,1)*S1338*$T1338*$U1338,0)+IF(ISNUMBER(W1338), VLOOKUP(W1338/$AH1338,F!$A1:$B101,2,1)*W1338*$X1338*$Y1338,0)+IF(ISNUMBER(AA1338), VLOOKUP(AA1338/$AH1338,F!$A1:$B101,2,1)*AA1338*$AB1338*$AC1338,0))*IF(ISNUMBER(F1338),F1338,1)*IF(ISNUMBER(E1338),E1338,1)</f>
        <v>0</v>
      </c>
      <c r="AJ1338" s="140">
        <f t="shared" si="2724"/>
        <v>0</v>
      </c>
      <c r="AK1338" s="145">
        <f t="array" ref="AK1338">IFERROR(I1338*INDEX(F!$P$21:$AB$33, MATCH(G1338/$AH1338, F!$O$21:$O$33,1), MATCH(E1338, F!$P$20:$AB$20,1)), 0 ) +IFERROR( M1338*INDEX(F!$P$21:$AB$33, MATCH(K1338/$AH1338, F!$O$21:$O$33,1), MATCH(E1338, F!$P$20:$AB$20,1)),0) +  IFERROR( Q1338*INDEX(F!$P$21:$AB$33, MATCH(O1338/$AH1338, F!$O$21:$O$33,1), MATCH(E1338, F!$P$20:$AB$20,1)), 0) + IFERROR( U1338*INDEX(F!$P$21:$AB$33, MATCH(S1338/$AH1338, F!$O$21:$O$33,1), MATCH(E1338, F!$P$20:$AB$20,1)),0)  + IFERROR(Y1338*INDEX(F!$P$21:$AB$33, MATCH(W1338/$AH1338, F!$O$21:$O$33,1), MATCH(E1338, F!$P$20:$AB$20,1)),0)  + IFERROR( AC1338*INDEX(F!$P$21:$AB$33, MATCH(AA1338/$AH1338, F!$O$21:$O$33,1), MATCH(E1338, F!$P$20:$AB$20,1)),)</f>
        <v>0</v>
      </c>
      <c r="AL1338" s="59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</row>
    <row r="1339" ht="15.75" hidden="1" customHeight="1">
      <c r="A1339" s="59"/>
      <c r="B1339" s="173" t="str">
        <f t="shared" ref="B1339:F1339" si="2725">IF(B1283="","",B1283)</f>
        <v/>
      </c>
      <c r="C1339" s="174" t="str">
        <f t="shared" si="2725"/>
        <v/>
      </c>
      <c r="D1339" s="175" t="str">
        <f t="shared" si="2725"/>
        <v/>
      </c>
      <c r="E1339" s="48" t="str">
        <f t="shared" si="2725"/>
        <v/>
      </c>
      <c r="F1339" s="176" t="str">
        <f t="shared" si="2725"/>
        <v/>
      </c>
      <c r="G1339" s="177" t="str">
        <f t="shared" si="2715"/>
        <v/>
      </c>
      <c r="H1339" s="178"/>
      <c r="I1339" s="178"/>
      <c r="J1339" s="179"/>
      <c r="K1339" s="177" t="str">
        <f t="shared" si="2716"/>
        <v/>
      </c>
      <c r="L1339" s="178"/>
      <c r="M1339" s="178"/>
      <c r="N1339" s="179"/>
      <c r="O1339" s="177" t="str">
        <f t="shared" si="2717"/>
        <v/>
      </c>
      <c r="P1339" s="178"/>
      <c r="Q1339" s="178"/>
      <c r="R1339" s="179"/>
      <c r="S1339" s="177" t="str">
        <f t="shared" si="2718"/>
        <v/>
      </c>
      <c r="T1339" s="178"/>
      <c r="U1339" s="178"/>
      <c r="V1339" s="179"/>
      <c r="W1339" s="177" t="str">
        <f t="shared" si="2719"/>
        <v/>
      </c>
      <c r="X1339" s="178"/>
      <c r="Y1339" s="178"/>
      <c r="Z1339" s="179"/>
      <c r="AA1339" s="177" t="str">
        <f t="shared" si="2720"/>
        <v/>
      </c>
      <c r="AB1339" s="178"/>
      <c r="AC1339" s="178"/>
      <c r="AD1339" s="179"/>
      <c r="AE1339" s="180">
        <f t="shared" si="2721"/>
        <v>0</v>
      </c>
      <c r="AF1339" s="181">
        <f t="shared" si="2626"/>
        <v>0</v>
      </c>
      <c r="AG1339" s="182">
        <f t="shared" si="2722"/>
        <v>0</v>
      </c>
      <c r="AH1339" s="76" t="str">
        <f t="shared" si="2723"/>
        <v/>
      </c>
      <c r="AI1339" s="181">
        <f> ( IF(ISNUMBER(G1339), VLOOKUP(G1339/$AH1339,F!$A1:$B101,2,1)*G1339*$H1339*$I1339,0)+IF(ISNUMBER(K1339), VLOOKUP(K1339/$AH1339,F!$A1:$B101,2,1)*K1339*$L1339*$M1339,0)+IF(ISNUMBER(O1339), VLOOKUP(O1339/$AH1339,F!$A1:$B101,2,1)*O1339*$P1339*$Q1339,0)+IF(ISNUMBER(S1339), VLOOKUP(S1339/$AH1339,F!$A1:$B101,2,1)*S1339*$T1339*$U1339,0)+IF(ISNUMBER(W1339), VLOOKUP(W1339/$AH1339,F!$A1:$B101,2,1)*W1339*$X1339*$Y1339,0)+IF(ISNUMBER(AA1339), VLOOKUP(AA1339/$AH1339,F!$A1:$B101,2,1)*AA1339*$AB1339*$AC1339,0))*IF(ISNUMBER(F1339),F1339,1)*IF(ISNUMBER(E1339),E1339,1)</f>
        <v>0</v>
      </c>
      <c r="AJ1339" s="178">
        <f t="shared" si="2724"/>
        <v>0</v>
      </c>
      <c r="AK1339" s="183">
        <f t="array" ref="AK1339">IFERROR(I1339*INDEX(F!$P$21:$AB$33, MATCH(G1339/$AH1339, F!$O$21:$O$33,1), MATCH(E1339, F!$P$20:$AB$20,1)), 0 ) +IFERROR( M1339*INDEX(F!$P$21:$AB$33, MATCH(K1339/$AH1339, F!$O$21:$O$33,1), MATCH(E1339, F!$P$20:$AB$20,1)),0) +  IFERROR( Q1339*INDEX(F!$P$21:$AB$33, MATCH(O1339/$AH1339, F!$O$21:$O$33,1), MATCH(E1339, F!$P$20:$AB$20,1)), 0) + IFERROR( U1339*INDEX(F!$P$21:$AB$33, MATCH(S1339/$AH1339, F!$O$21:$O$33,1), MATCH(E1339, F!$P$20:$AB$20,1)),0)  + IFERROR(Y1339*INDEX(F!$P$21:$AB$33, MATCH(W1339/$AH1339, F!$O$21:$O$33,1), MATCH(E1339, F!$P$20:$AB$20,1)),0)  + IFERROR( AC1339*INDEX(F!$P$21:$AB$33, MATCH(AA1339/$AH1339, F!$O$21:$O$33,1), MATCH(E1339, F!$P$20:$AB$20,1)),)</f>
        <v>0</v>
      </c>
      <c r="AL1339" s="59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</row>
    <row r="1340" ht="15.75" hidden="1" customHeight="1">
      <c r="A1340" s="59"/>
      <c r="B1340" s="135" t="str">
        <f t="shared" ref="B1340:F1340" si="2726">IF(B1284="","",B1284)</f>
        <v/>
      </c>
      <c r="C1340" s="136" t="str">
        <f t="shared" si="2726"/>
        <v/>
      </c>
      <c r="D1340" s="137" t="str">
        <f t="shared" si="2726"/>
        <v/>
      </c>
      <c r="E1340" s="48" t="str">
        <f t="shared" si="2726"/>
        <v/>
      </c>
      <c r="F1340" s="138" t="str">
        <f t="shared" si="2726"/>
        <v/>
      </c>
      <c r="G1340" s="139" t="str">
        <f t="shared" si="2715"/>
        <v/>
      </c>
      <c r="H1340" s="140"/>
      <c r="I1340" s="140"/>
      <c r="J1340" s="141"/>
      <c r="K1340" s="139" t="str">
        <f t="shared" si="2716"/>
        <v/>
      </c>
      <c r="L1340" s="140"/>
      <c r="M1340" s="140"/>
      <c r="N1340" s="141"/>
      <c r="O1340" s="139" t="str">
        <f t="shared" si="2717"/>
        <v/>
      </c>
      <c r="P1340" s="140"/>
      <c r="Q1340" s="140"/>
      <c r="R1340" s="141"/>
      <c r="S1340" s="139" t="str">
        <f t="shared" si="2718"/>
        <v/>
      </c>
      <c r="T1340" s="140"/>
      <c r="U1340" s="140"/>
      <c r="V1340" s="141"/>
      <c r="W1340" s="139" t="str">
        <f t="shared" si="2719"/>
        <v/>
      </c>
      <c r="X1340" s="140"/>
      <c r="Y1340" s="140"/>
      <c r="Z1340" s="141"/>
      <c r="AA1340" s="139" t="str">
        <f t="shared" si="2720"/>
        <v/>
      </c>
      <c r="AB1340" s="140"/>
      <c r="AC1340" s="140"/>
      <c r="AD1340" s="141"/>
      <c r="AE1340" s="142">
        <f t="shared" si="2721"/>
        <v>0</v>
      </c>
      <c r="AF1340" s="143">
        <f t="shared" si="2626"/>
        <v>0</v>
      </c>
      <c r="AG1340" s="144">
        <f t="shared" si="2722"/>
        <v>0</v>
      </c>
      <c r="AH1340" s="76" t="str">
        <f t="shared" si="2723"/>
        <v/>
      </c>
      <c r="AI1340" s="143">
        <f> ( IF(ISNUMBER(G1340), VLOOKUP(G1340/$AH1340,F!$A1:$B101,2,1)*G1340*$H1340*$I1340,0)+IF(ISNUMBER(K1340), VLOOKUP(K1340/$AH1340,F!$A1:$B101,2,1)*K1340*$L1340*$M1340,0)+IF(ISNUMBER(O1340), VLOOKUP(O1340/$AH1340,F!$A1:$B101,2,1)*O1340*$P1340*$Q1340,0)+IF(ISNUMBER(S1340), VLOOKUP(S1340/$AH1340,F!$A1:$B101,2,1)*S1340*$T1340*$U1340,0)+IF(ISNUMBER(W1340), VLOOKUP(W1340/$AH1340,F!$A1:$B101,2,1)*W1340*$X1340*$Y1340,0)+IF(ISNUMBER(AA1340), VLOOKUP(AA1340/$AH1340,F!$A1:$B101,2,1)*AA1340*$AB1340*$AC1340,0))*IF(ISNUMBER(F1340),F1340,1)*IF(ISNUMBER(E1340),E1340,1)</f>
        <v>0</v>
      </c>
      <c r="AJ1340" s="140">
        <f t="shared" si="2724"/>
        <v>0</v>
      </c>
      <c r="AK1340" s="145">
        <f t="array" ref="AK1340">IFERROR(I1340*INDEX(F!$P$21:$AB$33, MATCH(G1340/$AH1340, F!$O$21:$O$33,1), MATCH(E1340, F!$P$20:$AB$20,1)), 0 ) +IFERROR( M1340*INDEX(F!$P$21:$AB$33, MATCH(K1340/$AH1340, F!$O$21:$O$33,1), MATCH(E1340, F!$P$20:$AB$20,1)),0) +  IFERROR( Q1340*INDEX(F!$P$21:$AB$33, MATCH(O1340/$AH1340, F!$O$21:$O$33,1), MATCH(E1340, F!$P$20:$AB$20,1)), 0) + IFERROR( U1340*INDEX(F!$P$21:$AB$33, MATCH(S1340/$AH1340, F!$O$21:$O$33,1), MATCH(E1340, F!$P$20:$AB$20,1)),0)  + IFERROR(Y1340*INDEX(F!$P$21:$AB$33, MATCH(W1340/$AH1340, F!$O$21:$O$33,1), MATCH(E1340, F!$P$20:$AB$20,1)),0)  + IFERROR( AC1340*INDEX(F!$P$21:$AB$33, MATCH(AA1340/$AH1340, F!$O$21:$O$33,1), MATCH(E1340, F!$P$20:$AB$20,1)),)</f>
        <v>0</v>
      </c>
      <c r="AL1340" s="59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</row>
    <row r="1341" ht="15.75" hidden="1" customHeight="1">
      <c r="A1341" s="59"/>
      <c r="B1341" s="173" t="str">
        <f t="shared" ref="B1341:F1341" si="2727">IF(B1285="","",B1285)</f>
        <v/>
      </c>
      <c r="C1341" s="174" t="str">
        <f t="shared" si="2727"/>
        <v/>
      </c>
      <c r="D1341" s="175" t="str">
        <f t="shared" si="2727"/>
        <v/>
      </c>
      <c r="E1341" s="48" t="str">
        <f t="shared" si="2727"/>
        <v/>
      </c>
      <c r="F1341" s="176" t="str">
        <f t="shared" si="2727"/>
        <v/>
      </c>
      <c r="G1341" s="177" t="str">
        <f t="shared" si="2715"/>
        <v/>
      </c>
      <c r="H1341" s="178"/>
      <c r="I1341" s="178"/>
      <c r="J1341" s="179"/>
      <c r="K1341" s="177" t="str">
        <f t="shared" si="2716"/>
        <v/>
      </c>
      <c r="L1341" s="178"/>
      <c r="M1341" s="178"/>
      <c r="N1341" s="179"/>
      <c r="O1341" s="177" t="str">
        <f t="shared" si="2717"/>
        <v/>
      </c>
      <c r="P1341" s="178"/>
      <c r="Q1341" s="178"/>
      <c r="R1341" s="179"/>
      <c r="S1341" s="177" t="str">
        <f t="shared" si="2718"/>
        <v/>
      </c>
      <c r="T1341" s="178"/>
      <c r="U1341" s="178"/>
      <c r="V1341" s="179"/>
      <c r="W1341" s="177" t="str">
        <f t="shared" si="2719"/>
        <v/>
      </c>
      <c r="X1341" s="178"/>
      <c r="Y1341" s="178"/>
      <c r="Z1341" s="179"/>
      <c r="AA1341" s="177" t="str">
        <f t="shared" si="2720"/>
        <v/>
      </c>
      <c r="AB1341" s="178"/>
      <c r="AC1341" s="178"/>
      <c r="AD1341" s="179"/>
      <c r="AE1341" s="180">
        <f t="shared" si="2721"/>
        <v>0</v>
      </c>
      <c r="AF1341" s="181">
        <f t="shared" si="2626"/>
        <v>0</v>
      </c>
      <c r="AG1341" s="182">
        <f t="shared" si="2722"/>
        <v>0</v>
      </c>
      <c r="AH1341" s="76" t="str">
        <f t="shared" si="2723"/>
        <v/>
      </c>
      <c r="AI1341" s="181">
        <f> ( IF(ISNUMBER(G1341), VLOOKUP(G1341/$AH1341,F!$A1:$B101,2,1)*G1341*$H1341*$I1341,0)+IF(ISNUMBER(K1341), VLOOKUP(K1341/$AH1341,F!$A1:$B101,2,1)*K1341*$L1341*$M1341,0)+IF(ISNUMBER(O1341), VLOOKUP(O1341/$AH1341,F!$A1:$B101,2,1)*O1341*$P1341*$Q1341,0)+IF(ISNUMBER(S1341), VLOOKUP(S1341/$AH1341,F!$A1:$B101,2,1)*S1341*$T1341*$U1341,0)+IF(ISNUMBER(W1341), VLOOKUP(W1341/$AH1341,F!$A1:$B101,2,1)*W1341*$X1341*$Y1341,0)+IF(ISNUMBER(AA1341), VLOOKUP(AA1341/$AH1341,F!$A1:$B101,2,1)*AA1341*$AB1341*$AC1341,0))*IF(ISNUMBER(F1341),F1341,1)*IF(ISNUMBER(E1341),E1341,1)</f>
        <v>0</v>
      </c>
      <c r="AJ1341" s="178">
        <f t="shared" si="2724"/>
        <v>0</v>
      </c>
      <c r="AK1341" s="183">
        <f t="array" ref="AK1341">IFERROR(I1341*INDEX(F!$P$21:$AB$33, MATCH(G1341/$AH1341, F!$O$21:$O$33,1), MATCH(E1341, F!$P$20:$AB$20,1)), 0 ) +IFERROR( M1341*INDEX(F!$P$21:$AB$33, MATCH(K1341/$AH1341, F!$O$21:$O$33,1), MATCH(E1341, F!$P$20:$AB$20,1)),0) +  IFERROR( Q1341*INDEX(F!$P$21:$AB$33, MATCH(O1341/$AH1341, F!$O$21:$O$33,1), MATCH(E1341, F!$P$20:$AB$20,1)), 0) + IFERROR( U1341*INDEX(F!$P$21:$AB$33, MATCH(S1341/$AH1341, F!$O$21:$O$33,1), MATCH(E1341, F!$P$20:$AB$20,1)),0)  + IFERROR(Y1341*INDEX(F!$P$21:$AB$33, MATCH(W1341/$AH1341, F!$O$21:$O$33,1), MATCH(E1341, F!$P$20:$AB$20,1)),0)  + IFERROR( AC1341*INDEX(F!$P$21:$AB$33, MATCH(AA1341/$AH1341, F!$O$21:$O$33,1), MATCH(E1341, F!$P$20:$AB$20,1)),)</f>
        <v>0</v>
      </c>
      <c r="AL1341" s="59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</row>
    <row r="1342" ht="15.75" hidden="1" customHeight="1">
      <c r="A1342" s="59"/>
      <c r="B1342" s="135" t="str">
        <f t="shared" ref="B1342:F1342" si="2728">IF(B1286="","",B1286)</f>
        <v/>
      </c>
      <c r="C1342" s="136" t="str">
        <f t="shared" si="2728"/>
        <v/>
      </c>
      <c r="D1342" s="137" t="str">
        <f t="shared" si="2728"/>
        <v/>
      </c>
      <c r="E1342" s="48" t="str">
        <f t="shared" si="2728"/>
        <v/>
      </c>
      <c r="F1342" s="138" t="str">
        <f t="shared" si="2728"/>
        <v/>
      </c>
      <c r="G1342" s="139" t="str">
        <f t="shared" si="2715"/>
        <v/>
      </c>
      <c r="H1342" s="140"/>
      <c r="I1342" s="140"/>
      <c r="J1342" s="141"/>
      <c r="K1342" s="139" t="str">
        <f t="shared" si="2716"/>
        <v/>
      </c>
      <c r="L1342" s="140"/>
      <c r="M1342" s="140"/>
      <c r="N1342" s="141"/>
      <c r="O1342" s="139" t="str">
        <f t="shared" si="2717"/>
        <v/>
      </c>
      <c r="P1342" s="140"/>
      <c r="Q1342" s="140"/>
      <c r="R1342" s="141"/>
      <c r="S1342" s="139" t="str">
        <f t="shared" si="2718"/>
        <v/>
      </c>
      <c r="T1342" s="140"/>
      <c r="U1342" s="140"/>
      <c r="V1342" s="141"/>
      <c r="W1342" s="139" t="str">
        <f t="shared" si="2719"/>
        <v/>
      </c>
      <c r="X1342" s="140"/>
      <c r="Y1342" s="140"/>
      <c r="Z1342" s="141"/>
      <c r="AA1342" s="139" t="str">
        <f t="shared" si="2720"/>
        <v/>
      </c>
      <c r="AB1342" s="140"/>
      <c r="AC1342" s="140"/>
      <c r="AD1342" s="141"/>
      <c r="AE1342" s="142">
        <f t="shared" si="2721"/>
        <v>0</v>
      </c>
      <c r="AF1342" s="143">
        <f t="shared" si="2626"/>
        <v>0</v>
      </c>
      <c r="AG1342" s="144">
        <f t="shared" si="2722"/>
        <v>0</v>
      </c>
      <c r="AH1342" s="76" t="str">
        <f t="shared" si="2723"/>
        <v/>
      </c>
      <c r="AI1342" s="143">
        <f> ( IF(ISNUMBER(G1342), VLOOKUP(G1342/$AH1342,F!$A1:$B101,2,1)*G1342*$H1342*$I1342,0)+IF(ISNUMBER(K1342), VLOOKUP(K1342/$AH1342,F!$A1:$B101,2,1)*K1342*$L1342*$M1342,0)+IF(ISNUMBER(O1342), VLOOKUP(O1342/$AH1342,F!$A1:$B101,2,1)*O1342*$P1342*$Q1342,0)+IF(ISNUMBER(S1342), VLOOKUP(S1342/$AH1342,F!$A1:$B101,2,1)*S1342*$T1342*$U1342,0)+IF(ISNUMBER(W1342), VLOOKUP(W1342/$AH1342,F!$A1:$B101,2,1)*W1342*$X1342*$Y1342,0)+IF(ISNUMBER(AA1342), VLOOKUP(AA1342/$AH1342,F!$A1:$B101,2,1)*AA1342*$AB1342*$AC1342,0))*IF(ISNUMBER(F1342),F1342,1)*IF(ISNUMBER(E1342),E1342,1)</f>
        <v>0</v>
      </c>
      <c r="AJ1342" s="140">
        <f t="shared" si="2724"/>
        <v>0</v>
      </c>
      <c r="AK1342" s="145">
        <f t="array" ref="AK1342">IFERROR(I1342*INDEX(F!$P$21:$AB$33, MATCH(G1342/$AH1342, F!$O$21:$O$33,1), MATCH(E1342, F!$P$20:$AB$20,1)), 0 ) +IFERROR( M1342*INDEX(F!$P$21:$AB$33, MATCH(K1342/$AH1342, F!$O$21:$O$33,1), MATCH(E1342, F!$P$20:$AB$20,1)),0) +  IFERROR( Q1342*INDEX(F!$P$21:$AB$33, MATCH(O1342/$AH1342, F!$O$21:$O$33,1), MATCH(E1342, F!$P$20:$AB$20,1)), 0) + IFERROR( U1342*INDEX(F!$P$21:$AB$33, MATCH(S1342/$AH1342, F!$O$21:$O$33,1), MATCH(E1342, F!$P$20:$AB$20,1)),0)  + IFERROR(Y1342*INDEX(F!$P$21:$AB$33, MATCH(W1342/$AH1342, F!$O$21:$O$33,1), MATCH(E1342, F!$P$20:$AB$20,1)),0)  + IFERROR( AC1342*INDEX(F!$P$21:$AB$33, MATCH(AA1342/$AH1342, F!$O$21:$O$33,1), MATCH(E1342, F!$P$20:$AB$20,1)),)</f>
        <v>0</v>
      </c>
      <c r="AL1342" s="59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</row>
    <row r="1343" ht="15.75" hidden="1" customHeight="1">
      <c r="A1343" s="59"/>
      <c r="B1343" s="173" t="str">
        <f t="shared" ref="B1343:F1343" si="2729">IF(B1287="","",B1287)</f>
        <v/>
      </c>
      <c r="C1343" s="174" t="str">
        <f t="shared" si="2729"/>
        <v/>
      </c>
      <c r="D1343" s="175" t="str">
        <f t="shared" si="2729"/>
        <v/>
      </c>
      <c r="E1343" s="48" t="str">
        <f t="shared" si="2729"/>
        <v/>
      </c>
      <c r="F1343" s="176" t="str">
        <f t="shared" si="2729"/>
        <v/>
      </c>
      <c r="G1343" s="177" t="str">
        <f t="shared" si="2715"/>
        <v/>
      </c>
      <c r="H1343" s="178"/>
      <c r="I1343" s="178"/>
      <c r="J1343" s="179"/>
      <c r="K1343" s="177" t="str">
        <f t="shared" si="2716"/>
        <v/>
      </c>
      <c r="L1343" s="178"/>
      <c r="M1343" s="178"/>
      <c r="N1343" s="179"/>
      <c r="O1343" s="177" t="str">
        <f t="shared" si="2717"/>
        <v/>
      </c>
      <c r="P1343" s="178"/>
      <c r="Q1343" s="178"/>
      <c r="R1343" s="179"/>
      <c r="S1343" s="177" t="str">
        <f t="shared" si="2718"/>
        <v/>
      </c>
      <c r="T1343" s="178"/>
      <c r="U1343" s="178"/>
      <c r="V1343" s="179"/>
      <c r="W1343" s="177" t="str">
        <f t="shared" si="2719"/>
        <v/>
      </c>
      <c r="X1343" s="178"/>
      <c r="Y1343" s="178"/>
      <c r="Z1343" s="179"/>
      <c r="AA1343" s="177" t="str">
        <f t="shared" si="2720"/>
        <v/>
      </c>
      <c r="AB1343" s="178"/>
      <c r="AC1343" s="178"/>
      <c r="AD1343" s="179"/>
      <c r="AE1343" s="180">
        <f t="shared" si="2721"/>
        <v>0</v>
      </c>
      <c r="AF1343" s="181">
        <f t="shared" si="2626"/>
        <v>0</v>
      </c>
      <c r="AG1343" s="182">
        <f t="shared" si="2722"/>
        <v>0</v>
      </c>
      <c r="AH1343" s="76" t="str">
        <f t="shared" si="2723"/>
        <v/>
      </c>
      <c r="AI1343" s="181">
        <f> ( IF(ISNUMBER(G1343), VLOOKUP(G1343/$AH1343,F!$A1:$B101,2,1)*G1343*$H1343*$I1343,0)+IF(ISNUMBER(K1343), VLOOKUP(K1343/$AH1343,F!$A1:$B101,2,1)*K1343*$L1343*$M1343,0)+IF(ISNUMBER(O1343), VLOOKUP(O1343/$AH1343,F!$A1:$B101,2,1)*O1343*$P1343*$Q1343,0)+IF(ISNUMBER(S1343), VLOOKUP(S1343/$AH1343,F!$A1:$B101,2,1)*S1343*$T1343*$U1343,0)+IF(ISNUMBER(W1343), VLOOKUP(W1343/$AH1343,F!$A1:$B101,2,1)*W1343*$X1343*$Y1343,0)+IF(ISNUMBER(AA1343), VLOOKUP(AA1343/$AH1343,F!$A1:$B101,2,1)*AA1343*$AB1343*$AC1343,0))*IF(ISNUMBER(F1343),F1343,1)*IF(ISNUMBER(E1343),E1343,1)</f>
        <v>0</v>
      </c>
      <c r="AJ1343" s="178">
        <f t="shared" si="2724"/>
        <v>0</v>
      </c>
      <c r="AK1343" s="183">
        <f t="array" ref="AK1343">IFERROR(I1343*INDEX(F!$P$21:$AB$33, MATCH(G1343/$AH1343, F!$O$21:$O$33,1), MATCH(E1343, F!$P$20:$AB$20,1)), 0 ) +IFERROR( M1343*INDEX(F!$P$21:$AB$33, MATCH(K1343/$AH1343, F!$O$21:$O$33,1), MATCH(E1343, F!$P$20:$AB$20,1)),0) +  IFERROR( Q1343*INDEX(F!$P$21:$AB$33, MATCH(O1343/$AH1343, F!$O$21:$O$33,1), MATCH(E1343, F!$P$20:$AB$20,1)), 0) + IFERROR( U1343*INDEX(F!$P$21:$AB$33, MATCH(S1343/$AH1343, F!$O$21:$O$33,1), MATCH(E1343, F!$P$20:$AB$20,1)),0)  + IFERROR(Y1343*INDEX(F!$P$21:$AB$33, MATCH(W1343/$AH1343, F!$O$21:$O$33,1), MATCH(E1343, F!$P$20:$AB$20,1)),0)  + IFERROR( AC1343*INDEX(F!$P$21:$AB$33, MATCH(AA1343/$AH1343, F!$O$21:$O$33,1), MATCH(E1343, F!$P$20:$AB$20,1)),)</f>
        <v>0</v>
      </c>
      <c r="AL1343" s="59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</row>
    <row r="1344" ht="15.75" hidden="1" customHeight="1">
      <c r="A1344" s="59"/>
      <c r="B1344" s="135" t="str">
        <f t="shared" ref="B1344:F1344" si="2730">IF(B1288="","",B1288)</f>
        <v/>
      </c>
      <c r="C1344" s="136" t="str">
        <f t="shared" si="2730"/>
        <v/>
      </c>
      <c r="D1344" s="137" t="str">
        <f t="shared" si="2730"/>
        <v/>
      </c>
      <c r="E1344" s="48" t="str">
        <f t="shared" si="2730"/>
        <v/>
      </c>
      <c r="F1344" s="138" t="str">
        <f t="shared" si="2730"/>
        <v/>
      </c>
      <c r="G1344" s="139" t="str">
        <f t="shared" si="2715"/>
        <v/>
      </c>
      <c r="H1344" s="140"/>
      <c r="I1344" s="140"/>
      <c r="J1344" s="141"/>
      <c r="K1344" s="139" t="str">
        <f t="shared" si="2716"/>
        <v/>
      </c>
      <c r="L1344" s="140"/>
      <c r="M1344" s="140"/>
      <c r="N1344" s="141"/>
      <c r="O1344" s="139" t="str">
        <f t="shared" si="2717"/>
        <v/>
      </c>
      <c r="P1344" s="140"/>
      <c r="Q1344" s="140"/>
      <c r="R1344" s="141"/>
      <c r="S1344" s="139" t="str">
        <f t="shared" si="2718"/>
        <v/>
      </c>
      <c r="T1344" s="140"/>
      <c r="U1344" s="140"/>
      <c r="V1344" s="141"/>
      <c r="W1344" s="139" t="str">
        <f t="shared" si="2719"/>
        <v/>
      </c>
      <c r="X1344" s="140"/>
      <c r="Y1344" s="140"/>
      <c r="Z1344" s="141"/>
      <c r="AA1344" s="139" t="str">
        <f t="shared" si="2720"/>
        <v/>
      </c>
      <c r="AB1344" s="140"/>
      <c r="AC1344" s="140"/>
      <c r="AD1344" s="141"/>
      <c r="AE1344" s="142">
        <f t="shared" si="2721"/>
        <v>0</v>
      </c>
      <c r="AF1344" s="143">
        <f t="shared" si="2626"/>
        <v>0</v>
      </c>
      <c r="AG1344" s="144">
        <f t="shared" si="2722"/>
        <v>0</v>
      </c>
      <c r="AH1344" s="76" t="str">
        <f t="shared" si="2723"/>
        <v/>
      </c>
      <c r="AI1344" s="143">
        <f> ( IF(ISNUMBER(G1344), VLOOKUP(G1344/$AH1344,F!$A1:$B101,2,1)*G1344*$H1344*$I1344,0)+IF(ISNUMBER(K1344), VLOOKUP(K1344/$AH1344,F!$A1:$B101,2,1)*K1344*$L1344*$M1344,0)+IF(ISNUMBER(O1344), VLOOKUP(O1344/$AH1344,F!$A1:$B101,2,1)*O1344*$P1344*$Q1344,0)+IF(ISNUMBER(S1344), VLOOKUP(S1344/$AH1344,F!$A1:$B101,2,1)*S1344*$T1344*$U1344,0)+IF(ISNUMBER(W1344), VLOOKUP(W1344/$AH1344,F!$A1:$B101,2,1)*W1344*$X1344*$Y1344,0)+IF(ISNUMBER(AA1344), VLOOKUP(AA1344/$AH1344,F!$A1:$B101,2,1)*AA1344*$AB1344*$AC1344,0))*IF(ISNUMBER(F1344),F1344,1)*IF(ISNUMBER(E1344),E1344,1)</f>
        <v>0</v>
      </c>
      <c r="AJ1344" s="140">
        <f t="shared" si="2724"/>
        <v>0</v>
      </c>
      <c r="AK1344" s="145">
        <f t="array" ref="AK1344">IFERROR(I1344*INDEX(F!$P$21:$AB$33, MATCH(G1344/$AH1344, F!$O$21:$O$33,1), MATCH(E1344, F!$P$20:$AB$20,1)), 0 ) +IFERROR( M1344*INDEX(F!$P$21:$AB$33, MATCH(K1344/$AH1344, F!$O$21:$O$33,1), MATCH(E1344, F!$P$20:$AB$20,1)),0) +  IFERROR( Q1344*INDEX(F!$P$21:$AB$33, MATCH(O1344/$AH1344, F!$O$21:$O$33,1), MATCH(E1344, F!$P$20:$AB$20,1)), 0) + IFERROR( U1344*INDEX(F!$P$21:$AB$33, MATCH(S1344/$AH1344, F!$O$21:$O$33,1), MATCH(E1344, F!$P$20:$AB$20,1)),0)  + IFERROR(Y1344*INDEX(F!$P$21:$AB$33, MATCH(W1344/$AH1344, F!$O$21:$O$33,1), MATCH(E1344, F!$P$20:$AB$20,1)),0)  + IFERROR( AC1344*INDEX(F!$P$21:$AB$33, MATCH(AA1344/$AH1344, F!$O$21:$O$33,1), MATCH(E1344, F!$P$20:$AB$20,1)),)</f>
        <v>0</v>
      </c>
      <c r="AL1344" s="59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</row>
    <row r="1345" ht="15.75" hidden="1" customHeight="1">
      <c r="A1345" s="98"/>
      <c r="B1345" s="188"/>
      <c r="C1345" s="189"/>
      <c r="D1345" s="190"/>
      <c r="E1345" s="102">
        <f>ROUND(IFERROR(SUMPRODUCT(AJ1337:AJ1344,E1337:E1344)/AJ1345,0),3)</f>
        <v>0</v>
      </c>
      <c r="F1345" s="191"/>
      <c r="G1345" s="201"/>
      <c r="H1345" s="193"/>
      <c r="I1345" s="193"/>
      <c r="J1345" s="194"/>
      <c r="K1345" s="201"/>
      <c r="L1345" s="193"/>
      <c r="M1345" s="193"/>
      <c r="N1345" s="194"/>
      <c r="O1345" s="201"/>
      <c r="P1345" s="193"/>
      <c r="Q1345" s="193"/>
      <c r="R1345" s="194"/>
      <c r="S1345" s="201"/>
      <c r="T1345" s="193"/>
      <c r="U1345" s="193"/>
      <c r="V1345" s="194"/>
      <c r="W1345" s="201"/>
      <c r="X1345" s="193"/>
      <c r="Y1345" s="193"/>
      <c r="Z1345" s="194"/>
      <c r="AA1345" s="201"/>
      <c r="AB1345" s="193"/>
      <c r="AC1345" s="193"/>
      <c r="AD1345" s="194"/>
      <c r="AE1345" s="107">
        <f>SUM(AE1337:AE1344)</f>
        <v>0</v>
      </c>
      <c r="AF1345" s="108">
        <f t="shared" si="2626"/>
        <v>0</v>
      </c>
      <c r="AG1345" s="109">
        <f>IFERROR(  SUMPRODUCT(AG1337:AG1344,AJ1337:AJ1344)/AJ1345,0)</f>
        <v>0</v>
      </c>
      <c r="AH1345" s="157"/>
      <c r="AI1345" s="111">
        <f t="shared" ref="AI1345:AJ1345" si="2731">SUM(AI1337:AI1344)</f>
        <v>0</v>
      </c>
      <c r="AJ1345" s="111">
        <f t="shared" si="2731"/>
        <v>0</v>
      </c>
      <c r="AK1345" s="112">
        <f>IF(SUM(AK1337:AK1344)=0,TIME(,0,),TIME(,SUM(AK1337:AK1344)+F!$V$37,))</f>
        <v>0</v>
      </c>
      <c r="AL1345" s="98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</row>
    <row r="1346" ht="15.75" hidden="1" customHeight="1">
      <c r="A1346" s="5">
        <f>A1290</f>
        <v>7</v>
      </c>
      <c r="B1346" s="6"/>
      <c r="C1346" s="6"/>
      <c r="D1346" s="6"/>
      <c r="E1346" s="7">
        <f>IF(AJ1346=0,0,(E1356*AJ1356 + E1365*AJ1365 + E1374*AJ1374 + E1383*AJ1383 + E1392*AJ1392 + E1401*AJ1401   ) /AJ1346 )</f>
        <v>0</v>
      </c>
      <c r="F1346" s="8" t="s">
        <v>0</v>
      </c>
      <c r="G1346" s="9"/>
      <c r="H1346" s="9"/>
      <c r="I1346" s="9"/>
      <c r="J1346" s="9"/>
      <c r="K1346" s="9"/>
      <c r="L1346" s="9"/>
      <c r="M1346" s="10"/>
      <c r="N1346" s="11">
        <f>N1290+1</f>
        <v>25</v>
      </c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10"/>
      <c r="AE1346" s="12">
        <f>AE1356+AE1365+AE1374+AE1383+AE1392+AE1401</f>
        <v>0</v>
      </c>
      <c r="AF1346" s="13">
        <f t="shared" si="2626"/>
        <v>0</v>
      </c>
      <c r="AG1346" s="14">
        <f>IF(AJ1346=0,0,(AG1356*AJ1356 + AG1365*AJ1365 + AG1374*AJ1374 + AG1383*AJ1383 + AG1392*AJ1392 + AG1401*AJ1401   ) /AJ1346 )</f>
        <v>0</v>
      </c>
      <c r="AH1346" s="210">
        <f>AH1290</f>
        <v>0.02</v>
      </c>
      <c r="AI1346" s="12">
        <f t="shared" ref="AI1346:AK1346" si="2732">AI1356+AI1365+AI1374+AI1383+AI1392+AI1401</f>
        <v>0</v>
      </c>
      <c r="AJ1346" s="12">
        <f t="shared" si="2732"/>
        <v>0</v>
      </c>
      <c r="AK1346" s="15">
        <f t="shared" si="2732"/>
        <v>0</v>
      </c>
      <c r="AL1346" s="218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</row>
    <row r="1347" ht="15.75" hidden="1" customHeight="1">
      <c r="A1347" s="19" t="s">
        <v>1</v>
      </c>
      <c r="B1347" s="20" t="s">
        <v>2</v>
      </c>
      <c r="C1347" s="20" t="s">
        <v>3</v>
      </c>
      <c r="D1347" s="20" t="s">
        <v>4</v>
      </c>
      <c r="E1347" s="20" t="s">
        <v>5</v>
      </c>
      <c r="F1347" s="20" t="s">
        <v>6</v>
      </c>
      <c r="G1347" s="20" t="s">
        <v>7</v>
      </c>
      <c r="H1347" s="20" t="s">
        <v>8</v>
      </c>
      <c r="I1347" s="20" t="s">
        <v>9</v>
      </c>
      <c r="J1347" s="20" t="s">
        <v>10</v>
      </c>
      <c r="K1347" s="20" t="s">
        <v>7</v>
      </c>
      <c r="L1347" s="20" t="s">
        <v>8</v>
      </c>
      <c r="M1347" s="20" t="s">
        <v>9</v>
      </c>
      <c r="N1347" s="20" t="s">
        <v>10</v>
      </c>
      <c r="O1347" s="20" t="s">
        <v>7</v>
      </c>
      <c r="P1347" s="20" t="s">
        <v>8</v>
      </c>
      <c r="Q1347" s="20" t="s">
        <v>9</v>
      </c>
      <c r="R1347" s="20" t="s">
        <v>10</v>
      </c>
      <c r="S1347" s="20" t="s">
        <v>7</v>
      </c>
      <c r="T1347" s="20" t="s">
        <v>8</v>
      </c>
      <c r="U1347" s="20" t="s">
        <v>9</v>
      </c>
      <c r="V1347" s="20" t="s">
        <v>10</v>
      </c>
      <c r="W1347" s="20" t="s">
        <v>7</v>
      </c>
      <c r="X1347" s="20" t="s">
        <v>8</v>
      </c>
      <c r="Y1347" s="20" t="s">
        <v>9</v>
      </c>
      <c r="Z1347" s="20" t="s">
        <v>10</v>
      </c>
      <c r="AA1347" s="20" t="s">
        <v>7</v>
      </c>
      <c r="AB1347" s="20" t="s">
        <v>8</v>
      </c>
      <c r="AC1347" s="20" t="s">
        <v>9</v>
      </c>
      <c r="AD1347" s="21" t="s">
        <v>10</v>
      </c>
      <c r="AE1347" s="20" t="s">
        <v>11</v>
      </c>
      <c r="AF1347" s="20" t="s">
        <v>12</v>
      </c>
      <c r="AG1347" s="20" t="s">
        <v>13</v>
      </c>
      <c r="AH1347" s="213" t="s">
        <v>14</v>
      </c>
      <c r="AI1347" s="23" t="s">
        <v>15</v>
      </c>
      <c r="AJ1347" s="20" t="s">
        <v>16</v>
      </c>
      <c r="AK1347" s="21" t="s">
        <v>17</v>
      </c>
      <c r="AL1347" s="214" t="s">
        <v>18</v>
      </c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</row>
    <row r="1348" ht="15.75" hidden="1" customHeight="1">
      <c r="A1348" s="25">
        <f>A1349</f>
        <v>43948</v>
      </c>
      <c r="B1348" s="26" t="str">
        <f t="shared" ref="B1348:F1348" si="2733">IF(B1292="","",B1292)</f>
        <v>Средняя</v>
      </c>
      <c r="C1348" s="27" t="str">
        <f t="shared" si="2733"/>
        <v>ПР</v>
      </c>
      <c r="D1348" s="28" t="str">
        <f t="shared" si="2733"/>
        <v>Присед</v>
      </c>
      <c r="E1348" s="29">
        <f t="shared" si="2733"/>
        <v>1.2</v>
      </c>
      <c r="F1348" s="30" t="str">
        <f t="shared" si="2733"/>
        <v/>
      </c>
      <c r="G1348" s="31" t="str">
        <f t="shared" ref="G1348:G1355" si="2735">IF(J1348&lt;&gt;0, IFERROR(IF( $F1348=2,  MROUND($AH1348*J1348,1),    IF( OR($F1348="",$F1348=1),   MROUND($AH1348*J1348,2.5),  MROUND($AH1348*J1348, 0.1))), "" ), "")</f>
        <v/>
      </c>
      <c r="H1348" s="32"/>
      <c r="I1348" s="32"/>
      <c r="J1348" s="33"/>
      <c r="K1348" s="31" t="str">
        <f t="shared" ref="K1348:K1355" si="2736">IF(N1348&lt;&gt;0, IFERROR(IF( $F1348=2,  MROUND($AH1348*N1348,1),    IF( OR($F1348="",$F1348=1),   MROUND($AH1348*N1348,2.5),  MROUND($AH1348*N1348, 0.1))), "" ), "")</f>
        <v/>
      </c>
      <c r="L1348" s="32"/>
      <c r="M1348" s="32"/>
      <c r="N1348" s="33"/>
      <c r="O1348" s="31" t="str">
        <f t="shared" ref="O1348:O1355" si="2737">IF(R1348&lt;&gt;0, IFERROR(IF( $F1348=2,  MROUND($AH1348*R1348,1),    IF( OR($F1348="",$F1348=1),   MROUND($AH1348*R1348,2.5),  MROUND($AH1348*R1348, 0.1))), "" ), "")</f>
        <v/>
      </c>
      <c r="P1348" s="32"/>
      <c r="Q1348" s="32"/>
      <c r="R1348" s="33"/>
      <c r="S1348" s="31" t="str">
        <f t="shared" ref="S1348:S1355" si="2738">IF(V1348&lt;&gt;0, IFERROR(IF( $F1348=2,  MROUND($AH1348*V1348,1),    IF( OR($F1348="",$F1348=1),   MROUND($AH1348*V1348,2.5),  MROUND($AH1348*V1348, 0.1))), "" ), "")</f>
        <v/>
      </c>
      <c r="T1348" s="32"/>
      <c r="U1348" s="32"/>
      <c r="V1348" s="33"/>
      <c r="W1348" s="31" t="str">
        <f t="shared" ref="W1348:W1355" si="2739">IF(Z1348&lt;&gt;0, IFERROR(IF( $F1348=2,  MROUND($AH1348*Z1348,1),    IF( OR($F1348="",$F1348=1),   MROUND($AH1348*Z1348,2.5),  MROUND($AH1348*Z1348, 0.1))), "" ), "")</f>
        <v/>
      </c>
      <c r="X1348" s="32"/>
      <c r="Y1348" s="32"/>
      <c r="Z1348" s="33"/>
      <c r="AA1348" s="31" t="str">
        <f t="shared" ref="AA1348:AA1355" si="2740">IF(AD1348&lt;&gt;0, IFERROR(IF( $F1348=2,  MROUND($AH1348*AD1348,1),    IF( OR($F1348="",$F1348=1),   MROUND($AH1348*AD1348,2.5),  MROUND($AH1348*AD1348, 0.1))), "" ), "")</f>
        <v/>
      </c>
      <c r="AB1348" s="32"/>
      <c r="AC1348" s="32"/>
      <c r="AD1348" s="33"/>
      <c r="AE1348" s="35">
        <f t="shared" ref="AE1348:AE1355" si="2741">(IF(ISNUMBER(G1348),G1348,0)*H1348*I1348+IF(ISNUMBER(K1348),K1348,1)*L1348*M1348+IF(ISNUMBER(O1348),O1348,1)*P1348*Q1348+IF(ISNUMBER(S1348),S1348,1)*T1348*U1348+IF(ISNUMBER(W1348),W1348,1)*X1348*Y1348+IF(ISNUMBER(AA1348),AA1348,1)*AB1348*AC1348)*IF(ISNUMBER(F1348),F1348,1)</f>
        <v>0</v>
      </c>
      <c r="AF1348" s="36">
        <f t="shared" ref="AF1348:AF1401" si="2742">IFERROR(AE1348/AJ1348,0)</f>
        <v>0</v>
      </c>
      <c r="AG1348" s="195">
        <f t="shared" ref="AG1348:AG1355" si="2743">IFERROR((AF1348/(AH1348*IF(ISNUMBER(F1348),F1348,1))),0)</f>
        <v>0</v>
      </c>
      <c r="AH1348" s="169">
        <f t="shared" ref="AH1348:AH1355" si="2744">IF(ISNUMBER(AH1292), AH1292+(AH1292*$AH$1346),"")</f>
        <v>217.1390287</v>
      </c>
      <c r="AI1348" s="70">
        <f> ( IF(ISNUMBER(G1348), VLOOKUP(G1348/$AH1348,F!$A1:$B101,2,1)*G1348*$H1348*$I1348,0)+IF(ISNUMBER(K1348), VLOOKUP(K1348/$AH1348,F!$A1:$B101,2,1)*K1348*$L1348*$M1348,0)+IF(ISNUMBER(O1348), VLOOKUP(O1348/$AH1348,F!$A1:$B101,2,1)*O1348*$P1348*$Q1348,0)+IF(ISNUMBER(S1348), VLOOKUP(S1348/$AH1348,F!$A1:$B101,2,1)*S1348*$T1348*$U1348,0)+IF(ISNUMBER(W1348), VLOOKUP(W1348/$AH1348,F!$A1:$B101,2,1)*W1348*$X1348*$Y1348,0)+IF(ISNUMBER(AA1348), VLOOKUP(AA1348/$AH1348,F!$A1:$B101,2,1)*AA1348*$AB1348*$AC1348,0))*IF(ISNUMBER(F1348),F1348,1)*IF(ISNUMBER(E1348),E1348,1)</f>
        <v>0</v>
      </c>
      <c r="AJ1348" s="40">
        <f t="shared" ref="AJ1348:AJ1355" si="2745">H1348*I1348+L1348*M1348+P1348*Q1348+T1348*U1348+X1348*Y1348+AB1348*AC1348</f>
        <v>0</v>
      </c>
      <c r="AK1348" s="41">
        <f t="array" ref="AK1348">IFERROR(I1348*INDEX(F!$P$21:$AB$33, MATCH(G1348/$AH1348, F!$O$21:$O$33,1), MATCH(E1348, F!$P$20:$AB$20,1)), 0 ) +IFERROR( M1348*INDEX(F!$P$21:$AB$33, MATCH(K1348/$AH1348, F!$O$21:$O$33,1), MATCH(E1348, F!$P$20:$AB$20,1)),0) +  IFERROR( Q1348*INDEX(F!$P$21:$AB$33, MATCH(O1348/$AH1348, F!$O$21:$O$33,1), MATCH(E1348, F!$P$20:$AB$20,1)), 0) + IFERROR( U1348*INDEX(F!$P$21:$AB$33, MATCH(S1348/$AH1348, F!$O$21:$O$33,1), MATCH(E1348, F!$P$20:$AB$20,1)),0)  + IFERROR(Y1348*INDEX(F!$P$21:$AB$33, MATCH(W1348/$AH1348, F!$O$21:$O$33,1), MATCH(E1348, F!$P$20:$AB$20,1)),0)  + IFERROR( AC1348*INDEX(F!$P$21:$AB$33, MATCH(AA1348/$AH1348, F!$O$21:$O$33,1), MATCH(E1348, F!$P$20:$AB$20,1)),)</f>
        <v>0</v>
      </c>
      <c r="AL1348" s="42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</row>
    <row r="1349" ht="15.75" hidden="1" customHeight="1">
      <c r="A1349" s="44">
        <f>A1293+A1290</f>
        <v>43948</v>
      </c>
      <c r="B1349" s="45" t="str">
        <f t="shared" ref="B1349:F1349" si="2734">IF(B1293="","",B1293)</f>
        <v>Средняя</v>
      </c>
      <c r="C1349" s="46" t="str">
        <f t="shared" si="2734"/>
        <v>ЖМ</v>
      </c>
      <c r="D1349" s="47" t="str">
        <f t="shared" si="2734"/>
        <v>Жим лежа</v>
      </c>
      <c r="E1349" s="48">
        <f t="shared" si="2734"/>
        <v>1</v>
      </c>
      <c r="F1349" s="49" t="str">
        <f t="shared" si="2734"/>
        <v/>
      </c>
      <c r="G1349" s="50" t="str">
        <f t="shared" si="2735"/>
        <v/>
      </c>
      <c r="H1349" s="51"/>
      <c r="I1349" s="51"/>
      <c r="J1349" s="52"/>
      <c r="K1349" s="50" t="str">
        <f t="shared" si="2736"/>
        <v/>
      </c>
      <c r="L1349" s="51"/>
      <c r="M1349" s="51"/>
      <c r="N1349" s="52"/>
      <c r="O1349" s="50" t="str">
        <f t="shared" si="2737"/>
        <v/>
      </c>
      <c r="P1349" s="51"/>
      <c r="Q1349" s="51"/>
      <c r="R1349" s="52"/>
      <c r="S1349" s="50" t="str">
        <f t="shared" si="2738"/>
        <v/>
      </c>
      <c r="T1349" s="51"/>
      <c r="U1349" s="51"/>
      <c r="V1349" s="52"/>
      <c r="W1349" s="50" t="str">
        <f t="shared" si="2739"/>
        <v/>
      </c>
      <c r="X1349" s="51"/>
      <c r="Y1349" s="51"/>
      <c r="Z1349" s="52"/>
      <c r="AA1349" s="50" t="str">
        <f t="shared" si="2740"/>
        <v/>
      </c>
      <c r="AB1349" s="51"/>
      <c r="AC1349" s="51"/>
      <c r="AD1349" s="52"/>
      <c r="AE1349" s="53">
        <f t="shared" si="2741"/>
        <v>0</v>
      </c>
      <c r="AF1349" s="54">
        <f t="shared" si="2742"/>
        <v>0</v>
      </c>
      <c r="AG1349" s="75">
        <f t="shared" si="2743"/>
        <v>0</v>
      </c>
      <c r="AH1349" s="76">
        <f t="shared" si="2744"/>
        <v>152.8015387</v>
      </c>
      <c r="AI1349" s="77">
        <f> ( IF(ISNUMBER(G1349), VLOOKUP(G1349/$AH1349,F!$A1:$B101,2,1)*G1349*$H1349*$I1349,0)+IF(ISNUMBER(K1349), VLOOKUP(K1349/$AH1349,F!$A1:$B101,2,1)*K1349*$L1349*$M1349,0)+IF(ISNUMBER(O1349), VLOOKUP(O1349/$AH1349,F!$A1:$B101,2,1)*O1349*$P1349*$Q1349,0)+IF(ISNUMBER(S1349), VLOOKUP(S1349/$AH1349,F!$A1:$B101,2,1)*S1349*$T1349*$U1349,0)+IF(ISNUMBER(W1349), VLOOKUP(W1349/$AH1349,F!$A1:$B101,2,1)*W1349*$X1349*$Y1349,0)+IF(ISNUMBER(AA1349), VLOOKUP(AA1349/$AH1349,F!$A1:$B101,2,1)*AA1349*$AB1349*$AC1349,0))*IF(ISNUMBER(F1349),F1349,1)*IF(ISNUMBER(E1349),E1349,1)</f>
        <v>0</v>
      </c>
      <c r="AJ1349" s="57">
        <f t="shared" si="2745"/>
        <v>0</v>
      </c>
      <c r="AK1349" s="58">
        <f t="array" ref="AK1349">IFERROR(I1349*INDEX(F!$P$21:$AB$33, MATCH(G1349/$AH1349, F!$O$21:$O$33,1), MATCH(E1349, F!$P$20:$AB$20,1)), 0 ) +IFERROR( M1349*INDEX(F!$P$21:$AB$33, MATCH(K1349/$AH1349, F!$O$21:$O$33,1), MATCH(E1349, F!$P$20:$AB$20,1)),0) +  IFERROR( Q1349*INDEX(F!$P$21:$AB$33, MATCH(O1349/$AH1349, F!$O$21:$O$33,1), MATCH(E1349, F!$P$20:$AB$20,1)), 0) + IFERROR( U1349*INDEX(F!$P$21:$AB$33, MATCH(S1349/$AH1349, F!$O$21:$O$33,1), MATCH(E1349, F!$P$20:$AB$20,1)),0)  + IFERROR(Y1349*INDEX(F!$P$21:$AB$33, MATCH(W1349/$AH1349, F!$O$21:$O$33,1), MATCH(E1349, F!$P$20:$AB$20,1)),0)  + IFERROR( AC1349*INDEX(F!$P$21:$AB$33, MATCH(AA1349/$AH1349, F!$O$21:$O$33,1), MATCH(E1349, F!$P$20:$AB$20,1)),)</f>
        <v>0</v>
      </c>
      <c r="AL1349" s="59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</row>
    <row r="1350" ht="15.75" hidden="1" customHeight="1">
      <c r="A1350" s="59"/>
      <c r="B1350" s="60" t="str">
        <f t="shared" ref="B1350:F1350" si="2746">IF(B1294="","",B1294)</f>
        <v>Тяжелая</v>
      </c>
      <c r="C1350" s="61" t="str">
        <f t="shared" si="2746"/>
        <v>ПР</v>
      </c>
      <c r="D1350" s="62" t="str">
        <f t="shared" si="2746"/>
        <v>Присед</v>
      </c>
      <c r="E1350" s="48">
        <f t="shared" si="2746"/>
        <v>1.2</v>
      </c>
      <c r="F1350" s="63" t="str">
        <f t="shared" si="2746"/>
        <v/>
      </c>
      <c r="G1350" s="64" t="str">
        <f t="shared" si="2735"/>
        <v/>
      </c>
      <c r="H1350" s="34"/>
      <c r="I1350" s="34"/>
      <c r="J1350" s="65"/>
      <c r="K1350" s="64" t="str">
        <f t="shared" si="2736"/>
        <v/>
      </c>
      <c r="L1350" s="34"/>
      <c r="M1350" s="34"/>
      <c r="N1350" s="65"/>
      <c r="O1350" s="64" t="str">
        <f t="shared" si="2737"/>
        <v/>
      </c>
      <c r="P1350" s="34"/>
      <c r="Q1350" s="34"/>
      <c r="R1350" s="65"/>
      <c r="S1350" s="64" t="str">
        <f t="shared" si="2738"/>
        <v/>
      </c>
      <c r="T1350" s="34"/>
      <c r="U1350" s="34"/>
      <c r="V1350" s="65"/>
      <c r="W1350" s="64" t="str">
        <f t="shared" si="2739"/>
        <v/>
      </c>
      <c r="X1350" s="34"/>
      <c r="Y1350" s="34"/>
      <c r="Z1350" s="65"/>
      <c r="AA1350" s="64" t="str">
        <f t="shared" si="2740"/>
        <v/>
      </c>
      <c r="AB1350" s="34"/>
      <c r="AC1350" s="34"/>
      <c r="AD1350" s="65"/>
      <c r="AE1350" s="66">
        <f t="shared" si="2741"/>
        <v>0</v>
      </c>
      <c r="AF1350" s="67">
        <f t="shared" si="2742"/>
        <v>0</v>
      </c>
      <c r="AG1350" s="68">
        <f t="shared" si="2743"/>
        <v>0</v>
      </c>
      <c r="AH1350" s="76">
        <f t="shared" si="2744"/>
        <v>217.1390287</v>
      </c>
      <c r="AI1350" s="70">
        <f> ( IF(ISNUMBER(G1350), VLOOKUP(G1350/$AH1350,F!$A1:$B101,2,1)*G1350*$H1350*$I1350,0)+IF(ISNUMBER(K1350), VLOOKUP(K1350/$AH1350,F!$A1:$B101,2,1)*K1350*$L1350*$M1350,0)+IF(ISNUMBER(O1350), VLOOKUP(O1350/$AH1350,F!$A1:$B101,2,1)*O1350*$P1350*$Q1350,0)+IF(ISNUMBER(S1350), VLOOKUP(S1350/$AH1350,F!$A1:$B101,2,1)*S1350*$T1350*$U1350,0)+IF(ISNUMBER(W1350), VLOOKUP(W1350/$AH1350,F!$A1:$B101,2,1)*W1350*$X1350*$Y1350,0)+IF(ISNUMBER(AA1350), VLOOKUP(AA1350/$AH1350,F!$A1:$B101,2,1)*AA1350*$AB1350*$AC1350,0))*IF(ISNUMBER(F1350),F1350,1)*IF(ISNUMBER(E1350),E1350,1)</f>
        <v>0</v>
      </c>
      <c r="AJ1350" s="71">
        <f t="shared" si="2745"/>
        <v>0</v>
      </c>
      <c r="AK1350" s="72">
        <f t="array" ref="AK1350">IFERROR(I1350*INDEX(F!$P$21:$AB$33, MATCH(G1350/$AH1350, F!$O$21:$O$33,1), MATCH(E1350, F!$P$20:$AB$20,1)), 0 ) +IFERROR( M1350*INDEX(F!$P$21:$AB$33, MATCH(K1350/$AH1350, F!$O$21:$O$33,1), MATCH(E1350, F!$P$20:$AB$20,1)),0) +  IFERROR( Q1350*INDEX(F!$P$21:$AB$33, MATCH(O1350/$AH1350, F!$O$21:$O$33,1), MATCH(E1350, F!$P$20:$AB$20,1)), 0) + IFERROR( U1350*INDEX(F!$P$21:$AB$33, MATCH(S1350/$AH1350, F!$O$21:$O$33,1), MATCH(E1350, F!$P$20:$AB$20,1)),0)  + IFERROR(Y1350*INDEX(F!$P$21:$AB$33, MATCH(W1350/$AH1350, F!$O$21:$O$33,1), MATCH(E1350, F!$P$20:$AB$20,1)),0)  + IFERROR( AC1350*INDEX(F!$P$21:$AB$33, MATCH(AA1350/$AH1350, F!$O$21:$O$33,1), MATCH(E1350, F!$P$20:$AB$20,1)),)</f>
        <v>0</v>
      </c>
      <c r="AL1350" s="59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</row>
    <row r="1351" ht="15.75" hidden="1" customHeight="1">
      <c r="A1351" s="59"/>
      <c r="B1351" s="215" t="str">
        <f t="shared" ref="B1351:F1351" si="2747">IF(B1295="","",B1295)</f>
        <v>Средняя</v>
      </c>
      <c r="C1351" s="73" t="str">
        <f t="shared" si="2747"/>
        <v>ЖМ</v>
      </c>
      <c r="D1351" s="47" t="str">
        <f t="shared" si="2747"/>
        <v>Жим гантелей</v>
      </c>
      <c r="E1351" s="48">
        <f t="shared" si="2747"/>
        <v>1</v>
      </c>
      <c r="F1351" s="74">
        <f t="shared" si="2747"/>
        <v>2</v>
      </c>
      <c r="G1351" s="50" t="str">
        <f t="shared" si="2735"/>
        <v/>
      </c>
      <c r="H1351" s="51"/>
      <c r="I1351" s="51"/>
      <c r="J1351" s="52"/>
      <c r="K1351" s="50" t="str">
        <f t="shared" si="2736"/>
        <v/>
      </c>
      <c r="L1351" s="51"/>
      <c r="M1351" s="51"/>
      <c r="N1351" s="52"/>
      <c r="O1351" s="50" t="str">
        <f t="shared" si="2737"/>
        <v/>
      </c>
      <c r="P1351" s="51"/>
      <c r="Q1351" s="51"/>
      <c r="R1351" s="52"/>
      <c r="S1351" s="50" t="str">
        <f t="shared" si="2738"/>
        <v/>
      </c>
      <c r="T1351" s="51"/>
      <c r="U1351" s="51"/>
      <c r="V1351" s="52"/>
      <c r="W1351" s="50" t="str">
        <f t="shared" si="2739"/>
        <v/>
      </c>
      <c r="X1351" s="51"/>
      <c r="Y1351" s="51"/>
      <c r="Z1351" s="52"/>
      <c r="AA1351" s="50" t="str">
        <f t="shared" si="2740"/>
        <v/>
      </c>
      <c r="AB1351" s="51"/>
      <c r="AC1351" s="51"/>
      <c r="AD1351" s="52"/>
      <c r="AE1351" s="53">
        <f t="shared" si="2741"/>
        <v>0</v>
      </c>
      <c r="AF1351" s="54">
        <f t="shared" si="2742"/>
        <v>0</v>
      </c>
      <c r="AG1351" s="75">
        <f t="shared" si="2743"/>
        <v>0</v>
      </c>
      <c r="AH1351" s="76">
        <f t="shared" si="2744"/>
        <v>48.89649238</v>
      </c>
      <c r="AI1351" s="77">
        <f> ( IF(ISNUMBER(G1351), VLOOKUP(G1351/$AH1351,F!$A1:$B101,2,1)*G1351*$H1351*$I1351,0)+IF(ISNUMBER(K1351), VLOOKUP(K1351/$AH1351,F!$A1:$B101,2,1)*K1351*$L1351*$M1351,0)+IF(ISNUMBER(O1351), VLOOKUP(O1351/$AH1351,F!$A1:$B101,2,1)*O1351*$P1351*$Q1351,0)+IF(ISNUMBER(S1351), VLOOKUP(S1351/$AH1351,F!$A1:$B101,2,1)*S1351*$T1351*$U1351,0)+IF(ISNUMBER(W1351), VLOOKUP(W1351/$AH1351,F!$A1:$B101,2,1)*W1351*$X1351*$Y1351,0)+IF(ISNUMBER(AA1351), VLOOKUP(AA1351/$AH1351,F!$A1:$B101,2,1)*AA1351*$AB1351*$AC1351,0))*IF(ISNUMBER(F1351),F1351,1)*IF(ISNUMBER(E1351),E1351,1)</f>
        <v>0</v>
      </c>
      <c r="AJ1351" s="57">
        <f t="shared" si="2745"/>
        <v>0</v>
      </c>
      <c r="AK1351" s="58">
        <f t="array" ref="AK1351">IFERROR(I1351*INDEX(F!$P$21:$AB$33, MATCH(G1351/$AH1351, F!$O$21:$O$33,1), MATCH(E1351, F!$P$20:$AB$20,1)), 0 ) +IFERROR( M1351*INDEX(F!$P$21:$AB$33, MATCH(K1351/$AH1351, F!$O$21:$O$33,1), MATCH(E1351, F!$P$20:$AB$20,1)),0) +  IFERROR( Q1351*INDEX(F!$P$21:$AB$33, MATCH(O1351/$AH1351, F!$O$21:$O$33,1), MATCH(E1351, F!$P$20:$AB$20,1)), 0) + IFERROR( U1351*INDEX(F!$P$21:$AB$33, MATCH(S1351/$AH1351, F!$O$21:$O$33,1), MATCH(E1351, F!$P$20:$AB$20,1)),0)  + IFERROR(Y1351*INDEX(F!$P$21:$AB$33, MATCH(W1351/$AH1351, F!$O$21:$O$33,1), MATCH(E1351, F!$P$20:$AB$20,1)),0)  + IFERROR( AC1351*INDEX(F!$P$21:$AB$33, MATCH(AA1351/$AH1351, F!$O$21:$O$33,1), MATCH(E1351, F!$P$20:$AB$20,1)),)</f>
        <v>0</v>
      </c>
      <c r="AL1351" s="59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</row>
    <row r="1352" ht="15.75" hidden="1" customHeight="1">
      <c r="A1352" s="59"/>
      <c r="B1352" s="216" t="str">
        <f t="shared" ref="B1352:F1352" si="2748">IF(B1296="","",B1296)</f>
        <v>Средняя</v>
      </c>
      <c r="C1352" s="78" t="str">
        <f t="shared" si="2748"/>
        <v>ОФП</v>
      </c>
      <c r="D1352" s="62" t="str">
        <f t="shared" si="2748"/>
        <v>Французский жим</v>
      </c>
      <c r="E1352" s="48">
        <f t="shared" si="2748"/>
        <v>0.4</v>
      </c>
      <c r="F1352" s="79" t="str">
        <f t="shared" si="2748"/>
        <v/>
      </c>
      <c r="G1352" s="64" t="str">
        <f t="shared" si="2735"/>
        <v/>
      </c>
      <c r="H1352" s="34"/>
      <c r="I1352" s="34"/>
      <c r="J1352" s="65"/>
      <c r="K1352" s="64" t="str">
        <f t="shared" si="2736"/>
        <v/>
      </c>
      <c r="L1352" s="34"/>
      <c r="M1352" s="34"/>
      <c r="N1352" s="65"/>
      <c r="O1352" s="64" t="str">
        <f t="shared" si="2737"/>
        <v/>
      </c>
      <c r="P1352" s="34"/>
      <c r="Q1352" s="34"/>
      <c r="R1352" s="65"/>
      <c r="S1352" s="64" t="str">
        <f t="shared" si="2738"/>
        <v/>
      </c>
      <c r="T1352" s="34"/>
      <c r="U1352" s="34"/>
      <c r="V1352" s="65"/>
      <c r="W1352" s="64" t="str">
        <f t="shared" si="2739"/>
        <v/>
      </c>
      <c r="X1352" s="34"/>
      <c r="Y1352" s="34"/>
      <c r="Z1352" s="65"/>
      <c r="AA1352" s="64" t="str">
        <f t="shared" si="2740"/>
        <v/>
      </c>
      <c r="AB1352" s="34"/>
      <c r="AC1352" s="34"/>
      <c r="AD1352" s="65"/>
      <c r="AE1352" s="66">
        <f t="shared" si="2741"/>
        <v>0</v>
      </c>
      <c r="AF1352" s="67">
        <f t="shared" si="2742"/>
        <v>0</v>
      </c>
      <c r="AG1352" s="68">
        <f t="shared" si="2743"/>
        <v>0</v>
      </c>
      <c r="AH1352" s="76">
        <f t="shared" si="2744"/>
        <v>70.2887078</v>
      </c>
      <c r="AI1352" s="70">
        <f> ( IF(ISNUMBER(G1352), VLOOKUP(G1352/$AH1352,F!$A1:$B101,2,1)*G1352*$H1352*$I1352,0)+IF(ISNUMBER(K1352), VLOOKUP(K1352/$AH1352,F!$A1:$B101,2,1)*K1352*$L1352*$M1352,0)+IF(ISNUMBER(O1352), VLOOKUP(O1352/$AH1352,F!$A1:$B101,2,1)*O1352*$P1352*$Q1352,0)+IF(ISNUMBER(S1352), VLOOKUP(S1352/$AH1352,F!$A1:$B101,2,1)*S1352*$T1352*$U1352,0)+IF(ISNUMBER(W1352), VLOOKUP(W1352/$AH1352,F!$A1:$B101,2,1)*W1352*$X1352*$Y1352,0)+IF(ISNUMBER(AA1352), VLOOKUP(AA1352/$AH1352,F!$A1:$B101,2,1)*AA1352*$AB1352*$AC1352,0))*IF(ISNUMBER(F1352),F1352,1)*IF(ISNUMBER(E1352),E1352,1)</f>
        <v>0</v>
      </c>
      <c r="AJ1352" s="71">
        <f t="shared" si="2745"/>
        <v>0</v>
      </c>
      <c r="AK1352" s="72">
        <f t="array" ref="AK1352">IFERROR(I1352*INDEX(F!$P$21:$AB$33, MATCH(G1352/$AH1352, F!$O$21:$O$33,1), MATCH(E1352, F!$P$20:$AB$20,1)), 0 ) +IFERROR( M1352*INDEX(F!$P$21:$AB$33, MATCH(K1352/$AH1352, F!$O$21:$O$33,1), MATCH(E1352, F!$P$20:$AB$20,1)),0) +  IFERROR( Q1352*INDEX(F!$P$21:$AB$33, MATCH(O1352/$AH1352, F!$O$21:$O$33,1), MATCH(E1352, F!$P$20:$AB$20,1)), 0) + IFERROR( U1352*INDEX(F!$P$21:$AB$33, MATCH(S1352/$AH1352, F!$O$21:$O$33,1), MATCH(E1352, F!$P$20:$AB$20,1)),0)  + IFERROR(Y1352*INDEX(F!$P$21:$AB$33, MATCH(W1352/$AH1352, F!$O$21:$O$33,1), MATCH(E1352, F!$P$20:$AB$20,1)),0)  + IFERROR( AC1352*INDEX(F!$P$21:$AB$33, MATCH(AA1352/$AH1352, F!$O$21:$O$33,1), MATCH(E1352, F!$P$20:$AB$20,1)),)</f>
        <v>0</v>
      </c>
      <c r="AL1352" s="59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</row>
    <row r="1353" ht="15.75" hidden="1" customHeight="1">
      <c r="A1353" s="59"/>
      <c r="B1353" s="45" t="str">
        <f t="shared" ref="B1353:F1353" si="2749">IF(B1297="","",B1297)</f>
        <v/>
      </c>
      <c r="C1353" s="46" t="str">
        <f t="shared" si="2749"/>
        <v/>
      </c>
      <c r="D1353" s="197" t="str">
        <f t="shared" si="2749"/>
        <v/>
      </c>
      <c r="E1353" s="48" t="str">
        <f t="shared" si="2749"/>
        <v/>
      </c>
      <c r="F1353" s="83" t="str">
        <f t="shared" si="2749"/>
        <v/>
      </c>
      <c r="G1353" s="50" t="str">
        <f t="shared" si="2735"/>
        <v/>
      </c>
      <c r="H1353" s="51"/>
      <c r="I1353" s="51"/>
      <c r="J1353" s="52"/>
      <c r="K1353" s="50" t="str">
        <f t="shared" si="2736"/>
        <v/>
      </c>
      <c r="L1353" s="51"/>
      <c r="M1353" s="51"/>
      <c r="N1353" s="52"/>
      <c r="O1353" s="50" t="str">
        <f t="shared" si="2737"/>
        <v/>
      </c>
      <c r="P1353" s="51"/>
      <c r="Q1353" s="51"/>
      <c r="R1353" s="52"/>
      <c r="S1353" s="50" t="str">
        <f t="shared" si="2738"/>
        <v/>
      </c>
      <c r="T1353" s="51"/>
      <c r="U1353" s="51"/>
      <c r="V1353" s="52"/>
      <c r="W1353" s="50" t="str">
        <f t="shared" si="2739"/>
        <v/>
      </c>
      <c r="X1353" s="51"/>
      <c r="Y1353" s="51"/>
      <c r="Z1353" s="52"/>
      <c r="AA1353" s="50" t="str">
        <f t="shared" si="2740"/>
        <v/>
      </c>
      <c r="AB1353" s="51"/>
      <c r="AC1353" s="51"/>
      <c r="AD1353" s="52"/>
      <c r="AE1353" s="53">
        <f t="shared" si="2741"/>
        <v>0</v>
      </c>
      <c r="AF1353" s="54">
        <f t="shared" si="2742"/>
        <v>0</v>
      </c>
      <c r="AG1353" s="75">
        <f t="shared" si="2743"/>
        <v>0</v>
      </c>
      <c r="AH1353" s="76" t="str">
        <f t="shared" si="2744"/>
        <v/>
      </c>
      <c r="AI1353" s="77">
        <f> ( IF(ISNUMBER(G1353), VLOOKUP(G1353/$AH1353,F!$A1:$B101,2,1)*G1353*$H1353*$I1353,0)+IF(ISNUMBER(K1353), VLOOKUP(K1353/$AH1353,F!$A1:$B101,2,1)*K1353*$L1353*$M1353,0)+IF(ISNUMBER(O1353), VLOOKUP(O1353/$AH1353,F!$A1:$B101,2,1)*O1353*$P1353*$Q1353,0)+IF(ISNUMBER(S1353), VLOOKUP(S1353/$AH1353,F!$A1:$B101,2,1)*S1353*$T1353*$U1353,0)+IF(ISNUMBER(W1353), VLOOKUP(W1353/$AH1353,F!$A1:$B101,2,1)*W1353*$X1353*$Y1353,0)+IF(ISNUMBER(AA1353), VLOOKUP(AA1353/$AH1353,F!$A1:$B101,2,1)*AA1353*$AB1353*$AC1353,0))*IF(ISNUMBER(F1353),F1353,1)*IF(ISNUMBER(E1353),E1353,1)</f>
        <v>0</v>
      </c>
      <c r="AJ1353" s="86">
        <f t="shared" si="2745"/>
        <v>0</v>
      </c>
      <c r="AK1353" s="58">
        <f t="array" ref="AK1353">IFERROR(I1353*INDEX(F!$P$21:$AB$33, MATCH(G1353/$AH1353, F!$O$21:$O$33,1), MATCH(E1353, F!$P$20:$AB$20,1)), 0 ) +IFERROR( M1353*INDEX(F!$P$21:$AB$33, MATCH(K1353/$AH1353, F!$O$21:$O$33,1), MATCH(E1353, F!$P$20:$AB$20,1)),0) +  IFERROR( Q1353*INDEX(F!$P$21:$AB$33, MATCH(O1353/$AH1353, F!$O$21:$O$33,1), MATCH(E1353, F!$P$20:$AB$20,1)), 0) + IFERROR( U1353*INDEX(F!$P$21:$AB$33, MATCH(S1353/$AH1353, F!$O$21:$O$33,1), MATCH(E1353, F!$P$20:$AB$20,1)),0)  + IFERROR(Y1353*INDEX(F!$P$21:$AB$33, MATCH(W1353/$AH1353, F!$O$21:$O$33,1), MATCH(E1353, F!$P$20:$AB$20,1)),0)  + IFERROR( AC1353*INDEX(F!$P$21:$AB$33, MATCH(AA1353/$AH1353, F!$O$21:$O$33,1), MATCH(E1353, F!$P$20:$AB$20,1)),)</f>
        <v>0</v>
      </c>
      <c r="AL1353" s="59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</row>
    <row r="1354" ht="15.0" hidden="1" customHeight="1">
      <c r="A1354" s="59"/>
      <c r="B1354" s="60" t="str">
        <f t="shared" ref="B1354:F1354" si="2750">IF(B1298="","",B1298)</f>
        <v/>
      </c>
      <c r="C1354" s="61" t="str">
        <f t="shared" si="2750"/>
        <v/>
      </c>
      <c r="D1354" s="198" t="str">
        <f t="shared" si="2750"/>
        <v/>
      </c>
      <c r="E1354" s="48" t="str">
        <f t="shared" si="2750"/>
        <v/>
      </c>
      <c r="F1354" s="79" t="str">
        <f t="shared" si="2750"/>
        <v/>
      </c>
      <c r="G1354" s="64" t="str">
        <f t="shared" si="2735"/>
        <v/>
      </c>
      <c r="H1354" s="34"/>
      <c r="I1354" s="34"/>
      <c r="J1354" s="65"/>
      <c r="K1354" s="64" t="str">
        <f t="shared" si="2736"/>
        <v/>
      </c>
      <c r="L1354" s="34"/>
      <c r="M1354" s="34"/>
      <c r="N1354" s="65"/>
      <c r="O1354" s="64" t="str">
        <f t="shared" si="2737"/>
        <v/>
      </c>
      <c r="P1354" s="34"/>
      <c r="Q1354" s="34"/>
      <c r="R1354" s="65"/>
      <c r="S1354" s="64" t="str">
        <f t="shared" si="2738"/>
        <v/>
      </c>
      <c r="T1354" s="34"/>
      <c r="U1354" s="34"/>
      <c r="V1354" s="65"/>
      <c r="W1354" s="64" t="str">
        <f t="shared" si="2739"/>
        <v/>
      </c>
      <c r="X1354" s="34"/>
      <c r="Y1354" s="34"/>
      <c r="Z1354" s="65"/>
      <c r="AA1354" s="64" t="str">
        <f t="shared" si="2740"/>
        <v/>
      </c>
      <c r="AB1354" s="34"/>
      <c r="AC1354" s="34"/>
      <c r="AD1354" s="65"/>
      <c r="AE1354" s="66">
        <f t="shared" si="2741"/>
        <v>0</v>
      </c>
      <c r="AF1354" s="67">
        <f t="shared" si="2742"/>
        <v>0</v>
      </c>
      <c r="AG1354" s="68">
        <f t="shared" si="2743"/>
        <v>0</v>
      </c>
      <c r="AH1354" s="76" t="str">
        <f t="shared" si="2744"/>
        <v/>
      </c>
      <c r="AI1354" s="90">
        <f> ( IF(ISNUMBER(G1354), VLOOKUP(G1354/$AH1354,F!$A1:$B101,2,1)*G1354*$H1354*$I1354,0)+IF(ISNUMBER(K1354), VLOOKUP(K1354/$AH1354,F!$A1:$B101,2,1)*K1354*$L1354*$M1354,0)+IF(ISNUMBER(O1354), VLOOKUP(O1354/$AH1354,F!$A1:$B101,2,1)*O1354*$P1354*$Q1354,0)+IF(ISNUMBER(S1354), VLOOKUP(S1354/$AH1354,F!$A1:$B101,2,1)*S1354*$T1354*$U1354,0)+IF(ISNUMBER(W1354), VLOOKUP(W1354/$AH1354,F!$A1:$B101,2,1)*W1354*$X1354*$Y1354,0)+IF(ISNUMBER(AA1354), VLOOKUP(AA1354/$AH1354,F!$A1:$B101,2,1)*AA1354*$AB1354*$AC1354,0))*IF(ISNUMBER(F1354),F1354,1)*IF(ISNUMBER(E1354),E1354,1)</f>
        <v>0</v>
      </c>
      <c r="AJ1354" s="34">
        <f t="shared" si="2745"/>
        <v>0</v>
      </c>
      <c r="AK1354" s="91">
        <f t="array" ref="AK1354">IFERROR(I1354*INDEX(F!$P$21:$AB$33, MATCH(G1354/$AH1354, F!$O$21:$O$33,1), MATCH(E1354, F!$P$20:$AB$20,1)), 0 ) +IFERROR( M1354*INDEX(F!$P$21:$AB$33, MATCH(K1354/$AH1354, F!$O$21:$O$33,1), MATCH(E1354, F!$P$20:$AB$20,1)),0) +  IFERROR( Q1354*INDEX(F!$P$21:$AB$33, MATCH(O1354/$AH1354, F!$O$21:$O$33,1), MATCH(E1354, F!$P$20:$AB$20,1)), 0) + IFERROR( U1354*INDEX(F!$P$21:$AB$33, MATCH(S1354/$AH1354, F!$O$21:$O$33,1), MATCH(E1354, F!$P$20:$AB$20,1)),0)  + IFERROR(Y1354*INDEX(F!$P$21:$AB$33, MATCH(W1354/$AH1354, F!$O$21:$O$33,1), MATCH(E1354, F!$P$20:$AB$20,1)),0)  + IFERROR( AC1354*INDEX(F!$P$21:$AB$33, MATCH(AA1354/$AH1354, F!$O$21:$O$33,1), MATCH(E1354, F!$P$20:$AB$20,1)),)</f>
        <v>0</v>
      </c>
      <c r="AL1354" s="59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</row>
    <row r="1355" ht="15.0" hidden="1" customHeight="1">
      <c r="A1355" s="59"/>
      <c r="B1355" s="45" t="str">
        <f t="shared" ref="B1355:F1355" si="2751">IF(B1299="","",B1299)</f>
        <v/>
      </c>
      <c r="C1355" s="46" t="str">
        <f t="shared" si="2751"/>
        <v/>
      </c>
      <c r="D1355" s="92" t="str">
        <f t="shared" si="2751"/>
        <v/>
      </c>
      <c r="E1355" s="48" t="str">
        <f t="shared" si="2751"/>
        <v/>
      </c>
      <c r="F1355" s="74" t="str">
        <f t="shared" si="2751"/>
        <v/>
      </c>
      <c r="G1355" s="50" t="str">
        <f t="shared" si="2735"/>
        <v/>
      </c>
      <c r="H1355" s="51"/>
      <c r="I1355" s="51"/>
      <c r="J1355" s="52"/>
      <c r="K1355" s="50" t="str">
        <f t="shared" si="2736"/>
        <v/>
      </c>
      <c r="L1355" s="51"/>
      <c r="M1355" s="51"/>
      <c r="N1355" s="52"/>
      <c r="O1355" s="50" t="str">
        <f t="shared" si="2737"/>
        <v/>
      </c>
      <c r="P1355" s="51"/>
      <c r="Q1355" s="51"/>
      <c r="R1355" s="52"/>
      <c r="S1355" s="50" t="str">
        <f t="shared" si="2738"/>
        <v/>
      </c>
      <c r="T1355" s="51"/>
      <c r="U1355" s="51"/>
      <c r="V1355" s="52"/>
      <c r="W1355" s="50" t="str">
        <f t="shared" si="2739"/>
        <v/>
      </c>
      <c r="X1355" s="51"/>
      <c r="Y1355" s="51"/>
      <c r="Z1355" s="52"/>
      <c r="AA1355" s="50" t="str">
        <f t="shared" si="2740"/>
        <v/>
      </c>
      <c r="AB1355" s="51"/>
      <c r="AC1355" s="51"/>
      <c r="AD1355" s="52"/>
      <c r="AE1355" s="53">
        <f t="shared" si="2741"/>
        <v>0</v>
      </c>
      <c r="AF1355" s="93">
        <f t="shared" si="2742"/>
        <v>0</v>
      </c>
      <c r="AG1355" s="94">
        <f t="shared" si="2743"/>
        <v>0</v>
      </c>
      <c r="AH1355" s="76" t="str">
        <f t="shared" si="2744"/>
        <v/>
      </c>
      <c r="AI1355" s="95">
        <f> ( IF(ISNUMBER(G1355), VLOOKUP(G1355/$AH1355,F!$A1:$B101,2,1)*G1355*$H1355*$I1355,0)+IF(ISNUMBER(K1355), VLOOKUP(K1355/$AH1355,F!$A1:$B101,2,1)*K1355*$L1355*$M1355,0)+IF(ISNUMBER(O1355), VLOOKUP(O1355/$AH1355,F!$A1:$B101,2,1)*O1355*$P1355*$Q1355,0)+IF(ISNUMBER(S1355), VLOOKUP(S1355/$AH1355,F!$A1:$B101,2,1)*S1355*$T1355*$U1355,0)+IF(ISNUMBER(W1355), VLOOKUP(W1355/$AH1355,F!$A1:$B101,2,1)*W1355*$X1355*$Y1355,0)+IF(ISNUMBER(AA1355), VLOOKUP(AA1355/$AH1355,F!$A1:$B101,2,1)*AA1355*$AB1355*$AC1355,0))*IF(ISNUMBER(F1355),F1355,1)*IF(ISNUMBER(E1355),E1355,1)</f>
        <v>0</v>
      </c>
      <c r="AJ1355" s="96">
        <f t="shared" si="2745"/>
        <v>0</v>
      </c>
      <c r="AK1355" s="97">
        <f t="array" ref="AK1355">IFERROR(I1355*INDEX(F!$P$21:$AB$33, MATCH(G1355/$AH1355, F!$O$21:$O$33,1), MATCH(E1355, F!$P$20:$AB$20,1)), 0 ) +IFERROR( M1355*INDEX(F!$P$21:$AB$33, MATCH(K1355/$AH1355, F!$O$21:$O$33,1), MATCH(E1355, F!$P$20:$AB$20,1)),0) +  IFERROR( Q1355*INDEX(F!$P$21:$AB$33, MATCH(O1355/$AH1355, F!$O$21:$O$33,1), MATCH(E1355, F!$P$20:$AB$20,1)), 0) + IFERROR( U1355*INDEX(F!$P$21:$AB$33, MATCH(S1355/$AH1355, F!$O$21:$O$33,1), MATCH(E1355, F!$P$20:$AB$20,1)),0)  + IFERROR(Y1355*INDEX(F!$P$21:$AB$33, MATCH(W1355/$AH1355, F!$O$21:$O$33,1), MATCH(E1355, F!$P$20:$AB$20,1)),0)  + IFERROR( AC1355*INDEX(F!$P$21:$AB$33, MATCH(AA1355/$AH1355, F!$O$21:$O$33,1), MATCH(E1355, F!$P$20:$AB$20,1)),)</f>
        <v>0</v>
      </c>
      <c r="AL1355" s="59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</row>
    <row r="1356" ht="15.75" hidden="1" customHeight="1">
      <c r="A1356" s="98"/>
      <c r="B1356" s="99"/>
      <c r="C1356" s="100"/>
      <c r="D1356" s="101"/>
      <c r="E1356" s="102">
        <f>ROUND(IFERROR(SUMPRODUCT(AJ1348:AJ1355,E1348:E1355)/AJ1356,0),3)</f>
        <v>0</v>
      </c>
      <c r="F1356" s="199"/>
      <c r="G1356" s="104"/>
      <c r="H1356" s="105"/>
      <c r="I1356" s="105"/>
      <c r="J1356" s="106"/>
      <c r="K1356" s="104"/>
      <c r="L1356" s="105"/>
      <c r="M1356" s="105"/>
      <c r="N1356" s="106"/>
      <c r="O1356" s="104"/>
      <c r="P1356" s="105"/>
      <c r="Q1356" s="105"/>
      <c r="R1356" s="106"/>
      <c r="S1356" s="104"/>
      <c r="T1356" s="105"/>
      <c r="U1356" s="105"/>
      <c r="V1356" s="106"/>
      <c r="W1356" s="104"/>
      <c r="X1356" s="105"/>
      <c r="Y1356" s="105"/>
      <c r="Z1356" s="106"/>
      <c r="AA1356" s="104"/>
      <c r="AB1356" s="105"/>
      <c r="AC1356" s="105"/>
      <c r="AD1356" s="106"/>
      <c r="AE1356" s="107">
        <f>SUM(AE1348:AE1355)</f>
        <v>0</v>
      </c>
      <c r="AF1356" s="108">
        <f t="shared" si="2742"/>
        <v>0</v>
      </c>
      <c r="AG1356" s="109">
        <f>IFERROR(  SUMPRODUCT(AG1348:AG1355,AJ1348:AJ1355)/AJ1356,0)</f>
        <v>0</v>
      </c>
      <c r="AH1356" s="157"/>
      <c r="AI1356" s="111">
        <f t="shared" ref="AI1356:AJ1356" si="2752">SUM(AI1348:AI1355)</f>
        <v>0</v>
      </c>
      <c r="AJ1356" s="111">
        <f t="shared" si="2752"/>
        <v>0</v>
      </c>
      <c r="AK1356" s="112">
        <f>IF(SUM(AK1348:AK1355)=0,TIME(,0,),TIME(,SUM(AK1348:AK1355)+F!$V$37,))</f>
        <v>0</v>
      </c>
      <c r="AL1356" s="98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</row>
    <row r="1357" ht="15.75" hidden="1" customHeight="1">
      <c r="A1357" s="113">
        <f>A1358</f>
        <v>43950</v>
      </c>
      <c r="B1357" s="114" t="str">
        <f t="shared" ref="B1357:F1357" si="2753">IF(B1301="","",B1301)</f>
        <v>Тяжелая</v>
      </c>
      <c r="C1357" s="115" t="str">
        <f t="shared" si="2753"/>
        <v>ТГ</v>
      </c>
      <c r="D1357" s="116" t="str">
        <f t="shared" si="2753"/>
        <v>Становая тяга</v>
      </c>
      <c r="E1357" s="29">
        <f t="shared" si="2753"/>
        <v>1.4</v>
      </c>
      <c r="F1357" s="117" t="str">
        <f t="shared" si="2753"/>
        <v/>
      </c>
      <c r="G1357" s="118" t="str">
        <f t="shared" ref="G1357:G1364" si="2755">IF(J1357&lt;&gt;0, IFERROR(IF( $F1357=2,  MROUND($AH1357*J1357,1),    IF( OR($F1357="",$F1357=1),   MROUND($AH1357*J1357,2.5),  MROUND($AH1357*J1357, 0.1))), "" ), "")</f>
        <v/>
      </c>
      <c r="H1357" s="119"/>
      <c r="I1357" s="119"/>
      <c r="J1357" s="120"/>
      <c r="K1357" s="118" t="str">
        <f t="shared" ref="K1357:K1364" si="2756">IF(N1357&lt;&gt;0, IFERROR(IF( $F1357=2,  MROUND($AH1357*N1357,1),    IF( OR($F1357="",$F1357=1),   MROUND($AH1357*N1357,2.5),  MROUND($AH1357*N1357, 0.1))), "" ), "")</f>
        <v/>
      </c>
      <c r="L1357" s="119"/>
      <c r="M1357" s="119"/>
      <c r="N1357" s="120"/>
      <c r="O1357" s="118" t="str">
        <f t="shared" ref="O1357:O1364" si="2757">IF(R1357&lt;&gt;0, IFERROR(IF( $F1357=2,  MROUND($AH1357*R1357,1),    IF( OR($F1357="",$F1357=1),   MROUND($AH1357*R1357,2.5),  MROUND($AH1357*R1357, 0.1))), "" ), "")</f>
        <v/>
      </c>
      <c r="P1357" s="119"/>
      <c r="Q1357" s="119"/>
      <c r="R1357" s="120"/>
      <c r="S1357" s="118" t="str">
        <f t="shared" ref="S1357:S1364" si="2758">IF(V1357&lt;&gt;0, IFERROR(IF( $F1357=2,  MROUND($AH1357*V1357,1),    IF( OR($F1357="",$F1357=1),   MROUND($AH1357*V1357,2.5),  MROUND($AH1357*V1357, 0.1))), "" ), "")</f>
        <v/>
      </c>
      <c r="T1357" s="119"/>
      <c r="U1357" s="119"/>
      <c r="V1357" s="120"/>
      <c r="W1357" s="118" t="str">
        <f t="shared" ref="W1357:W1364" si="2759">IF(Z1357&lt;&gt;0, IFERROR(IF( $F1357=2,  MROUND($AH1357*Z1357,1),    IF( OR($F1357="",$F1357=1),   MROUND($AH1357*Z1357,2.5),  MROUND($AH1357*Z1357, 0.1))), "" ), "")</f>
        <v/>
      </c>
      <c r="X1357" s="119"/>
      <c r="Y1357" s="119"/>
      <c r="Z1357" s="120"/>
      <c r="AA1357" s="118" t="str">
        <f t="shared" ref="AA1357:AA1364" si="2760">IF(AD1357&lt;&gt;0, IFERROR(IF( $F1357=2,  MROUND($AH1357*AD1357,1),    IF( OR($F1357="",$F1357=1),   MROUND($AH1357*AD1357,2.5),  MROUND($AH1357*AD1357, 0.1))), "" ), "")</f>
        <v/>
      </c>
      <c r="AB1357" s="119"/>
      <c r="AC1357" s="119"/>
      <c r="AD1357" s="120"/>
      <c r="AE1357" s="121">
        <f t="shared" ref="AE1357:AE1364" si="2761">(IF(ISNUMBER(G1357),G1357,0)*H1357*I1357+IF(ISNUMBER(K1357),K1357,1)*L1357*M1357+IF(ISNUMBER(O1357),O1357,1)*P1357*Q1357+IF(ISNUMBER(S1357),S1357,1)*T1357*U1357+IF(ISNUMBER(W1357),W1357,1)*X1357*Y1357+IF(ISNUMBER(AA1357),AA1357,1)*AB1357*AC1357)*IF(ISNUMBER(F1357),F1357,1)</f>
        <v>0</v>
      </c>
      <c r="AF1357" s="122">
        <f t="shared" si="2742"/>
        <v>0</v>
      </c>
      <c r="AG1357" s="200">
        <f t="shared" ref="AG1357:AG1364" si="2762">IFERROR((AF1357/(AH1357*IF(ISNUMBER(F1357),F1357,1))),0)</f>
        <v>0</v>
      </c>
      <c r="AH1357" s="169">
        <f t="shared" ref="AH1357:AH1364" si="2763">IF(ISNUMBER(AH1301), AH1301+(AH1301*$AH$1346),"")</f>
        <v>297.5608912</v>
      </c>
      <c r="AI1357" s="122">
        <f> ( IF(ISNUMBER(G1357), VLOOKUP(G1357/$AH1357,F!$A1:$B101,2,1)*G1357*$H1357*$I1357,0)+IF(ISNUMBER(K1357), VLOOKUP(K1357/$AH1357,F!$A1:$B101,2,1)*K1357*$L1357*$M1357,0)+IF(ISNUMBER(O1357), VLOOKUP(O1357/$AH1357,F!$A1:$B101,2,1)*O1357*$P1357*$Q1357,0)+IF(ISNUMBER(S1357), VLOOKUP(S1357/$AH1357,F!$A1:$B101,2,1)*S1357*$T1357*$U1357,0)+IF(ISNUMBER(W1357), VLOOKUP(W1357/$AH1357,F!$A1:$B101,2,1)*W1357*$X1357*$Y1357,0)+IF(ISNUMBER(AA1357), VLOOKUP(AA1357/$AH1357,F!$A1:$B101,2,1)*AA1357*$AB1357*$AC1357,0))*IF(ISNUMBER(F1357),F1357,1)*IF(ISNUMBER(E1357),E1357,1)</f>
        <v>0</v>
      </c>
      <c r="AJ1357" s="119">
        <f t="shared" ref="AJ1357:AJ1364" si="2764">H1357*I1357+L1357*M1357+P1357*Q1357+T1357*U1357+X1357*Y1357+AB1357*AC1357</f>
        <v>0</v>
      </c>
      <c r="AK1357" s="125">
        <f t="array" ref="AK1357">IFERROR(I1357*INDEX(F!$P$21:$AB$33, MATCH(G1357/$AH1357, F!$O$21:$O$33,1), MATCH(E1357, F!$P$20:$AB$20,1)), 0 ) +IFERROR( M1357*INDEX(F!$P$21:$AB$33, MATCH(K1357/$AH1357, F!$O$21:$O$33,1), MATCH(E1357, F!$P$20:$AB$20,1)),0) +  IFERROR( Q1357*INDEX(F!$P$21:$AB$33, MATCH(O1357/$AH1357, F!$O$21:$O$33,1), MATCH(E1357, F!$P$20:$AB$20,1)), 0) + IFERROR( U1357*INDEX(F!$P$21:$AB$33, MATCH(S1357/$AH1357, F!$O$21:$O$33,1), MATCH(E1357, F!$P$20:$AB$20,1)),0)  + IFERROR(Y1357*INDEX(F!$P$21:$AB$33, MATCH(W1357/$AH1357, F!$O$21:$O$33,1), MATCH(E1357, F!$P$20:$AB$20,1)),0)  + IFERROR( AC1357*INDEX(F!$P$21:$AB$33, MATCH(AA1357/$AH1357, F!$O$21:$O$33,1), MATCH(E1357, F!$P$20:$AB$20,1)),)</f>
        <v>0</v>
      </c>
      <c r="AL1357" s="42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</row>
    <row r="1358" ht="15.75" hidden="1" customHeight="1">
      <c r="A1358" s="44">
        <f>A1302+A1290</f>
        <v>43950</v>
      </c>
      <c r="B1358" s="126" t="str">
        <f t="shared" ref="B1358:F1358" si="2754">IF(B1302="","",B1302)</f>
        <v>Средняя</v>
      </c>
      <c r="C1358" s="127" t="str">
        <f t="shared" si="2754"/>
        <v>ЖМ</v>
      </c>
      <c r="D1358" s="128" t="str">
        <f t="shared" si="2754"/>
        <v>Жим лежа</v>
      </c>
      <c r="E1358" s="48">
        <f t="shared" si="2754"/>
        <v>1</v>
      </c>
      <c r="F1358" s="129" t="str">
        <f t="shared" si="2754"/>
        <v/>
      </c>
      <c r="G1358" s="130" t="str">
        <f t="shared" si="2755"/>
        <v/>
      </c>
      <c r="H1358" s="34"/>
      <c r="I1358" s="34"/>
      <c r="J1358" s="65"/>
      <c r="K1358" s="130" t="str">
        <f t="shared" si="2756"/>
        <v/>
      </c>
      <c r="L1358" s="34"/>
      <c r="M1358" s="34"/>
      <c r="N1358" s="65"/>
      <c r="O1358" s="130" t="str">
        <f t="shared" si="2757"/>
        <v/>
      </c>
      <c r="P1358" s="34"/>
      <c r="Q1358" s="34"/>
      <c r="R1358" s="65"/>
      <c r="S1358" s="130" t="str">
        <f t="shared" si="2758"/>
        <v/>
      </c>
      <c r="T1358" s="34"/>
      <c r="U1358" s="34"/>
      <c r="V1358" s="65"/>
      <c r="W1358" s="130" t="str">
        <f t="shared" si="2759"/>
        <v/>
      </c>
      <c r="X1358" s="34"/>
      <c r="Y1358" s="34"/>
      <c r="Z1358" s="65"/>
      <c r="AA1358" s="130" t="str">
        <f t="shared" si="2760"/>
        <v/>
      </c>
      <c r="AB1358" s="34"/>
      <c r="AC1358" s="34"/>
      <c r="AD1358" s="65"/>
      <c r="AE1358" s="131">
        <f t="shared" si="2761"/>
        <v>0</v>
      </c>
      <c r="AF1358" s="132">
        <f t="shared" si="2742"/>
        <v>0</v>
      </c>
      <c r="AG1358" s="133">
        <f t="shared" si="2762"/>
        <v>0</v>
      </c>
      <c r="AH1358" s="76">
        <f t="shared" si="2763"/>
        <v>152.8015387</v>
      </c>
      <c r="AI1358" s="132">
        <f> ( IF(ISNUMBER(G1358), VLOOKUP(G1358/$AH1358,F!$A1:$B101,2,1)*G1358*$H1358*$I1358,0)+IF(ISNUMBER(K1358), VLOOKUP(K1358/$AH1358,F!$A1:$B101,2,1)*K1358*$L1358*$M1358,0)+IF(ISNUMBER(O1358), VLOOKUP(O1358/$AH1358,F!$A1:$B101,2,1)*O1358*$P1358*$Q1358,0)+IF(ISNUMBER(S1358), VLOOKUP(S1358/$AH1358,F!$A1:$B101,2,1)*S1358*$T1358*$U1358,0)+IF(ISNUMBER(W1358), VLOOKUP(W1358/$AH1358,F!$A1:$B101,2,1)*W1358*$X1358*$Y1358,0)+IF(ISNUMBER(AA1358), VLOOKUP(AA1358/$AH1358,F!$A1:$B101,2,1)*AA1358*$AB1358*$AC1358,0))*IF(ISNUMBER(F1358),F1358,1)*IF(ISNUMBER(E1358),E1358,1)</f>
        <v>0</v>
      </c>
      <c r="AJ1358" s="34">
        <f t="shared" si="2764"/>
        <v>0</v>
      </c>
      <c r="AK1358" s="134">
        <f t="array" ref="AK1358">IFERROR(I1358*INDEX(F!$P$21:$AB$33, MATCH(G1358/$AH1358, F!$O$21:$O$33,1), MATCH(E1358, F!$P$20:$AB$20,1)), 0 ) +IFERROR( M1358*INDEX(F!$P$21:$AB$33, MATCH(K1358/$AH1358, F!$O$21:$O$33,1), MATCH(E1358, F!$P$20:$AB$20,1)),0) +  IFERROR( Q1358*INDEX(F!$P$21:$AB$33, MATCH(O1358/$AH1358, F!$O$21:$O$33,1), MATCH(E1358, F!$P$20:$AB$20,1)), 0) + IFERROR( U1358*INDEX(F!$P$21:$AB$33, MATCH(S1358/$AH1358, F!$O$21:$O$33,1), MATCH(E1358, F!$P$20:$AB$20,1)),0)  + IFERROR(Y1358*INDEX(F!$P$21:$AB$33, MATCH(W1358/$AH1358, F!$O$21:$O$33,1), MATCH(E1358, F!$P$20:$AB$20,1)),0)  + IFERROR( AC1358*INDEX(F!$P$21:$AB$33, MATCH(AA1358/$AH1358, F!$O$21:$O$33,1), MATCH(E1358, F!$P$20:$AB$20,1)),)</f>
        <v>0</v>
      </c>
      <c r="AL1358" s="59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</row>
    <row r="1359" ht="15.75" hidden="1" customHeight="1">
      <c r="A1359" s="59"/>
      <c r="B1359" s="135" t="str">
        <f t="shared" ref="B1359:F1359" si="2765">IF(B1303="","",B1303)</f>
        <v>Легкая</v>
      </c>
      <c r="C1359" s="136" t="str">
        <f t="shared" si="2765"/>
        <v>ОФП</v>
      </c>
      <c r="D1359" s="137" t="str">
        <f t="shared" si="2765"/>
        <v>Наклоны со штангой</v>
      </c>
      <c r="E1359" s="48">
        <f t="shared" si="2765"/>
        <v>0.8</v>
      </c>
      <c r="F1359" s="138" t="str">
        <f t="shared" si="2765"/>
        <v/>
      </c>
      <c r="G1359" s="139" t="str">
        <f t="shared" si="2755"/>
        <v/>
      </c>
      <c r="H1359" s="140"/>
      <c r="I1359" s="140"/>
      <c r="J1359" s="141"/>
      <c r="K1359" s="139" t="str">
        <f t="shared" si="2756"/>
        <v/>
      </c>
      <c r="L1359" s="140"/>
      <c r="M1359" s="140"/>
      <c r="N1359" s="141"/>
      <c r="O1359" s="139" t="str">
        <f t="shared" si="2757"/>
        <v/>
      </c>
      <c r="P1359" s="140"/>
      <c r="Q1359" s="140"/>
      <c r="R1359" s="141"/>
      <c r="S1359" s="139" t="str">
        <f t="shared" si="2758"/>
        <v/>
      </c>
      <c r="T1359" s="140"/>
      <c r="U1359" s="140"/>
      <c r="V1359" s="141"/>
      <c r="W1359" s="139" t="str">
        <f t="shared" si="2759"/>
        <v/>
      </c>
      <c r="X1359" s="140"/>
      <c r="Y1359" s="140"/>
      <c r="Z1359" s="141"/>
      <c r="AA1359" s="139" t="str">
        <f t="shared" si="2760"/>
        <v/>
      </c>
      <c r="AB1359" s="140"/>
      <c r="AC1359" s="140"/>
      <c r="AD1359" s="141"/>
      <c r="AE1359" s="142">
        <f t="shared" si="2761"/>
        <v>0</v>
      </c>
      <c r="AF1359" s="143">
        <f t="shared" si="2742"/>
        <v>0</v>
      </c>
      <c r="AG1359" s="144">
        <f t="shared" si="2762"/>
        <v>0</v>
      </c>
      <c r="AH1359" s="76">
        <f t="shared" si="2763"/>
        <v>163.6584901</v>
      </c>
      <c r="AI1359" s="143">
        <f> ( IF(ISNUMBER(G1359), VLOOKUP(G1359/$AH1359,F!$A1:$B101,2,1)*G1359*$H1359*$I1359,0)+IF(ISNUMBER(K1359), VLOOKUP(K1359/$AH1359,F!$A1:$B101,2,1)*K1359*$L1359*$M1359,0)+IF(ISNUMBER(O1359), VLOOKUP(O1359/$AH1359,F!$A1:$B101,2,1)*O1359*$P1359*$Q1359,0)+IF(ISNUMBER(S1359), VLOOKUP(S1359/$AH1359,F!$A1:$B101,2,1)*S1359*$T1359*$U1359,0)+IF(ISNUMBER(W1359), VLOOKUP(W1359/$AH1359,F!$A1:$B101,2,1)*W1359*$X1359*$Y1359,0)+IF(ISNUMBER(AA1359), VLOOKUP(AA1359/$AH1359,F!$A1:$B101,2,1)*AA1359*$AB1359*$AC1359,0))*IF(ISNUMBER(F1359),F1359,1)*IF(ISNUMBER(E1359),E1359,1)</f>
        <v>0</v>
      </c>
      <c r="AJ1359" s="140">
        <f t="shared" si="2764"/>
        <v>0</v>
      </c>
      <c r="AK1359" s="145">
        <f t="array" ref="AK1359">IFERROR(I1359*INDEX(F!$P$21:$AB$33, MATCH(G1359/$AH1359, F!$O$21:$O$33,1), MATCH(E1359, F!$P$20:$AB$20,1)), 0 ) +IFERROR( M1359*INDEX(F!$P$21:$AB$33, MATCH(K1359/$AH1359, F!$O$21:$O$33,1), MATCH(E1359, F!$P$20:$AB$20,1)),0) +  IFERROR( Q1359*INDEX(F!$P$21:$AB$33, MATCH(O1359/$AH1359, F!$O$21:$O$33,1), MATCH(E1359, F!$P$20:$AB$20,1)), 0) + IFERROR( U1359*INDEX(F!$P$21:$AB$33, MATCH(S1359/$AH1359, F!$O$21:$O$33,1), MATCH(E1359, F!$P$20:$AB$20,1)),0)  + IFERROR(Y1359*INDEX(F!$P$21:$AB$33, MATCH(W1359/$AH1359, F!$O$21:$O$33,1), MATCH(E1359, F!$P$20:$AB$20,1)),0)  + IFERROR( AC1359*INDEX(F!$P$21:$AB$33, MATCH(AA1359/$AH1359, F!$O$21:$O$33,1), MATCH(E1359, F!$P$20:$AB$20,1)),)</f>
        <v>0</v>
      </c>
      <c r="AL1359" s="59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</row>
    <row r="1360" ht="15.75" hidden="1" customHeight="1">
      <c r="A1360" s="59"/>
      <c r="B1360" s="126" t="str">
        <f t="shared" ref="B1360:F1360" si="2766">IF(B1304="","",B1304)</f>
        <v>Средняя</v>
      </c>
      <c r="C1360" s="127" t="str">
        <f t="shared" si="2766"/>
        <v>ОФП</v>
      </c>
      <c r="D1360" s="128" t="str">
        <f t="shared" si="2766"/>
        <v>Жим стоя</v>
      </c>
      <c r="E1360" s="48">
        <f t="shared" si="2766"/>
        <v>1</v>
      </c>
      <c r="F1360" s="129" t="str">
        <f t="shared" si="2766"/>
        <v/>
      </c>
      <c r="G1360" s="130" t="str">
        <f t="shared" si="2755"/>
        <v/>
      </c>
      <c r="H1360" s="34"/>
      <c r="I1360" s="34"/>
      <c r="J1360" s="65"/>
      <c r="K1360" s="130" t="str">
        <f t="shared" si="2756"/>
        <v/>
      </c>
      <c r="L1360" s="34"/>
      <c r="M1360" s="34"/>
      <c r="N1360" s="65"/>
      <c r="O1360" s="130" t="str">
        <f t="shared" si="2757"/>
        <v/>
      </c>
      <c r="P1360" s="34"/>
      <c r="Q1360" s="34"/>
      <c r="R1360" s="65"/>
      <c r="S1360" s="130" t="str">
        <f t="shared" si="2758"/>
        <v/>
      </c>
      <c r="T1360" s="34"/>
      <c r="U1360" s="34"/>
      <c r="V1360" s="65"/>
      <c r="W1360" s="130" t="str">
        <f t="shared" si="2759"/>
        <v/>
      </c>
      <c r="X1360" s="34"/>
      <c r="Y1360" s="34"/>
      <c r="Z1360" s="65"/>
      <c r="AA1360" s="130" t="str">
        <f t="shared" si="2760"/>
        <v/>
      </c>
      <c r="AB1360" s="34"/>
      <c r="AC1360" s="34"/>
      <c r="AD1360" s="65"/>
      <c r="AE1360" s="131">
        <f t="shared" si="2761"/>
        <v>0</v>
      </c>
      <c r="AF1360" s="132">
        <f t="shared" si="2742"/>
        <v>0</v>
      </c>
      <c r="AG1360" s="133">
        <f t="shared" si="2762"/>
        <v>0</v>
      </c>
      <c r="AH1360" s="76">
        <f t="shared" si="2763"/>
        <v>91.68092322</v>
      </c>
      <c r="AI1360" s="132">
        <f> ( IF(ISNUMBER(G1360), VLOOKUP(G1360/$AH1360,F!$A1:$B101,2,1)*G1360*$H1360*$I1360,0)+IF(ISNUMBER(K1360), VLOOKUP(K1360/$AH1360,F!$A1:$B101,2,1)*K1360*$L1360*$M1360,0)+IF(ISNUMBER(O1360), VLOOKUP(O1360/$AH1360,F!$A1:$B101,2,1)*O1360*$P1360*$Q1360,0)+IF(ISNUMBER(S1360), VLOOKUP(S1360/$AH1360,F!$A1:$B101,2,1)*S1360*$T1360*$U1360,0)+IF(ISNUMBER(W1360), VLOOKUP(W1360/$AH1360,F!$A1:$B101,2,1)*W1360*$X1360*$Y1360,0)+IF(ISNUMBER(AA1360), VLOOKUP(AA1360/$AH1360,F!$A1:$B101,2,1)*AA1360*$AB1360*$AC1360,0))*IF(ISNUMBER(F1360),F1360,1)*IF(ISNUMBER(E1360),E1360,1)</f>
        <v>0</v>
      </c>
      <c r="AJ1360" s="34">
        <f t="shared" si="2764"/>
        <v>0</v>
      </c>
      <c r="AK1360" s="134">
        <f t="array" ref="AK1360">IFERROR(I1360*INDEX(F!$P$21:$AB$33, MATCH(G1360/$AH1360, F!$O$21:$O$33,1), MATCH(E1360, F!$P$20:$AB$20,1)), 0 ) +IFERROR( M1360*INDEX(F!$P$21:$AB$33, MATCH(K1360/$AH1360, F!$O$21:$O$33,1), MATCH(E1360, F!$P$20:$AB$20,1)),0) +  IFERROR( Q1360*INDEX(F!$P$21:$AB$33, MATCH(O1360/$AH1360, F!$O$21:$O$33,1), MATCH(E1360, F!$P$20:$AB$20,1)), 0) + IFERROR( U1360*INDEX(F!$P$21:$AB$33, MATCH(S1360/$AH1360, F!$O$21:$O$33,1), MATCH(E1360, F!$P$20:$AB$20,1)),0)  + IFERROR(Y1360*INDEX(F!$P$21:$AB$33, MATCH(W1360/$AH1360, F!$O$21:$O$33,1), MATCH(E1360, F!$P$20:$AB$20,1)),0)  + IFERROR( AC1360*INDEX(F!$P$21:$AB$33, MATCH(AA1360/$AH1360, F!$O$21:$O$33,1), MATCH(E1360, F!$P$20:$AB$20,1)),)</f>
        <v>0</v>
      </c>
      <c r="AL1360" s="59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</row>
    <row r="1361" ht="15.75" hidden="1" customHeight="1">
      <c r="A1361" s="59"/>
      <c r="B1361" s="135" t="str">
        <f t="shared" ref="B1361:F1361" si="2767">IF(B1305="","",B1305)</f>
        <v>Средняя</v>
      </c>
      <c r="C1361" s="136" t="str">
        <f t="shared" si="2767"/>
        <v>ЖМ</v>
      </c>
      <c r="D1361" s="137" t="str">
        <f t="shared" si="2767"/>
        <v>Жим средним хватом</v>
      </c>
      <c r="E1361" s="48">
        <f t="shared" si="2767"/>
        <v>1</v>
      </c>
      <c r="F1361" s="138" t="str">
        <f t="shared" si="2767"/>
        <v/>
      </c>
      <c r="G1361" s="139" t="str">
        <f t="shared" si="2755"/>
        <v/>
      </c>
      <c r="H1361" s="140"/>
      <c r="I1361" s="140"/>
      <c r="J1361" s="141"/>
      <c r="K1361" s="139" t="str">
        <f t="shared" si="2756"/>
        <v/>
      </c>
      <c r="L1361" s="140"/>
      <c r="M1361" s="140"/>
      <c r="N1361" s="141"/>
      <c r="O1361" s="139" t="str">
        <f t="shared" si="2757"/>
        <v/>
      </c>
      <c r="P1361" s="140"/>
      <c r="Q1361" s="140"/>
      <c r="R1361" s="141"/>
      <c r="S1361" s="139" t="str">
        <f t="shared" si="2758"/>
        <v/>
      </c>
      <c r="T1361" s="140"/>
      <c r="U1361" s="140"/>
      <c r="V1361" s="141"/>
      <c r="W1361" s="139" t="str">
        <f t="shared" si="2759"/>
        <v/>
      </c>
      <c r="X1361" s="140"/>
      <c r="Y1361" s="140"/>
      <c r="Z1361" s="141"/>
      <c r="AA1361" s="139" t="str">
        <f t="shared" si="2760"/>
        <v/>
      </c>
      <c r="AB1361" s="140"/>
      <c r="AC1361" s="140"/>
      <c r="AD1361" s="141"/>
      <c r="AE1361" s="142">
        <f t="shared" si="2761"/>
        <v>0</v>
      </c>
      <c r="AF1361" s="143">
        <f t="shared" si="2742"/>
        <v>0</v>
      </c>
      <c r="AG1361" s="144">
        <f t="shared" si="2762"/>
        <v>0</v>
      </c>
      <c r="AH1361" s="76">
        <f t="shared" si="2763"/>
        <v>129.8813079</v>
      </c>
      <c r="AI1361" s="143">
        <f> ( IF(ISNUMBER(G1361), VLOOKUP(G1361/$AH1361,F!$A1:$B101,2,1)*G1361*$H1361*$I1361,0)+IF(ISNUMBER(K1361), VLOOKUP(K1361/$AH1361,F!$A1:$B101,2,1)*K1361*$L1361*$M1361,0)+IF(ISNUMBER(O1361), VLOOKUP(O1361/$AH1361,F!$A1:$B101,2,1)*O1361*$P1361*$Q1361,0)+IF(ISNUMBER(S1361), VLOOKUP(S1361/$AH1361,F!$A1:$B101,2,1)*S1361*$T1361*$U1361,0)+IF(ISNUMBER(W1361), VLOOKUP(W1361/$AH1361,F!$A1:$B101,2,1)*W1361*$X1361*$Y1361,0)+IF(ISNUMBER(AA1361), VLOOKUP(AA1361/$AH1361,F!$A1:$B101,2,1)*AA1361*$AB1361*$AC1361,0))*IF(ISNUMBER(F1361),F1361,1)*IF(ISNUMBER(E1361),E1361,1)</f>
        <v>0</v>
      </c>
      <c r="AJ1361" s="140">
        <f t="shared" si="2764"/>
        <v>0</v>
      </c>
      <c r="AK1361" s="145">
        <f t="array" ref="AK1361">IFERROR(I1361*INDEX(F!$P$21:$AB$33, MATCH(G1361/$AH1361, F!$O$21:$O$33,1), MATCH(E1361, F!$P$20:$AB$20,1)), 0 ) +IFERROR( M1361*INDEX(F!$P$21:$AB$33, MATCH(K1361/$AH1361, F!$O$21:$O$33,1), MATCH(E1361, F!$P$20:$AB$20,1)),0) +  IFERROR( Q1361*INDEX(F!$P$21:$AB$33, MATCH(O1361/$AH1361, F!$O$21:$O$33,1), MATCH(E1361, F!$P$20:$AB$20,1)), 0) + IFERROR( U1361*INDEX(F!$P$21:$AB$33, MATCH(S1361/$AH1361, F!$O$21:$O$33,1), MATCH(E1361, F!$P$20:$AB$20,1)),0)  + IFERROR(Y1361*INDEX(F!$P$21:$AB$33, MATCH(W1361/$AH1361, F!$O$21:$O$33,1), MATCH(E1361, F!$P$20:$AB$20,1)),0)  + IFERROR( AC1361*INDEX(F!$P$21:$AB$33, MATCH(AA1361/$AH1361, F!$O$21:$O$33,1), MATCH(E1361, F!$P$20:$AB$20,1)),)</f>
        <v>0</v>
      </c>
      <c r="AL1361" s="59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</row>
    <row r="1362" ht="15.75" hidden="1" customHeight="1">
      <c r="A1362" s="59"/>
      <c r="B1362" s="126" t="str">
        <f t="shared" ref="B1362:F1362" si="2768">IF(B1306="","",B1306)</f>
        <v/>
      </c>
      <c r="C1362" s="127" t="str">
        <f t="shared" si="2768"/>
        <v/>
      </c>
      <c r="D1362" s="128" t="str">
        <f t="shared" si="2768"/>
        <v/>
      </c>
      <c r="E1362" s="48" t="str">
        <f t="shared" si="2768"/>
        <v/>
      </c>
      <c r="F1362" s="129" t="str">
        <f t="shared" si="2768"/>
        <v/>
      </c>
      <c r="G1362" s="130" t="str">
        <f t="shared" si="2755"/>
        <v/>
      </c>
      <c r="H1362" s="34"/>
      <c r="I1362" s="34"/>
      <c r="J1362" s="65"/>
      <c r="K1362" s="130" t="str">
        <f t="shared" si="2756"/>
        <v/>
      </c>
      <c r="L1362" s="34"/>
      <c r="M1362" s="34"/>
      <c r="N1362" s="65"/>
      <c r="O1362" s="130" t="str">
        <f t="shared" si="2757"/>
        <v/>
      </c>
      <c r="P1362" s="34"/>
      <c r="Q1362" s="34"/>
      <c r="R1362" s="65"/>
      <c r="S1362" s="130" t="str">
        <f t="shared" si="2758"/>
        <v/>
      </c>
      <c r="T1362" s="34"/>
      <c r="U1362" s="34"/>
      <c r="V1362" s="65"/>
      <c r="W1362" s="130" t="str">
        <f t="shared" si="2759"/>
        <v/>
      </c>
      <c r="X1362" s="34"/>
      <c r="Y1362" s="34"/>
      <c r="Z1362" s="65"/>
      <c r="AA1362" s="130" t="str">
        <f t="shared" si="2760"/>
        <v/>
      </c>
      <c r="AB1362" s="34"/>
      <c r="AC1362" s="34"/>
      <c r="AD1362" s="65"/>
      <c r="AE1362" s="131">
        <f t="shared" si="2761"/>
        <v>0</v>
      </c>
      <c r="AF1362" s="132">
        <f t="shared" si="2742"/>
        <v>0</v>
      </c>
      <c r="AG1362" s="133">
        <f t="shared" si="2762"/>
        <v>0</v>
      </c>
      <c r="AH1362" s="76" t="str">
        <f t="shared" si="2763"/>
        <v/>
      </c>
      <c r="AI1362" s="132">
        <f> ( IF(ISNUMBER(G1362), VLOOKUP(G1362/$AH1362,F!$A1:$B101,2,1)*G1362*$H1362*$I1362,0)+IF(ISNUMBER(K1362), VLOOKUP(K1362/$AH1362,F!$A1:$B101,2,1)*K1362*$L1362*$M1362,0)+IF(ISNUMBER(O1362), VLOOKUP(O1362/$AH1362,F!$A1:$B101,2,1)*O1362*$P1362*$Q1362,0)+IF(ISNUMBER(S1362), VLOOKUP(S1362/$AH1362,F!$A1:$B101,2,1)*S1362*$T1362*$U1362,0)+IF(ISNUMBER(W1362), VLOOKUP(W1362/$AH1362,F!$A1:$B101,2,1)*W1362*$X1362*$Y1362,0)+IF(ISNUMBER(AA1362), VLOOKUP(AA1362/$AH1362,F!$A1:$B101,2,1)*AA1362*$AB1362*$AC1362,0))*IF(ISNUMBER(F1362),F1362,1)*IF(ISNUMBER(E1362),E1362,1)</f>
        <v>0</v>
      </c>
      <c r="AJ1362" s="34">
        <f t="shared" si="2764"/>
        <v>0</v>
      </c>
      <c r="AK1362" s="134">
        <f t="array" ref="AK1362">IFERROR(I1362*INDEX(F!$P$21:$AB$33, MATCH(G1362/$AH1362, F!$O$21:$O$33,1), MATCH(E1362, F!$P$20:$AB$20,1)), 0 ) +IFERROR( M1362*INDEX(F!$P$21:$AB$33, MATCH(K1362/$AH1362, F!$O$21:$O$33,1), MATCH(E1362, F!$P$20:$AB$20,1)),0) +  IFERROR( Q1362*INDEX(F!$P$21:$AB$33, MATCH(O1362/$AH1362, F!$O$21:$O$33,1), MATCH(E1362, F!$P$20:$AB$20,1)), 0) + IFERROR( U1362*INDEX(F!$P$21:$AB$33, MATCH(S1362/$AH1362, F!$O$21:$O$33,1), MATCH(E1362, F!$P$20:$AB$20,1)),0)  + IFERROR(Y1362*INDEX(F!$P$21:$AB$33, MATCH(W1362/$AH1362, F!$O$21:$O$33,1), MATCH(E1362, F!$P$20:$AB$20,1)),0)  + IFERROR( AC1362*INDEX(F!$P$21:$AB$33, MATCH(AA1362/$AH1362, F!$O$21:$O$33,1), MATCH(E1362, F!$P$20:$AB$20,1)),)</f>
        <v>0</v>
      </c>
      <c r="AL1362" s="59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</row>
    <row r="1363" ht="15.75" hidden="1" customHeight="1">
      <c r="A1363" s="59"/>
      <c r="B1363" s="135" t="str">
        <f t="shared" ref="B1363:F1363" si="2769">IF(B1307="","",B1307)</f>
        <v/>
      </c>
      <c r="C1363" s="136" t="str">
        <f t="shared" si="2769"/>
        <v/>
      </c>
      <c r="D1363" s="137" t="str">
        <f t="shared" si="2769"/>
        <v/>
      </c>
      <c r="E1363" s="48" t="str">
        <f t="shared" si="2769"/>
        <v/>
      </c>
      <c r="F1363" s="138" t="str">
        <f t="shared" si="2769"/>
        <v/>
      </c>
      <c r="G1363" s="139" t="str">
        <f t="shared" si="2755"/>
        <v/>
      </c>
      <c r="H1363" s="140"/>
      <c r="I1363" s="140"/>
      <c r="J1363" s="141"/>
      <c r="K1363" s="139" t="str">
        <f t="shared" si="2756"/>
        <v/>
      </c>
      <c r="L1363" s="140"/>
      <c r="M1363" s="140"/>
      <c r="N1363" s="141"/>
      <c r="O1363" s="139" t="str">
        <f t="shared" si="2757"/>
        <v/>
      </c>
      <c r="P1363" s="140"/>
      <c r="Q1363" s="140"/>
      <c r="R1363" s="141"/>
      <c r="S1363" s="139" t="str">
        <f t="shared" si="2758"/>
        <v/>
      </c>
      <c r="T1363" s="140"/>
      <c r="U1363" s="140"/>
      <c r="V1363" s="141"/>
      <c r="W1363" s="139" t="str">
        <f t="shared" si="2759"/>
        <v/>
      </c>
      <c r="X1363" s="140"/>
      <c r="Y1363" s="140"/>
      <c r="Z1363" s="141"/>
      <c r="AA1363" s="139" t="str">
        <f t="shared" si="2760"/>
        <v/>
      </c>
      <c r="AB1363" s="140"/>
      <c r="AC1363" s="140"/>
      <c r="AD1363" s="141"/>
      <c r="AE1363" s="142">
        <f t="shared" si="2761"/>
        <v>0</v>
      </c>
      <c r="AF1363" s="143">
        <f t="shared" si="2742"/>
        <v>0</v>
      </c>
      <c r="AG1363" s="144">
        <f t="shared" si="2762"/>
        <v>0</v>
      </c>
      <c r="AH1363" s="76" t="str">
        <f t="shared" si="2763"/>
        <v/>
      </c>
      <c r="AI1363" s="143">
        <f> ( IF(ISNUMBER(G1363), VLOOKUP(G1363/$AH1363,F!$A1:$B101,2,1)*G1363*$H1363*$I1363,0)+IF(ISNUMBER(K1363), VLOOKUP(K1363/$AH1363,F!$A1:$B101,2,1)*K1363*$L1363*$M1363,0)+IF(ISNUMBER(O1363), VLOOKUP(O1363/$AH1363,F!$A1:$B101,2,1)*O1363*$P1363*$Q1363,0)+IF(ISNUMBER(S1363), VLOOKUP(S1363/$AH1363,F!$A1:$B101,2,1)*S1363*$T1363*$U1363,0)+IF(ISNUMBER(W1363), VLOOKUP(W1363/$AH1363,F!$A1:$B101,2,1)*W1363*$X1363*$Y1363,0)+IF(ISNUMBER(AA1363), VLOOKUP(AA1363/$AH1363,F!$A1:$B101,2,1)*AA1363*$AB1363*$AC1363,0))*IF(ISNUMBER(F1363),F1363,1)*IF(ISNUMBER(E1363),E1363,1)</f>
        <v>0</v>
      </c>
      <c r="AJ1363" s="140">
        <f t="shared" si="2764"/>
        <v>0</v>
      </c>
      <c r="AK1363" s="145">
        <f t="array" ref="AK1363">IFERROR(I1363*INDEX(F!$P$21:$AB$33, MATCH(G1363/$AH1363, F!$O$21:$O$33,1), MATCH(E1363, F!$P$20:$AB$20,1)), 0 ) +IFERROR( M1363*INDEX(F!$P$21:$AB$33, MATCH(K1363/$AH1363, F!$O$21:$O$33,1), MATCH(E1363, F!$P$20:$AB$20,1)),0) +  IFERROR( Q1363*INDEX(F!$P$21:$AB$33, MATCH(O1363/$AH1363, F!$O$21:$O$33,1), MATCH(E1363, F!$P$20:$AB$20,1)), 0) + IFERROR( U1363*INDEX(F!$P$21:$AB$33, MATCH(S1363/$AH1363, F!$O$21:$O$33,1), MATCH(E1363, F!$P$20:$AB$20,1)),0)  + IFERROR(Y1363*INDEX(F!$P$21:$AB$33, MATCH(W1363/$AH1363, F!$O$21:$O$33,1), MATCH(E1363, F!$P$20:$AB$20,1)),0)  + IFERROR( AC1363*INDEX(F!$P$21:$AB$33, MATCH(AA1363/$AH1363, F!$O$21:$O$33,1), MATCH(E1363, F!$P$20:$AB$20,1)),)</f>
        <v>0</v>
      </c>
      <c r="AL1363" s="59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</row>
    <row r="1364" ht="15.75" hidden="1" customHeight="1">
      <c r="A1364" s="59"/>
      <c r="B1364" s="126" t="str">
        <f t="shared" ref="B1364:F1364" si="2770">IF(B1308="","",B1308)</f>
        <v/>
      </c>
      <c r="C1364" s="127" t="str">
        <f t="shared" si="2770"/>
        <v/>
      </c>
      <c r="D1364" s="128" t="str">
        <f t="shared" si="2770"/>
        <v/>
      </c>
      <c r="E1364" s="48" t="str">
        <f t="shared" si="2770"/>
        <v/>
      </c>
      <c r="F1364" s="129" t="str">
        <f t="shared" si="2770"/>
        <v/>
      </c>
      <c r="G1364" s="130" t="str">
        <f t="shared" si="2755"/>
        <v/>
      </c>
      <c r="H1364" s="34"/>
      <c r="I1364" s="34"/>
      <c r="J1364" s="65"/>
      <c r="K1364" s="130" t="str">
        <f t="shared" si="2756"/>
        <v/>
      </c>
      <c r="L1364" s="34"/>
      <c r="M1364" s="34"/>
      <c r="N1364" s="65"/>
      <c r="O1364" s="130" t="str">
        <f t="shared" si="2757"/>
        <v/>
      </c>
      <c r="P1364" s="34"/>
      <c r="Q1364" s="34"/>
      <c r="R1364" s="65"/>
      <c r="S1364" s="130" t="str">
        <f t="shared" si="2758"/>
        <v/>
      </c>
      <c r="T1364" s="34"/>
      <c r="U1364" s="34"/>
      <c r="V1364" s="65"/>
      <c r="W1364" s="130" t="str">
        <f t="shared" si="2759"/>
        <v/>
      </c>
      <c r="X1364" s="34"/>
      <c r="Y1364" s="34"/>
      <c r="Z1364" s="65"/>
      <c r="AA1364" s="130" t="str">
        <f t="shared" si="2760"/>
        <v/>
      </c>
      <c r="AB1364" s="34"/>
      <c r="AC1364" s="34"/>
      <c r="AD1364" s="65"/>
      <c r="AE1364" s="131">
        <f t="shared" si="2761"/>
        <v>0</v>
      </c>
      <c r="AF1364" s="132">
        <f t="shared" si="2742"/>
        <v>0</v>
      </c>
      <c r="AG1364" s="133">
        <f t="shared" si="2762"/>
        <v>0</v>
      </c>
      <c r="AH1364" s="76" t="str">
        <f t="shared" si="2763"/>
        <v/>
      </c>
      <c r="AI1364" s="132">
        <f> ( IF(ISNUMBER(G1364), VLOOKUP(G1364/$AH1364,F!$A1:$B101,2,1)*G1364*$H1364*$I1364,0)+IF(ISNUMBER(K1364), VLOOKUP(K1364/$AH1364,F!$A1:$B101,2,1)*K1364*$L1364*$M1364,0)+IF(ISNUMBER(O1364), VLOOKUP(O1364/$AH1364,F!$A1:$B101,2,1)*O1364*$P1364*$Q1364,0)+IF(ISNUMBER(S1364), VLOOKUP(S1364/$AH1364,F!$A1:$B101,2,1)*S1364*$T1364*$U1364,0)+IF(ISNUMBER(W1364), VLOOKUP(W1364/$AH1364,F!$A1:$B101,2,1)*W1364*$X1364*$Y1364,0)+IF(ISNUMBER(AA1364), VLOOKUP(AA1364/$AH1364,F!$A1:$B101,2,1)*AA1364*$AB1364*$AC1364,0))*IF(ISNUMBER(F1364),F1364,1)*IF(ISNUMBER(E1364),E1364,1)</f>
        <v>0</v>
      </c>
      <c r="AJ1364" s="34">
        <f t="shared" si="2764"/>
        <v>0</v>
      </c>
      <c r="AK1364" s="134">
        <f t="array" ref="AK1364">IFERROR(I1364*INDEX(F!$P$21:$AB$33, MATCH(G1364/$AH1364, F!$O$21:$O$33,1), MATCH(E1364, F!$P$20:$AB$20,1)), 0 ) +IFERROR( M1364*INDEX(F!$P$21:$AB$33, MATCH(K1364/$AH1364, F!$O$21:$O$33,1), MATCH(E1364, F!$P$20:$AB$20,1)),0) +  IFERROR( Q1364*INDEX(F!$P$21:$AB$33, MATCH(O1364/$AH1364, F!$O$21:$O$33,1), MATCH(E1364, F!$P$20:$AB$20,1)), 0) + IFERROR( U1364*INDEX(F!$P$21:$AB$33, MATCH(S1364/$AH1364, F!$O$21:$O$33,1), MATCH(E1364, F!$P$20:$AB$20,1)),0)  + IFERROR(Y1364*INDEX(F!$P$21:$AB$33, MATCH(W1364/$AH1364, F!$O$21:$O$33,1), MATCH(E1364, F!$P$20:$AB$20,1)),0)  + IFERROR( AC1364*INDEX(F!$P$21:$AB$33, MATCH(AA1364/$AH1364, F!$O$21:$O$33,1), MATCH(E1364, F!$P$20:$AB$20,1)),)</f>
        <v>0</v>
      </c>
      <c r="AL1364" s="59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</row>
    <row r="1365" ht="15.75" hidden="1" customHeight="1">
      <c r="A1365" s="98"/>
      <c r="B1365" s="150"/>
      <c r="C1365" s="151"/>
      <c r="D1365" s="152"/>
      <c r="E1365" s="102">
        <f>ROUND(IFERROR(SUMPRODUCT(AJ1357:AJ1364,E1357:E1364)/AJ1365,0),3)</f>
        <v>0</v>
      </c>
      <c r="F1365" s="153"/>
      <c r="G1365" s="154"/>
      <c r="H1365" s="155"/>
      <c r="I1365" s="155"/>
      <c r="J1365" s="156"/>
      <c r="K1365" s="154"/>
      <c r="L1365" s="155"/>
      <c r="M1365" s="155"/>
      <c r="N1365" s="156"/>
      <c r="O1365" s="154"/>
      <c r="P1365" s="155"/>
      <c r="Q1365" s="155"/>
      <c r="R1365" s="156"/>
      <c r="S1365" s="154"/>
      <c r="T1365" s="155"/>
      <c r="U1365" s="155"/>
      <c r="V1365" s="156"/>
      <c r="W1365" s="154"/>
      <c r="X1365" s="155"/>
      <c r="Y1365" s="155"/>
      <c r="Z1365" s="156"/>
      <c r="AA1365" s="154"/>
      <c r="AB1365" s="155"/>
      <c r="AC1365" s="155"/>
      <c r="AD1365" s="156"/>
      <c r="AE1365" s="107">
        <f>SUM(AE1357:AE1364)</f>
        <v>0</v>
      </c>
      <c r="AF1365" s="108">
        <f t="shared" si="2742"/>
        <v>0</v>
      </c>
      <c r="AG1365" s="109">
        <f>IFERROR(  SUMPRODUCT(AG1357:AG1364,AJ1357:AJ1364)/AJ1365,0)</f>
        <v>0</v>
      </c>
      <c r="AH1365" s="157"/>
      <c r="AI1365" s="111">
        <f t="shared" ref="AI1365:AJ1365" si="2771">SUM(AI1357:AI1364)</f>
        <v>0</v>
      </c>
      <c r="AJ1365" s="111">
        <f t="shared" si="2771"/>
        <v>0</v>
      </c>
      <c r="AK1365" s="112">
        <f>IF(SUM(AK1357:AK1364)=0,TIME(,0,),TIME(,SUM(AK1357:AK1364)+F!$V$37,))</f>
        <v>0</v>
      </c>
      <c r="AL1365" s="98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</row>
    <row r="1366" ht="15.75" hidden="1" customHeight="1">
      <c r="A1366" s="158">
        <f>A1367</f>
        <v>43952</v>
      </c>
      <c r="B1366" s="159" t="str">
        <f t="shared" ref="B1366:F1366" si="2772">IF(B1310="","",B1310)</f>
        <v>Тяжелая</v>
      </c>
      <c r="C1366" s="160" t="str">
        <f t="shared" si="2772"/>
        <v>ПР</v>
      </c>
      <c r="D1366" s="161" t="str">
        <f t="shared" si="2772"/>
        <v>Присед</v>
      </c>
      <c r="E1366" s="29">
        <f t="shared" si="2772"/>
        <v>1.2</v>
      </c>
      <c r="F1366" s="162" t="str">
        <f t="shared" si="2772"/>
        <v/>
      </c>
      <c r="G1366" s="163" t="str">
        <f t="shared" ref="G1366:G1373" si="2774">IF(J1366&lt;&gt;0, IFERROR(IF( $F1366=2,  MROUND($AH1366*J1366,1),    IF( OR($F1366="",$F1366=1),   MROUND($AH1366*J1366,2.5),  MROUND($AH1366*J1366, 0.1))), "" ), "")</f>
        <v/>
      </c>
      <c r="H1366" s="164"/>
      <c r="I1366" s="164"/>
      <c r="J1366" s="165"/>
      <c r="K1366" s="163" t="str">
        <f t="shared" ref="K1366:K1373" si="2775">IF(N1366&lt;&gt;0, IFERROR(IF( $F1366=2,  MROUND($AH1366*N1366,1),    IF( OR($F1366="",$F1366=1),   MROUND($AH1366*N1366,2.5),  MROUND($AH1366*N1366, 0.1))), "" ), "")</f>
        <v/>
      </c>
      <c r="L1366" s="164"/>
      <c r="M1366" s="164"/>
      <c r="N1366" s="165"/>
      <c r="O1366" s="163" t="str">
        <f t="shared" ref="O1366:O1373" si="2776">IF(R1366&lt;&gt;0, IFERROR(IF( $F1366=2,  MROUND($AH1366*R1366,1),    IF( OR($F1366="",$F1366=1),   MROUND($AH1366*R1366,2.5),  MROUND($AH1366*R1366, 0.1))), "" ), "")</f>
        <v/>
      </c>
      <c r="P1366" s="164"/>
      <c r="Q1366" s="164"/>
      <c r="R1366" s="165"/>
      <c r="S1366" s="163" t="str">
        <f t="shared" ref="S1366:S1373" si="2777">IF(V1366&lt;&gt;0, IFERROR(IF( $F1366=2,  MROUND($AH1366*V1366,1),    IF( OR($F1366="",$F1366=1),   MROUND($AH1366*V1366,2.5),  MROUND($AH1366*V1366, 0.1))), "" ), "")</f>
        <v/>
      </c>
      <c r="T1366" s="164"/>
      <c r="U1366" s="164"/>
      <c r="V1366" s="165"/>
      <c r="W1366" s="163" t="str">
        <f t="shared" ref="W1366:W1373" si="2778">IF(Z1366&lt;&gt;0, IFERROR(IF( $F1366=2,  MROUND($AH1366*Z1366,1),    IF( OR($F1366="",$F1366=1),   MROUND($AH1366*Z1366,2.5),  MROUND($AH1366*Z1366, 0.1))), "" ), "")</f>
        <v/>
      </c>
      <c r="X1366" s="164"/>
      <c r="Y1366" s="164"/>
      <c r="Z1366" s="165"/>
      <c r="AA1366" s="163" t="str">
        <f t="shared" ref="AA1366:AA1373" si="2779">IF(AD1366&lt;&gt;0, IFERROR(IF( $F1366=2,  MROUND($AH1366*AD1366,1),    IF( OR($F1366="",$F1366=1),   MROUND($AH1366*AD1366,2.5),  MROUND($AH1366*AD1366, 0.1))), "" ), "")</f>
        <v/>
      </c>
      <c r="AB1366" s="164"/>
      <c r="AC1366" s="164"/>
      <c r="AD1366" s="165"/>
      <c r="AE1366" s="166">
        <f t="shared" ref="AE1366:AE1373" si="2780">(IF(ISNUMBER(G1366),G1366,0)*H1366*I1366+IF(ISNUMBER(K1366),K1366,1)*L1366*M1366+IF(ISNUMBER(O1366),O1366,1)*P1366*Q1366+IF(ISNUMBER(S1366),S1366,1)*T1366*U1366+IF(ISNUMBER(W1366),W1366,1)*X1366*Y1366+IF(ISNUMBER(AA1366),AA1366,1)*AB1366*AC1366)*IF(ISNUMBER(F1366),F1366,1)</f>
        <v>0</v>
      </c>
      <c r="AF1366" s="167">
        <f t="shared" si="2742"/>
        <v>0</v>
      </c>
      <c r="AG1366" s="168">
        <f t="shared" ref="AG1366:AG1373" si="2781">IFERROR((AF1366/(AH1366*IF(ISNUMBER(F1366),F1366,1))),0)</f>
        <v>0</v>
      </c>
      <c r="AH1366" s="169">
        <f t="shared" ref="AH1366:AH1373" si="2782">IF(ISNUMBER(AH1310), AH1310+(AH1310*$AH$1346),"")</f>
        <v>217.1390287</v>
      </c>
      <c r="AI1366" s="167">
        <f> ( IF(ISNUMBER(G1366), VLOOKUP(G1366/$AH1366,F!$A1:$B101,2,1)*G1366*$H1366*$I1366,0)+IF(ISNUMBER(K1366), VLOOKUP(K1366/$AH1366,F!$A1:$B101,2,1)*K1366*$L1366*$M1366,0)+IF(ISNUMBER(O1366), VLOOKUP(O1366/$AH1366,F!$A1:$B101,2,1)*O1366*$P1366*$Q1366,0)+IF(ISNUMBER(S1366), VLOOKUP(S1366/$AH1366,F!$A1:$B101,2,1)*S1366*$T1366*$U1366,0)+IF(ISNUMBER(W1366), VLOOKUP(W1366/$AH1366,F!$A1:$B101,2,1)*W1366*$X1366*$Y1366,0)+IF(ISNUMBER(AA1366), VLOOKUP(AA1366/$AH1366,F!$A1:$B101,2,1)*AA1366*$AB1366*$AC1366,0))*IF(ISNUMBER(F1366),F1366,1)*IF(ISNUMBER(E1366),E1366,1)</f>
        <v>0</v>
      </c>
      <c r="AJ1366" s="164">
        <f t="shared" ref="AJ1366:AJ1373" si="2783">H1366*I1366+L1366*M1366+P1366*Q1366+T1366*U1366+X1366*Y1366+AB1366*AC1366</f>
        <v>0</v>
      </c>
      <c r="AK1366" s="170">
        <f t="array" ref="AK1366">IFERROR(I1366*INDEX(F!$P$21:$AB$33, MATCH(G1366/$AH1366, F!$O$21:$O$33,1), MATCH(E1366, F!$P$20:$AB$20,1)), 0 ) +IFERROR( M1366*INDEX(F!$P$21:$AB$33, MATCH(K1366/$AH1366, F!$O$21:$O$33,1), MATCH(E1366, F!$P$20:$AB$20,1)),0) +  IFERROR( Q1366*INDEX(F!$P$21:$AB$33, MATCH(O1366/$AH1366, F!$O$21:$O$33,1), MATCH(E1366, F!$P$20:$AB$20,1)), 0) + IFERROR( U1366*INDEX(F!$P$21:$AB$33, MATCH(S1366/$AH1366, F!$O$21:$O$33,1), MATCH(E1366, F!$P$20:$AB$20,1)),0)  + IFERROR(Y1366*INDEX(F!$P$21:$AB$33, MATCH(W1366/$AH1366, F!$O$21:$O$33,1), MATCH(E1366, F!$P$20:$AB$20,1)),0)  + IFERROR( AC1366*INDEX(F!$P$21:$AB$33, MATCH(AA1366/$AH1366, F!$O$21:$O$33,1), MATCH(E1366, F!$P$20:$AB$20,1)),)</f>
        <v>0</v>
      </c>
      <c r="AL1366" s="42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</row>
    <row r="1367" ht="15.75" hidden="1" customHeight="1">
      <c r="A1367" s="44">
        <f>A1311+A1290</f>
        <v>43952</v>
      </c>
      <c r="B1367" s="135" t="str">
        <f t="shared" ref="B1367:F1367" si="2773">IF(B1311="","",B1311)</f>
        <v>Тяжелая</v>
      </c>
      <c r="C1367" s="136" t="str">
        <f t="shared" si="2773"/>
        <v>ЖМ</v>
      </c>
      <c r="D1367" s="137" t="str">
        <f t="shared" si="2773"/>
        <v>Жим лежа</v>
      </c>
      <c r="E1367" s="48">
        <f t="shared" si="2773"/>
        <v>1</v>
      </c>
      <c r="F1367" s="138" t="str">
        <f t="shared" si="2773"/>
        <v/>
      </c>
      <c r="G1367" s="139" t="str">
        <f t="shared" si="2774"/>
        <v/>
      </c>
      <c r="H1367" s="140"/>
      <c r="I1367" s="140"/>
      <c r="J1367" s="141"/>
      <c r="K1367" s="139" t="str">
        <f t="shared" si="2775"/>
        <v/>
      </c>
      <c r="L1367" s="140"/>
      <c r="M1367" s="140"/>
      <c r="N1367" s="141"/>
      <c r="O1367" s="139" t="str">
        <f t="shared" si="2776"/>
        <v/>
      </c>
      <c r="P1367" s="140"/>
      <c r="Q1367" s="140"/>
      <c r="R1367" s="141"/>
      <c r="S1367" s="139" t="str">
        <f t="shared" si="2777"/>
        <v/>
      </c>
      <c r="T1367" s="140"/>
      <c r="U1367" s="140"/>
      <c r="V1367" s="141"/>
      <c r="W1367" s="139" t="str">
        <f t="shared" si="2778"/>
        <v/>
      </c>
      <c r="X1367" s="140"/>
      <c r="Y1367" s="140"/>
      <c r="Z1367" s="141"/>
      <c r="AA1367" s="139" t="str">
        <f t="shared" si="2779"/>
        <v/>
      </c>
      <c r="AB1367" s="140"/>
      <c r="AC1367" s="140"/>
      <c r="AD1367" s="141"/>
      <c r="AE1367" s="142">
        <f t="shared" si="2780"/>
        <v>0</v>
      </c>
      <c r="AF1367" s="143">
        <f t="shared" si="2742"/>
        <v>0</v>
      </c>
      <c r="AG1367" s="144">
        <f t="shared" si="2781"/>
        <v>0</v>
      </c>
      <c r="AH1367" s="76">
        <f t="shared" si="2782"/>
        <v>152.8015387</v>
      </c>
      <c r="AI1367" s="143">
        <f> ( IF(ISNUMBER(G1367), VLOOKUP(G1367/$AH1367,F!$A1:$B101,2,1)*G1367*$H1367*$I1367,0)+IF(ISNUMBER(K1367), VLOOKUP(K1367/$AH1367,F!$A1:$B101,2,1)*K1367*$L1367*$M1367,0)+IF(ISNUMBER(O1367), VLOOKUP(O1367/$AH1367,F!$A1:$B101,2,1)*O1367*$P1367*$Q1367,0)+IF(ISNUMBER(S1367), VLOOKUP(S1367/$AH1367,F!$A1:$B101,2,1)*S1367*$T1367*$U1367,0)+IF(ISNUMBER(W1367), VLOOKUP(W1367/$AH1367,F!$A1:$B101,2,1)*W1367*$X1367*$Y1367,0)+IF(ISNUMBER(AA1367), VLOOKUP(AA1367/$AH1367,F!$A1:$B101,2,1)*AA1367*$AB1367*$AC1367,0))*IF(ISNUMBER(F1367),F1367,1)*IF(ISNUMBER(E1367),E1367,1)</f>
        <v>0</v>
      </c>
      <c r="AJ1367" s="140">
        <f t="shared" si="2783"/>
        <v>0</v>
      </c>
      <c r="AK1367" s="145">
        <f t="array" ref="AK1367">IFERROR(I1367*INDEX(F!$P$21:$AB$33, MATCH(G1367/$AH1367, F!$O$21:$O$33,1), MATCH(E1367, F!$P$20:$AB$20,1)), 0 ) +IFERROR( M1367*INDEX(F!$P$21:$AB$33, MATCH(K1367/$AH1367, F!$O$21:$O$33,1), MATCH(E1367, F!$P$20:$AB$20,1)),0) +  IFERROR( Q1367*INDEX(F!$P$21:$AB$33, MATCH(O1367/$AH1367, F!$O$21:$O$33,1), MATCH(E1367, F!$P$20:$AB$20,1)), 0) + IFERROR( U1367*INDEX(F!$P$21:$AB$33, MATCH(S1367/$AH1367, F!$O$21:$O$33,1), MATCH(E1367, F!$P$20:$AB$20,1)),0)  + IFERROR(Y1367*INDEX(F!$P$21:$AB$33, MATCH(W1367/$AH1367, F!$O$21:$O$33,1), MATCH(E1367, F!$P$20:$AB$20,1)),0)  + IFERROR( AC1367*INDEX(F!$P$21:$AB$33, MATCH(AA1367/$AH1367, F!$O$21:$O$33,1), MATCH(E1367, F!$P$20:$AB$20,1)),)</f>
        <v>0</v>
      </c>
      <c r="AL1367" s="59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</row>
    <row r="1368" ht="15.75" hidden="1" customHeight="1">
      <c r="A1368" s="59"/>
      <c r="B1368" s="173" t="str">
        <f t="shared" ref="B1368:F1368" si="2784">IF(B1312="","",B1312)</f>
        <v>Средняя</v>
      </c>
      <c r="C1368" s="174" t="str">
        <f t="shared" si="2784"/>
        <v>ПР</v>
      </c>
      <c r="D1368" s="175" t="str">
        <f t="shared" si="2784"/>
        <v>Присед</v>
      </c>
      <c r="E1368" s="48">
        <f t="shared" si="2784"/>
        <v>1.2</v>
      </c>
      <c r="F1368" s="176" t="str">
        <f t="shared" si="2784"/>
        <v/>
      </c>
      <c r="G1368" s="177" t="str">
        <f t="shared" si="2774"/>
        <v/>
      </c>
      <c r="H1368" s="178"/>
      <c r="I1368" s="178"/>
      <c r="J1368" s="179"/>
      <c r="K1368" s="177" t="str">
        <f t="shared" si="2775"/>
        <v/>
      </c>
      <c r="L1368" s="178"/>
      <c r="M1368" s="178"/>
      <c r="N1368" s="179"/>
      <c r="O1368" s="177" t="str">
        <f t="shared" si="2776"/>
        <v/>
      </c>
      <c r="P1368" s="178"/>
      <c r="Q1368" s="178"/>
      <c r="R1368" s="179"/>
      <c r="S1368" s="177" t="str">
        <f t="shared" si="2777"/>
        <v/>
      </c>
      <c r="T1368" s="178"/>
      <c r="U1368" s="178"/>
      <c r="V1368" s="179"/>
      <c r="W1368" s="177" t="str">
        <f t="shared" si="2778"/>
        <v/>
      </c>
      <c r="X1368" s="178"/>
      <c r="Y1368" s="178"/>
      <c r="Z1368" s="179"/>
      <c r="AA1368" s="177" t="str">
        <f t="shared" si="2779"/>
        <v/>
      </c>
      <c r="AB1368" s="178"/>
      <c r="AC1368" s="178"/>
      <c r="AD1368" s="179"/>
      <c r="AE1368" s="180">
        <f t="shared" si="2780"/>
        <v>0</v>
      </c>
      <c r="AF1368" s="181">
        <f t="shared" si="2742"/>
        <v>0</v>
      </c>
      <c r="AG1368" s="182">
        <f t="shared" si="2781"/>
        <v>0</v>
      </c>
      <c r="AH1368" s="76">
        <f t="shared" si="2782"/>
        <v>217.1390287</v>
      </c>
      <c r="AI1368" s="181">
        <f> ( IF(ISNUMBER(G1368), VLOOKUP(G1368/$AH1368,F!$A1:$B101,2,1)*G1368*$H1368*$I1368,0)+IF(ISNUMBER(K1368), VLOOKUP(K1368/$AH1368,F!$A1:$B101,2,1)*K1368*$L1368*$M1368,0)+IF(ISNUMBER(O1368), VLOOKUP(O1368/$AH1368,F!$A1:$B101,2,1)*O1368*$P1368*$Q1368,0)+IF(ISNUMBER(S1368), VLOOKUP(S1368/$AH1368,F!$A1:$B101,2,1)*S1368*$T1368*$U1368,0)+IF(ISNUMBER(W1368), VLOOKUP(W1368/$AH1368,F!$A1:$B101,2,1)*W1368*$X1368*$Y1368,0)+IF(ISNUMBER(AA1368), VLOOKUP(AA1368/$AH1368,F!$A1:$B101,2,1)*AA1368*$AB1368*$AC1368,0))*IF(ISNUMBER(F1368),F1368,1)*IF(ISNUMBER(E1368),E1368,1)</f>
        <v>0</v>
      </c>
      <c r="AJ1368" s="178">
        <f t="shared" si="2783"/>
        <v>0</v>
      </c>
      <c r="AK1368" s="183">
        <f t="array" ref="AK1368">IFERROR(I1368*INDEX(F!$P$21:$AB$33, MATCH(G1368/$AH1368, F!$O$21:$O$33,1), MATCH(E1368, F!$P$20:$AB$20,1)), 0 ) +IFERROR( M1368*INDEX(F!$P$21:$AB$33, MATCH(K1368/$AH1368, F!$O$21:$O$33,1), MATCH(E1368, F!$P$20:$AB$20,1)),0) +  IFERROR( Q1368*INDEX(F!$P$21:$AB$33, MATCH(O1368/$AH1368, F!$O$21:$O$33,1), MATCH(E1368, F!$P$20:$AB$20,1)), 0) + IFERROR( U1368*INDEX(F!$P$21:$AB$33, MATCH(S1368/$AH1368, F!$O$21:$O$33,1), MATCH(E1368, F!$P$20:$AB$20,1)),0)  + IFERROR(Y1368*INDEX(F!$P$21:$AB$33, MATCH(W1368/$AH1368, F!$O$21:$O$33,1), MATCH(E1368, F!$P$20:$AB$20,1)),0)  + IFERROR( AC1368*INDEX(F!$P$21:$AB$33, MATCH(AA1368/$AH1368, F!$O$21:$O$33,1), MATCH(E1368, F!$P$20:$AB$20,1)),)</f>
        <v>0</v>
      </c>
      <c r="AL1368" s="59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</row>
    <row r="1369" ht="15.75" hidden="1" customHeight="1">
      <c r="A1369" s="59"/>
      <c r="B1369" s="135" t="str">
        <f t="shared" ref="B1369:F1369" si="2785">IF(B1313="","",B1313)</f>
        <v>Средняя</v>
      </c>
      <c r="C1369" s="136" t="str">
        <f t="shared" si="2785"/>
        <v>ЖМ</v>
      </c>
      <c r="D1369" s="137" t="str">
        <f t="shared" si="2785"/>
        <v>Жим на наклонной скамье</v>
      </c>
      <c r="E1369" s="48">
        <f t="shared" si="2785"/>
        <v>1</v>
      </c>
      <c r="F1369" s="138" t="str">
        <f t="shared" si="2785"/>
        <v/>
      </c>
      <c r="G1369" s="139" t="str">
        <f t="shared" si="2774"/>
        <v/>
      </c>
      <c r="H1369" s="140"/>
      <c r="I1369" s="140"/>
      <c r="J1369" s="141"/>
      <c r="K1369" s="139" t="str">
        <f t="shared" si="2775"/>
        <v/>
      </c>
      <c r="L1369" s="140"/>
      <c r="M1369" s="140"/>
      <c r="N1369" s="141"/>
      <c r="O1369" s="139" t="str">
        <f t="shared" si="2776"/>
        <v/>
      </c>
      <c r="P1369" s="140"/>
      <c r="Q1369" s="140"/>
      <c r="R1369" s="141"/>
      <c r="S1369" s="139" t="str">
        <f t="shared" si="2777"/>
        <v/>
      </c>
      <c r="T1369" s="140"/>
      <c r="U1369" s="140"/>
      <c r="V1369" s="141"/>
      <c r="W1369" s="139" t="str">
        <f t="shared" si="2778"/>
        <v/>
      </c>
      <c r="X1369" s="140"/>
      <c r="Y1369" s="140"/>
      <c r="Z1369" s="141"/>
      <c r="AA1369" s="139" t="str">
        <f t="shared" si="2779"/>
        <v/>
      </c>
      <c r="AB1369" s="140"/>
      <c r="AC1369" s="140"/>
      <c r="AD1369" s="141"/>
      <c r="AE1369" s="142">
        <f t="shared" si="2780"/>
        <v>0</v>
      </c>
      <c r="AF1369" s="143">
        <f t="shared" si="2742"/>
        <v>0</v>
      </c>
      <c r="AG1369" s="144">
        <f t="shared" si="2781"/>
        <v>0</v>
      </c>
      <c r="AH1369" s="76">
        <f t="shared" si="2782"/>
        <v>122.241231</v>
      </c>
      <c r="AI1369" s="143">
        <f> ( IF(ISNUMBER(G1369), VLOOKUP(G1369/$AH1369,F!$A1:$B101,2,1)*G1369*$H1369*$I1369,0)+IF(ISNUMBER(K1369), VLOOKUP(K1369/$AH1369,F!$A1:$B101,2,1)*K1369*$L1369*$M1369,0)+IF(ISNUMBER(O1369), VLOOKUP(O1369/$AH1369,F!$A1:$B101,2,1)*O1369*$P1369*$Q1369,0)+IF(ISNUMBER(S1369), VLOOKUP(S1369/$AH1369,F!$A1:$B101,2,1)*S1369*$T1369*$U1369,0)+IF(ISNUMBER(W1369), VLOOKUP(W1369/$AH1369,F!$A1:$B101,2,1)*W1369*$X1369*$Y1369,0)+IF(ISNUMBER(AA1369), VLOOKUP(AA1369/$AH1369,F!$A1:$B101,2,1)*AA1369*$AB1369*$AC1369,0))*IF(ISNUMBER(F1369),F1369,1)*IF(ISNUMBER(E1369),E1369,1)</f>
        <v>0</v>
      </c>
      <c r="AJ1369" s="140">
        <f t="shared" si="2783"/>
        <v>0</v>
      </c>
      <c r="AK1369" s="145">
        <f t="array" ref="AK1369">IFERROR(I1369*INDEX(F!$P$21:$AB$33, MATCH(G1369/$AH1369, F!$O$21:$O$33,1), MATCH(E1369, F!$P$20:$AB$20,1)), 0 ) +IFERROR( M1369*INDEX(F!$P$21:$AB$33, MATCH(K1369/$AH1369, F!$O$21:$O$33,1), MATCH(E1369, F!$P$20:$AB$20,1)),0) +  IFERROR( Q1369*INDEX(F!$P$21:$AB$33, MATCH(O1369/$AH1369, F!$O$21:$O$33,1), MATCH(E1369, F!$P$20:$AB$20,1)), 0) + IFERROR( U1369*INDEX(F!$P$21:$AB$33, MATCH(S1369/$AH1369, F!$O$21:$O$33,1), MATCH(E1369, F!$P$20:$AB$20,1)),0)  + IFERROR(Y1369*INDEX(F!$P$21:$AB$33, MATCH(W1369/$AH1369, F!$O$21:$O$33,1), MATCH(E1369, F!$P$20:$AB$20,1)),0)  + IFERROR( AC1369*INDEX(F!$P$21:$AB$33, MATCH(AA1369/$AH1369, F!$O$21:$O$33,1), MATCH(E1369, F!$P$20:$AB$20,1)),)</f>
        <v>0</v>
      </c>
      <c r="AL1369" s="59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</row>
    <row r="1370" ht="15.75" hidden="1" customHeight="1">
      <c r="A1370" s="59"/>
      <c r="B1370" s="173" t="str">
        <f t="shared" ref="B1370:F1370" si="2786">IF(B1314="","",B1314)</f>
        <v>Средняя</v>
      </c>
      <c r="C1370" s="174" t="str">
        <f t="shared" si="2786"/>
        <v>ОФП</v>
      </c>
      <c r="D1370" s="175" t="str">
        <f t="shared" si="2786"/>
        <v>Бицепс стоя</v>
      </c>
      <c r="E1370" s="48">
        <f t="shared" si="2786"/>
        <v>0.5</v>
      </c>
      <c r="F1370" s="176" t="str">
        <f t="shared" si="2786"/>
        <v/>
      </c>
      <c r="G1370" s="177" t="str">
        <f t="shared" si="2774"/>
        <v/>
      </c>
      <c r="H1370" s="178"/>
      <c r="I1370" s="178"/>
      <c r="J1370" s="179"/>
      <c r="K1370" s="177" t="str">
        <f t="shared" si="2775"/>
        <v/>
      </c>
      <c r="L1370" s="178"/>
      <c r="M1370" s="178"/>
      <c r="N1370" s="179"/>
      <c r="O1370" s="177" t="str">
        <f t="shared" si="2776"/>
        <v/>
      </c>
      <c r="P1370" s="178"/>
      <c r="Q1370" s="178"/>
      <c r="R1370" s="179"/>
      <c r="S1370" s="177" t="str">
        <f t="shared" si="2777"/>
        <v/>
      </c>
      <c r="T1370" s="178"/>
      <c r="U1370" s="178"/>
      <c r="V1370" s="179"/>
      <c r="W1370" s="177" t="str">
        <f t="shared" si="2778"/>
        <v/>
      </c>
      <c r="X1370" s="178"/>
      <c r="Y1370" s="178"/>
      <c r="Z1370" s="179"/>
      <c r="AA1370" s="177" t="str">
        <f t="shared" si="2779"/>
        <v/>
      </c>
      <c r="AB1370" s="178"/>
      <c r="AC1370" s="178"/>
      <c r="AD1370" s="179"/>
      <c r="AE1370" s="180">
        <f t="shared" si="2780"/>
        <v>0</v>
      </c>
      <c r="AF1370" s="181">
        <f t="shared" si="2742"/>
        <v>0</v>
      </c>
      <c r="AG1370" s="182">
        <f t="shared" si="2781"/>
        <v>0</v>
      </c>
      <c r="AH1370" s="76" t="str">
        <f t="shared" si="2782"/>
        <v/>
      </c>
      <c r="AI1370" s="181">
        <f> ( IF(ISNUMBER(G1370), VLOOKUP(G1370/$AH1370,F!$A1:$B101,2,1)*G1370*$H1370*$I1370,0)+IF(ISNUMBER(K1370), VLOOKUP(K1370/$AH1370,F!$A1:$B101,2,1)*K1370*$L1370*$M1370,0)+IF(ISNUMBER(O1370), VLOOKUP(O1370/$AH1370,F!$A1:$B101,2,1)*O1370*$P1370*$Q1370,0)+IF(ISNUMBER(S1370), VLOOKUP(S1370/$AH1370,F!$A1:$B101,2,1)*S1370*$T1370*$U1370,0)+IF(ISNUMBER(W1370), VLOOKUP(W1370/$AH1370,F!$A1:$B101,2,1)*W1370*$X1370*$Y1370,0)+IF(ISNUMBER(AA1370), VLOOKUP(AA1370/$AH1370,F!$A1:$B101,2,1)*AA1370*$AB1370*$AC1370,0))*IF(ISNUMBER(F1370),F1370,1)*IF(ISNUMBER(E1370),E1370,1)</f>
        <v>0</v>
      </c>
      <c r="AJ1370" s="178">
        <f t="shared" si="2783"/>
        <v>0</v>
      </c>
      <c r="AK1370" s="183">
        <f t="array" ref="AK1370">IFERROR(I1370*INDEX(F!$P$21:$AB$33, MATCH(G1370/$AH1370, F!$O$21:$O$33,1), MATCH(E1370, F!$P$20:$AB$20,1)), 0 ) +IFERROR( M1370*INDEX(F!$P$21:$AB$33, MATCH(K1370/$AH1370, F!$O$21:$O$33,1), MATCH(E1370, F!$P$20:$AB$20,1)),0) +  IFERROR( Q1370*INDEX(F!$P$21:$AB$33, MATCH(O1370/$AH1370, F!$O$21:$O$33,1), MATCH(E1370, F!$P$20:$AB$20,1)), 0) + IFERROR( U1370*INDEX(F!$P$21:$AB$33, MATCH(S1370/$AH1370, F!$O$21:$O$33,1), MATCH(E1370, F!$P$20:$AB$20,1)),0)  + IFERROR(Y1370*INDEX(F!$P$21:$AB$33, MATCH(W1370/$AH1370, F!$O$21:$O$33,1), MATCH(E1370, F!$P$20:$AB$20,1)),0)  + IFERROR( AC1370*INDEX(F!$P$21:$AB$33, MATCH(AA1370/$AH1370, F!$O$21:$O$33,1), MATCH(E1370, F!$P$20:$AB$20,1)),)</f>
        <v>0</v>
      </c>
      <c r="AL1370" s="59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</row>
    <row r="1371" ht="15.75" hidden="1" customHeight="1">
      <c r="A1371" s="59"/>
      <c r="B1371" s="135" t="str">
        <f t="shared" ref="B1371:F1371" si="2787">IF(B1315="","",B1315)</f>
        <v/>
      </c>
      <c r="C1371" s="136" t="str">
        <f t="shared" si="2787"/>
        <v/>
      </c>
      <c r="D1371" s="137" t="str">
        <f t="shared" si="2787"/>
        <v/>
      </c>
      <c r="E1371" s="48" t="str">
        <f t="shared" si="2787"/>
        <v/>
      </c>
      <c r="F1371" s="138" t="str">
        <f t="shared" si="2787"/>
        <v/>
      </c>
      <c r="G1371" s="139" t="str">
        <f t="shared" si="2774"/>
        <v/>
      </c>
      <c r="H1371" s="140"/>
      <c r="I1371" s="140"/>
      <c r="J1371" s="141"/>
      <c r="K1371" s="139" t="str">
        <f t="shared" si="2775"/>
        <v/>
      </c>
      <c r="L1371" s="140"/>
      <c r="M1371" s="140"/>
      <c r="N1371" s="141"/>
      <c r="O1371" s="139" t="str">
        <f t="shared" si="2776"/>
        <v/>
      </c>
      <c r="P1371" s="140"/>
      <c r="Q1371" s="140"/>
      <c r="R1371" s="141"/>
      <c r="S1371" s="139" t="str">
        <f t="shared" si="2777"/>
        <v/>
      </c>
      <c r="T1371" s="140"/>
      <c r="U1371" s="140"/>
      <c r="V1371" s="141"/>
      <c r="W1371" s="139" t="str">
        <f t="shared" si="2778"/>
        <v/>
      </c>
      <c r="X1371" s="140"/>
      <c r="Y1371" s="140"/>
      <c r="Z1371" s="141"/>
      <c r="AA1371" s="139" t="str">
        <f t="shared" si="2779"/>
        <v/>
      </c>
      <c r="AB1371" s="140"/>
      <c r="AC1371" s="140"/>
      <c r="AD1371" s="141"/>
      <c r="AE1371" s="142">
        <f t="shared" si="2780"/>
        <v>0</v>
      </c>
      <c r="AF1371" s="143">
        <f t="shared" si="2742"/>
        <v>0</v>
      </c>
      <c r="AG1371" s="144">
        <f t="shared" si="2781"/>
        <v>0</v>
      </c>
      <c r="AH1371" s="76" t="str">
        <f t="shared" si="2782"/>
        <v/>
      </c>
      <c r="AI1371" s="143">
        <f> ( IF(ISNUMBER(G1371), VLOOKUP(G1371/$AH1371,F!$A1:$B101,2,1)*G1371*$H1371*$I1371,0)+IF(ISNUMBER(K1371), VLOOKUP(K1371/$AH1371,F!$A1:$B101,2,1)*K1371*$L1371*$M1371,0)+IF(ISNUMBER(O1371), VLOOKUP(O1371/$AH1371,F!$A1:$B101,2,1)*O1371*$P1371*$Q1371,0)+IF(ISNUMBER(S1371), VLOOKUP(S1371/$AH1371,F!$A1:$B101,2,1)*S1371*$T1371*$U1371,0)+IF(ISNUMBER(W1371), VLOOKUP(W1371/$AH1371,F!$A1:$B101,2,1)*W1371*$X1371*$Y1371,0)+IF(ISNUMBER(AA1371), VLOOKUP(AA1371/$AH1371,F!$A1:$B101,2,1)*AA1371*$AB1371*$AC1371,0))*IF(ISNUMBER(F1371),F1371,1)*IF(ISNUMBER(E1371),E1371,1)</f>
        <v>0</v>
      </c>
      <c r="AJ1371" s="140">
        <f t="shared" si="2783"/>
        <v>0</v>
      </c>
      <c r="AK1371" s="145">
        <f t="array" ref="AK1371">IFERROR(I1371*INDEX(F!$P$21:$AB$33, MATCH(G1371/$AH1371, F!$O$21:$O$33,1), MATCH(E1371, F!$P$20:$AB$20,1)), 0 ) +IFERROR( M1371*INDEX(F!$P$21:$AB$33, MATCH(K1371/$AH1371, F!$O$21:$O$33,1), MATCH(E1371, F!$P$20:$AB$20,1)),0) +  IFERROR( Q1371*INDEX(F!$P$21:$AB$33, MATCH(O1371/$AH1371, F!$O$21:$O$33,1), MATCH(E1371, F!$P$20:$AB$20,1)), 0) + IFERROR( U1371*INDEX(F!$P$21:$AB$33, MATCH(S1371/$AH1371, F!$O$21:$O$33,1), MATCH(E1371, F!$P$20:$AB$20,1)),0)  + IFERROR(Y1371*INDEX(F!$P$21:$AB$33, MATCH(W1371/$AH1371, F!$O$21:$O$33,1), MATCH(E1371, F!$P$20:$AB$20,1)),0)  + IFERROR( AC1371*INDEX(F!$P$21:$AB$33, MATCH(AA1371/$AH1371, F!$O$21:$O$33,1), MATCH(E1371, F!$P$20:$AB$20,1)),)</f>
        <v>0</v>
      </c>
      <c r="AL1371" s="59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</row>
    <row r="1372" ht="15.75" hidden="1" customHeight="1">
      <c r="A1372" s="59"/>
      <c r="B1372" s="173" t="str">
        <f t="shared" ref="B1372:F1372" si="2788">IF(B1316="","",B1316)</f>
        <v/>
      </c>
      <c r="C1372" s="174" t="str">
        <f t="shared" si="2788"/>
        <v/>
      </c>
      <c r="D1372" s="175" t="str">
        <f t="shared" si="2788"/>
        <v/>
      </c>
      <c r="E1372" s="48" t="str">
        <f t="shared" si="2788"/>
        <v/>
      </c>
      <c r="F1372" s="176" t="str">
        <f t="shared" si="2788"/>
        <v/>
      </c>
      <c r="G1372" s="177" t="str">
        <f t="shared" si="2774"/>
        <v/>
      </c>
      <c r="H1372" s="178"/>
      <c r="I1372" s="178"/>
      <c r="J1372" s="179"/>
      <c r="K1372" s="177" t="str">
        <f t="shared" si="2775"/>
        <v/>
      </c>
      <c r="L1372" s="178"/>
      <c r="M1372" s="178"/>
      <c r="N1372" s="179"/>
      <c r="O1372" s="177" t="str">
        <f t="shared" si="2776"/>
        <v/>
      </c>
      <c r="P1372" s="178"/>
      <c r="Q1372" s="178"/>
      <c r="R1372" s="179"/>
      <c r="S1372" s="177" t="str">
        <f t="shared" si="2777"/>
        <v/>
      </c>
      <c r="T1372" s="178"/>
      <c r="U1372" s="178"/>
      <c r="V1372" s="179"/>
      <c r="W1372" s="177" t="str">
        <f t="shared" si="2778"/>
        <v/>
      </c>
      <c r="X1372" s="178"/>
      <c r="Y1372" s="178"/>
      <c r="Z1372" s="179"/>
      <c r="AA1372" s="177" t="str">
        <f t="shared" si="2779"/>
        <v/>
      </c>
      <c r="AB1372" s="178"/>
      <c r="AC1372" s="178"/>
      <c r="AD1372" s="179"/>
      <c r="AE1372" s="180">
        <f t="shared" si="2780"/>
        <v>0</v>
      </c>
      <c r="AF1372" s="181">
        <f t="shared" si="2742"/>
        <v>0</v>
      </c>
      <c r="AG1372" s="182">
        <f t="shared" si="2781"/>
        <v>0</v>
      </c>
      <c r="AH1372" s="76" t="str">
        <f t="shared" si="2782"/>
        <v/>
      </c>
      <c r="AI1372" s="181">
        <f> ( IF(ISNUMBER(G1372), VLOOKUP(G1372/$AH1372,F!$A1:$B101,2,1)*G1372*$H1372*$I1372,0)+IF(ISNUMBER(K1372), VLOOKUP(K1372/$AH1372,F!$A1:$B101,2,1)*K1372*$L1372*$M1372,0)+IF(ISNUMBER(O1372), VLOOKUP(O1372/$AH1372,F!$A1:$B101,2,1)*O1372*$P1372*$Q1372,0)+IF(ISNUMBER(S1372), VLOOKUP(S1372/$AH1372,F!$A1:$B101,2,1)*S1372*$T1372*$U1372,0)+IF(ISNUMBER(W1372), VLOOKUP(W1372/$AH1372,F!$A1:$B101,2,1)*W1372*$X1372*$Y1372,0)+IF(ISNUMBER(AA1372), VLOOKUP(AA1372/$AH1372,F!$A1:$B101,2,1)*AA1372*$AB1372*$AC1372,0))*IF(ISNUMBER(F1372),F1372,1)*IF(ISNUMBER(E1372),E1372,1)</f>
        <v>0</v>
      </c>
      <c r="AJ1372" s="178">
        <f t="shared" si="2783"/>
        <v>0</v>
      </c>
      <c r="AK1372" s="183">
        <f t="array" ref="AK1372">IFERROR(I1372*INDEX(F!$P$21:$AB$33, MATCH(G1372/$AH1372, F!$O$21:$O$33,1), MATCH(E1372, F!$P$20:$AB$20,1)), 0 ) +IFERROR( M1372*INDEX(F!$P$21:$AB$33, MATCH(K1372/$AH1372, F!$O$21:$O$33,1), MATCH(E1372, F!$P$20:$AB$20,1)),0) +  IFERROR( Q1372*INDEX(F!$P$21:$AB$33, MATCH(O1372/$AH1372, F!$O$21:$O$33,1), MATCH(E1372, F!$P$20:$AB$20,1)), 0) + IFERROR( U1372*INDEX(F!$P$21:$AB$33, MATCH(S1372/$AH1372, F!$O$21:$O$33,1), MATCH(E1372, F!$P$20:$AB$20,1)),0)  + IFERROR(Y1372*INDEX(F!$P$21:$AB$33, MATCH(W1372/$AH1372, F!$O$21:$O$33,1), MATCH(E1372, F!$P$20:$AB$20,1)),0)  + IFERROR( AC1372*INDEX(F!$P$21:$AB$33, MATCH(AA1372/$AH1372, F!$O$21:$O$33,1), MATCH(E1372, F!$P$20:$AB$20,1)),)</f>
        <v>0</v>
      </c>
      <c r="AL1372" s="59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</row>
    <row r="1373" ht="15.75" hidden="1" customHeight="1">
      <c r="A1373" s="59"/>
      <c r="B1373" s="135" t="str">
        <f t="shared" ref="B1373:F1373" si="2789">IF(B1317="","",B1317)</f>
        <v/>
      </c>
      <c r="C1373" s="136" t="str">
        <f t="shared" si="2789"/>
        <v/>
      </c>
      <c r="D1373" s="137" t="str">
        <f t="shared" si="2789"/>
        <v/>
      </c>
      <c r="E1373" s="48" t="str">
        <f t="shared" si="2789"/>
        <v/>
      </c>
      <c r="F1373" s="138" t="str">
        <f t="shared" si="2789"/>
        <v/>
      </c>
      <c r="G1373" s="139" t="str">
        <f t="shared" si="2774"/>
        <v/>
      </c>
      <c r="H1373" s="140"/>
      <c r="I1373" s="140"/>
      <c r="J1373" s="141"/>
      <c r="K1373" s="139" t="str">
        <f t="shared" si="2775"/>
        <v/>
      </c>
      <c r="L1373" s="140"/>
      <c r="M1373" s="140"/>
      <c r="N1373" s="141"/>
      <c r="O1373" s="139" t="str">
        <f t="shared" si="2776"/>
        <v/>
      </c>
      <c r="P1373" s="140"/>
      <c r="Q1373" s="140"/>
      <c r="R1373" s="141"/>
      <c r="S1373" s="139" t="str">
        <f t="shared" si="2777"/>
        <v/>
      </c>
      <c r="T1373" s="140"/>
      <c r="U1373" s="140"/>
      <c r="V1373" s="141"/>
      <c r="W1373" s="139" t="str">
        <f t="shared" si="2778"/>
        <v/>
      </c>
      <c r="X1373" s="140"/>
      <c r="Y1373" s="140"/>
      <c r="Z1373" s="141"/>
      <c r="AA1373" s="139" t="str">
        <f t="shared" si="2779"/>
        <v/>
      </c>
      <c r="AB1373" s="140"/>
      <c r="AC1373" s="140"/>
      <c r="AD1373" s="141"/>
      <c r="AE1373" s="142">
        <f t="shared" si="2780"/>
        <v>0</v>
      </c>
      <c r="AF1373" s="143">
        <f t="shared" si="2742"/>
        <v>0</v>
      </c>
      <c r="AG1373" s="144">
        <f t="shared" si="2781"/>
        <v>0</v>
      </c>
      <c r="AH1373" s="76" t="str">
        <f t="shared" si="2782"/>
        <v/>
      </c>
      <c r="AI1373" s="143">
        <f> ( IF(ISNUMBER(G1373), VLOOKUP(G1373/$AH1373,F!$A1:$B101,2,1)*G1373*$H1373*$I1373,0)+IF(ISNUMBER(K1373), VLOOKUP(K1373/$AH1373,F!$A1:$B101,2,1)*K1373*$L1373*$M1373,0)+IF(ISNUMBER(O1373), VLOOKUP(O1373/$AH1373,F!$A1:$B101,2,1)*O1373*$P1373*$Q1373,0)+IF(ISNUMBER(S1373), VLOOKUP(S1373/$AH1373,F!$A1:$B101,2,1)*S1373*$T1373*$U1373,0)+IF(ISNUMBER(W1373), VLOOKUP(W1373/$AH1373,F!$A1:$B101,2,1)*W1373*$X1373*$Y1373,0)+IF(ISNUMBER(AA1373), VLOOKUP(AA1373/$AH1373,F!$A1:$B101,2,1)*AA1373*$AB1373*$AC1373,0))*IF(ISNUMBER(F1373),F1373,1)*IF(ISNUMBER(E1373),E1373,1)</f>
        <v>0</v>
      </c>
      <c r="AJ1373" s="140">
        <f t="shared" si="2783"/>
        <v>0</v>
      </c>
      <c r="AK1373" s="145">
        <f t="array" ref="AK1373">IFERROR(I1373*INDEX(F!$P$21:$AB$33, MATCH(G1373/$AH1373, F!$O$21:$O$33,1), MATCH(E1373, F!$P$20:$AB$20,1)), 0 ) +IFERROR( M1373*INDEX(F!$P$21:$AB$33, MATCH(K1373/$AH1373, F!$O$21:$O$33,1), MATCH(E1373, F!$P$20:$AB$20,1)),0) +  IFERROR( Q1373*INDEX(F!$P$21:$AB$33, MATCH(O1373/$AH1373, F!$O$21:$O$33,1), MATCH(E1373, F!$P$20:$AB$20,1)), 0) + IFERROR( U1373*INDEX(F!$P$21:$AB$33, MATCH(S1373/$AH1373, F!$O$21:$O$33,1), MATCH(E1373, F!$P$20:$AB$20,1)),0)  + IFERROR(Y1373*INDEX(F!$P$21:$AB$33, MATCH(W1373/$AH1373, F!$O$21:$O$33,1), MATCH(E1373, F!$P$20:$AB$20,1)),0)  + IFERROR( AC1373*INDEX(F!$P$21:$AB$33, MATCH(AA1373/$AH1373, F!$O$21:$O$33,1), MATCH(E1373, F!$P$20:$AB$20,1)),)</f>
        <v>0</v>
      </c>
      <c r="AL1373" s="59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</row>
    <row r="1374" ht="15.75" hidden="1" customHeight="1">
      <c r="A1374" s="98"/>
      <c r="B1374" s="188"/>
      <c r="C1374" s="189"/>
      <c r="D1374" s="190"/>
      <c r="E1374" s="102">
        <f>ROUND(IFERROR(SUMPRODUCT(AJ1366:AJ1373,E1366:E1373)/AJ1374,0),3)</f>
        <v>0</v>
      </c>
      <c r="F1374" s="191"/>
      <c r="G1374" s="192"/>
      <c r="H1374" s="193"/>
      <c r="I1374" s="193"/>
      <c r="J1374" s="194"/>
      <c r="K1374" s="192"/>
      <c r="L1374" s="193"/>
      <c r="M1374" s="193"/>
      <c r="N1374" s="194"/>
      <c r="O1374" s="192"/>
      <c r="P1374" s="193"/>
      <c r="Q1374" s="193"/>
      <c r="R1374" s="194"/>
      <c r="S1374" s="192"/>
      <c r="T1374" s="193"/>
      <c r="U1374" s="193"/>
      <c r="V1374" s="194"/>
      <c r="W1374" s="192"/>
      <c r="X1374" s="193"/>
      <c r="Y1374" s="193"/>
      <c r="Z1374" s="194"/>
      <c r="AA1374" s="192"/>
      <c r="AB1374" s="193"/>
      <c r="AC1374" s="193"/>
      <c r="AD1374" s="194"/>
      <c r="AE1374" s="107">
        <f>SUM(AE1366:AE1373)</f>
        <v>0</v>
      </c>
      <c r="AF1374" s="108">
        <f t="shared" si="2742"/>
        <v>0</v>
      </c>
      <c r="AG1374" s="109">
        <f>IFERROR(  SUMPRODUCT(AG1366:AG1373,AJ1366:AJ1373)/AJ1374,0)</f>
        <v>0</v>
      </c>
      <c r="AH1374" s="157"/>
      <c r="AI1374" s="111">
        <f t="shared" ref="AI1374:AJ1374" si="2790">SUM(AI1366:AI1373)</f>
        <v>0</v>
      </c>
      <c r="AJ1374" s="111">
        <f t="shared" si="2790"/>
        <v>0</v>
      </c>
      <c r="AK1374" s="112">
        <f>IF(SUM(AK1366:AK1373)=0,TIME(,0,),TIME(,SUM(AK1366:AK1373)+F!$V$37,))</f>
        <v>0</v>
      </c>
      <c r="AL1374" s="98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</row>
    <row r="1375" ht="15.75" hidden="1" customHeight="1">
      <c r="A1375" s="25">
        <f>A1376</f>
        <v>43953</v>
      </c>
      <c r="B1375" s="26" t="str">
        <f t="shared" ref="B1375:F1375" si="2791">IF(B1319="","",B1319)</f>
        <v/>
      </c>
      <c r="C1375" s="27" t="str">
        <f t="shared" si="2791"/>
        <v/>
      </c>
      <c r="D1375" s="28" t="str">
        <f t="shared" si="2791"/>
        <v/>
      </c>
      <c r="E1375" s="29" t="str">
        <f t="shared" si="2791"/>
        <v/>
      </c>
      <c r="F1375" s="30" t="str">
        <f t="shared" si="2791"/>
        <v/>
      </c>
      <c r="G1375" s="31" t="str">
        <f t="shared" ref="G1375:G1382" si="2793">IF(J1375&lt;&gt;0, IFERROR(IF( $F1375=2,  MROUND($AH1375*J1375,1),    IF( OR($F1375="",$F1375=1),   MROUND($AH1375*J1375,2.5),  MROUND($AH1375*J1375, 0.1))), "" ), "")</f>
        <v/>
      </c>
      <c r="H1375" s="32"/>
      <c r="I1375" s="32"/>
      <c r="J1375" s="33"/>
      <c r="K1375" s="31" t="str">
        <f t="shared" ref="K1375:K1382" si="2794">IF(N1375&lt;&gt;0, IFERROR(IF( $F1375=2,  MROUND($AH1375*N1375,1),    IF( OR($F1375="",$F1375=1),   MROUND($AH1375*N1375,2.5),  MROUND($AH1375*N1375, 0.1))), "" ), "")</f>
        <v/>
      </c>
      <c r="L1375" s="32"/>
      <c r="M1375" s="32"/>
      <c r="N1375" s="33"/>
      <c r="O1375" s="31" t="str">
        <f t="shared" ref="O1375:O1382" si="2795">IF(R1375&lt;&gt;0, IFERROR(IF( $F1375=2,  MROUND($AH1375*R1375,1),    IF( OR($F1375="",$F1375=1),   MROUND($AH1375*R1375,2.5),  MROUND($AH1375*R1375, 0.1))), "" ), "")</f>
        <v/>
      </c>
      <c r="P1375" s="32"/>
      <c r="Q1375" s="32"/>
      <c r="R1375" s="33"/>
      <c r="S1375" s="31" t="str">
        <f t="shared" ref="S1375:S1382" si="2796">IF(V1375&lt;&gt;0, IFERROR(IF( $F1375=2,  MROUND($AH1375*V1375,1),    IF( OR($F1375="",$F1375=1),   MROUND($AH1375*V1375,2.5),  MROUND($AH1375*V1375, 0.1))), "" ), "")</f>
        <v/>
      </c>
      <c r="T1375" s="32"/>
      <c r="U1375" s="32"/>
      <c r="V1375" s="33"/>
      <c r="W1375" s="31" t="str">
        <f t="shared" ref="W1375:W1382" si="2797">IF(Z1375&lt;&gt;0, IFERROR(IF( $F1375=2,  MROUND($AH1375*Z1375,1),    IF( OR($F1375="",$F1375=1),   MROUND($AH1375*Z1375,2.5),  MROUND($AH1375*Z1375, 0.1))), "" ), "")</f>
        <v/>
      </c>
      <c r="X1375" s="32"/>
      <c r="Y1375" s="32"/>
      <c r="Z1375" s="33"/>
      <c r="AA1375" s="31" t="str">
        <f t="shared" ref="AA1375:AA1382" si="2798">IF(AD1375&lt;&gt;0, IFERROR(IF( $F1375=2,  MROUND($AH1375*AD1375,1),    IF( OR($F1375="",$F1375=1),   MROUND($AH1375*AD1375,2.5),  MROUND($AH1375*AD1375, 0.1))), "" ), "")</f>
        <v/>
      </c>
      <c r="AB1375" s="32"/>
      <c r="AC1375" s="32"/>
      <c r="AD1375" s="33"/>
      <c r="AE1375" s="35">
        <f t="shared" ref="AE1375:AE1382" si="2799">(IF(ISNUMBER(G1375),G1375,0)*H1375*I1375+IF(ISNUMBER(K1375),K1375,1)*L1375*M1375+IF(ISNUMBER(O1375),O1375,1)*P1375*Q1375+IF(ISNUMBER(S1375),S1375,1)*T1375*U1375+IF(ISNUMBER(W1375),W1375,1)*X1375*Y1375+IF(ISNUMBER(AA1375),AA1375,1)*AB1375*AC1375)*IF(ISNUMBER(F1375),F1375,1)</f>
        <v>0</v>
      </c>
      <c r="AF1375" s="36">
        <f t="shared" si="2742"/>
        <v>0</v>
      </c>
      <c r="AG1375" s="195">
        <f t="shared" ref="AG1375:AG1382" si="2800">IFERROR((AF1375/(AH1375*IF(ISNUMBER(F1375),F1375,1))),0)</f>
        <v>0</v>
      </c>
      <c r="AH1375" s="169" t="str">
        <f t="shared" ref="AH1375:AH1382" si="2801">IF(ISNUMBER(AH1319), AH1319+(AH1319*$AH$1346),"")</f>
        <v/>
      </c>
      <c r="AI1375" s="196">
        <f> ( IF(ISNUMBER(G1375), VLOOKUP(G1375/$AH1375,F!$A1:$B101,2,1)*G1375*$H1375*$I1375,0)+IF(ISNUMBER(K1375), VLOOKUP(K1375/$AH1375,F!$A1:$B101,2,1)*K1375*$L1375*$M1375,0)+IF(ISNUMBER(O1375), VLOOKUP(O1375/$AH1375,F!$A1:$B101,2,1)*O1375*$P1375*$Q1375,0)+IF(ISNUMBER(S1375), VLOOKUP(S1375/$AH1375,F!$A1:$B101,2,1)*S1375*$T1375*$U1375,0)+IF(ISNUMBER(W1375), VLOOKUP(W1375/$AH1375,F!$A1:$B101,2,1)*W1375*$X1375*$Y1375,0)+IF(ISNUMBER(AA1375), VLOOKUP(AA1375/$AH1375,F!$A1:$B101,2,1)*AA1375*$AB1375*$AC1375,0))*IF(ISNUMBER(F1375),F1375,1)*IF(ISNUMBER(E1375),E1375,1)</f>
        <v>0</v>
      </c>
      <c r="AJ1375" s="40">
        <f t="shared" ref="AJ1375:AJ1382" si="2802">H1375*I1375+L1375*M1375+P1375*Q1375+T1375*U1375+X1375*Y1375+AB1375*AC1375</f>
        <v>0</v>
      </c>
      <c r="AK1375" s="41">
        <f t="array" ref="AK1375">IFERROR(I1375*INDEX(F!$P$21:$AB$33, MATCH(G1375/$AH1375, F!$O$21:$O$33,1), MATCH(E1375, F!$P$20:$AB$20,1)), 0 ) +IFERROR( M1375*INDEX(F!$P$21:$AB$33, MATCH(K1375/$AH1375, F!$O$21:$O$33,1), MATCH(E1375, F!$P$20:$AB$20,1)),0) +  IFERROR( Q1375*INDEX(F!$P$21:$AB$33, MATCH(O1375/$AH1375, F!$O$21:$O$33,1), MATCH(E1375, F!$P$20:$AB$20,1)), 0) + IFERROR( U1375*INDEX(F!$P$21:$AB$33, MATCH(S1375/$AH1375, F!$O$21:$O$33,1), MATCH(E1375, F!$P$20:$AB$20,1)),0)  + IFERROR(Y1375*INDEX(F!$P$21:$AB$33, MATCH(W1375/$AH1375, F!$O$21:$O$33,1), MATCH(E1375, F!$P$20:$AB$20,1)),0)  + IFERROR( AC1375*INDEX(F!$P$21:$AB$33, MATCH(AA1375/$AH1375, F!$O$21:$O$33,1), MATCH(E1375, F!$P$20:$AB$20,1)),)</f>
        <v>0</v>
      </c>
      <c r="AL1375" s="42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</row>
    <row r="1376" ht="15.75" hidden="1" customHeight="1">
      <c r="A1376" s="44">
        <f>A1320+A1290</f>
        <v>43953</v>
      </c>
      <c r="B1376" s="45" t="str">
        <f t="shared" ref="B1376:F1376" si="2792">IF(B1320="","",B1320)</f>
        <v/>
      </c>
      <c r="C1376" s="46" t="str">
        <f t="shared" si="2792"/>
        <v/>
      </c>
      <c r="D1376" s="47" t="str">
        <f t="shared" si="2792"/>
        <v/>
      </c>
      <c r="E1376" s="48" t="str">
        <f t="shared" si="2792"/>
        <v/>
      </c>
      <c r="F1376" s="49" t="str">
        <f t="shared" si="2792"/>
        <v/>
      </c>
      <c r="G1376" s="50" t="str">
        <f t="shared" si="2793"/>
        <v/>
      </c>
      <c r="H1376" s="51"/>
      <c r="I1376" s="51"/>
      <c r="J1376" s="52"/>
      <c r="K1376" s="50" t="str">
        <f t="shared" si="2794"/>
        <v/>
      </c>
      <c r="L1376" s="51"/>
      <c r="M1376" s="51"/>
      <c r="N1376" s="52"/>
      <c r="O1376" s="50" t="str">
        <f t="shared" si="2795"/>
        <v/>
      </c>
      <c r="P1376" s="51"/>
      <c r="Q1376" s="51"/>
      <c r="R1376" s="52"/>
      <c r="S1376" s="50" t="str">
        <f t="shared" si="2796"/>
        <v/>
      </c>
      <c r="T1376" s="51"/>
      <c r="U1376" s="51"/>
      <c r="V1376" s="52"/>
      <c r="W1376" s="50" t="str">
        <f t="shared" si="2797"/>
        <v/>
      </c>
      <c r="X1376" s="51"/>
      <c r="Y1376" s="51"/>
      <c r="Z1376" s="52"/>
      <c r="AA1376" s="50" t="str">
        <f t="shared" si="2798"/>
        <v/>
      </c>
      <c r="AB1376" s="51"/>
      <c r="AC1376" s="51"/>
      <c r="AD1376" s="52"/>
      <c r="AE1376" s="53">
        <f t="shared" si="2799"/>
        <v>0</v>
      </c>
      <c r="AF1376" s="54">
        <f t="shared" si="2742"/>
        <v>0</v>
      </c>
      <c r="AG1376" s="75">
        <f t="shared" si="2800"/>
        <v>0</v>
      </c>
      <c r="AH1376" s="76" t="str">
        <f t="shared" si="2801"/>
        <v/>
      </c>
      <c r="AI1376" s="77">
        <f> ( IF(ISNUMBER(G1376), VLOOKUP(G1376/$AH1376,F!$A1:$B101,2,1)*G1376*$H1376*$I1376,0)+IF(ISNUMBER(K1376), VLOOKUP(K1376/$AH1376,F!$A1:$B101,2,1)*K1376*$L1376*$M1376,0)+IF(ISNUMBER(O1376), VLOOKUP(O1376/$AH1376,F!$A1:$B101,2,1)*O1376*$P1376*$Q1376,0)+IF(ISNUMBER(S1376), VLOOKUP(S1376/$AH1376,F!$A1:$B101,2,1)*S1376*$T1376*$U1376,0)+IF(ISNUMBER(W1376), VLOOKUP(W1376/$AH1376,F!$A1:$B101,2,1)*W1376*$X1376*$Y1376,0)+IF(ISNUMBER(AA1376), VLOOKUP(AA1376/$AH1376,F!$A1:$B101,2,1)*AA1376*$AB1376*$AC1376,0))*IF(ISNUMBER(F1376),F1376,1)*IF(ISNUMBER(E1376),E1376,1)</f>
        <v>0</v>
      </c>
      <c r="AJ1376" s="57">
        <f t="shared" si="2802"/>
        <v>0</v>
      </c>
      <c r="AK1376" s="58">
        <f t="array" ref="AK1376">IFERROR(I1376*INDEX(F!$P$21:$AB$33, MATCH(G1376/$AH1376, F!$O$21:$O$33,1), MATCH(E1376, F!$P$20:$AB$20,1)), 0 ) +IFERROR( M1376*INDEX(F!$P$21:$AB$33, MATCH(K1376/$AH1376, F!$O$21:$O$33,1), MATCH(E1376, F!$P$20:$AB$20,1)),0) +  IFERROR( Q1376*INDEX(F!$P$21:$AB$33, MATCH(O1376/$AH1376, F!$O$21:$O$33,1), MATCH(E1376, F!$P$20:$AB$20,1)), 0) + IFERROR( U1376*INDEX(F!$P$21:$AB$33, MATCH(S1376/$AH1376, F!$O$21:$O$33,1), MATCH(E1376, F!$P$20:$AB$20,1)),0)  + IFERROR(Y1376*INDEX(F!$P$21:$AB$33, MATCH(W1376/$AH1376, F!$O$21:$O$33,1), MATCH(E1376, F!$P$20:$AB$20,1)),0)  + IFERROR( AC1376*INDEX(F!$P$21:$AB$33, MATCH(AA1376/$AH1376, F!$O$21:$O$33,1), MATCH(E1376, F!$P$20:$AB$20,1)),)</f>
        <v>0</v>
      </c>
      <c r="AL1376" s="59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</row>
    <row r="1377" ht="15.75" hidden="1" customHeight="1">
      <c r="A1377" s="59"/>
      <c r="B1377" s="60" t="str">
        <f t="shared" ref="B1377:F1377" si="2803">IF(B1321="","",B1321)</f>
        <v/>
      </c>
      <c r="C1377" s="61" t="str">
        <f t="shared" si="2803"/>
        <v/>
      </c>
      <c r="D1377" s="62" t="str">
        <f t="shared" si="2803"/>
        <v/>
      </c>
      <c r="E1377" s="48" t="str">
        <f t="shared" si="2803"/>
        <v/>
      </c>
      <c r="F1377" s="63" t="str">
        <f t="shared" si="2803"/>
        <v/>
      </c>
      <c r="G1377" s="64" t="str">
        <f t="shared" si="2793"/>
        <v/>
      </c>
      <c r="H1377" s="34"/>
      <c r="I1377" s="34"/>
      <c r="J1377" s="65"/>
      <c r="K1377" s="64" t="str">
        <f t="shared" si="2794"/>
        <v/>
      </c>
      <c r="L1377" s="34"/>
      <c r="M1377" s="34"/>
      <c r="N1377" s="65"/>
      <c r="O1377" s="64" t="str">
        <f t="shared" si="2795"/>
        <v/>
      </c>
      <c r="P1377" s="34"/>
      <c r="Q1377" s="34"/>
      <c r="R1377" s="65"/>
      <c r="S1377" s="64" t="str">
        <f t="shared" si="2796"/>
        <v/>
      </c>
      <c r="T1377" s="34"/>
      <c r="U1377" s="34"/>
      <c r="V1377" s="65"/>
      <c r="W1377" s="64" t="str">
        <f t="shared" si="2797"/>
        <v/>
      </c>
      <c r="X1377" s="34"/>
      <c r="Y1377" s="34"/>
      <c r="Z1377" s="65"/>
      <c r="AA1377" s="64" t="str">
        <f t="shared" si="2798"/>
        <v/>
      </c>
      <c r="AB1377" s="34"/>
      <c r="AC1377" s="34"/>
      <c r="AD1377" s="65"/>
      <c r="AE1377" s="66">
        <f t="shared" si="2799"/>
        <v>0</v>
      </c>
      <c r="AF1377" s="67">
        <f t="shared" si="2742"/>
        <v>0</v>
      </c>
      <c r="AG1377" s="68">
        <f t="shared" si="2800"/>
        <v>0</v>
      </c>
      <c r="AH1377" s="76" t="str">
        <f t="shared" si="2801"/>
        <v/>
      </c>
      <c r="AI1377" s="70">
        <f> ( IF(ISNUMBER(G1377), VLOOKUP(G1377/$AH1377,F!$A1:$B101,2,1)*G1377*$H1377*$I1377,0)+IF(ISNUMBER(K1377), VLOOKUP(K1377/$AH1377,F!$A1:$B101,2,1)*K1377*$L1377*$M1377,0)+IF(ISNUMBER(O1377), VLOOKUP(O1377/$AH1377,F!$A1:$B101,2,1)*O1377*$P1377*$Q1377,0)+IF(ISNUMBER(S1377), VLOOKUP(S1377/$AH1377,F!$A1:$B101,2,1)*S1377*$T1377*$U1377,0)+IF(ISNUMBER(W1377), VLOOKUP(W1377/$AH1377,F!$A1:$B101,2,1)*W1377*$X1377*$Y1377,0)+IF(ISNUMBER(AA1377), VLOOKUP(AA1377/$AH1377,F!$A1:$B101,2,1)*AA1377*$AB1377*$AC1377,0))*IF(ISNUMBER(F1377),F1377,1)*IF(ISNUMBER(E1377),E1377,1)</f>
        <v>0</v>
      </c>
      <c r="AJ1377" s="71">
        <f t="shared" si="2802"/>
        <v>0</v>
      </c>
      <c r="AK1377" s="72">
        <f t="array" ref="AK1377">IFERROR(I1377*INDEX(F!$P$21:$AB$33, MATCH(G1377/$AH1377, F!$O$21:$O$33,1), MATCH(E1377, F!$P$20:$AB$20,1)), 0 ) +IFERROR( M1377*INDEX(F!$P$21:$AB$33, MATCH(K1377/$AH1377, F!$O$21:$O$33,1), MATCH(E1377, F!$P$20:$AB$20,1)),0) +  IFERROR( Q1377*INDEX(F!$P$21:$AB$33, MATCH(O1377/$AH1377, F!$O$21:$O$33,1), MATCH(E1377, F!$P$20:$AB$20,1)), 0) + IFERROR( U1377*INDEX(F!$P$21:$AB$33, MATCH(S1377/$AH1377, F!$O$21:$O$33,1), MATCH(E1377, F!$P$20:$AB$20,1)),0)  + IFERROR(Y1377*INDEX(F!$P$21:$AB$33, MATCH(W1377/$AH1377, F!$O$21:$O$33,1), MATCH(E1377, F!$P$20:$AB$20,1)),0)  + IFERROR( AC1377*INDEX(F!$P$21:$AB$33, MATCH(AA1377/$AH1377, F!$O$21:$O$33,1), MATCH(E1377, F!$P$20:$AB$20,1)),)</f>
        <v>0</v>
      </c>
      <c r="AL1377" s="59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</row>
    <row r="1378" ht="15.75" hidden="1" customHeight="1">
      <c r="A1378" s="59"/>
      <c r="B1378" s="215" t="str">
        <f t="shared" ref="B1378:F1378" si="2804">IF(B1322="","",B1322)</f>
        <v/>
      </c>
      <c r="C1378" s="73" t="str">
        <f t="shared" si="2804"/>
        <v/>
      </c>
      <c r="D1378" s="47" t="str">
        <f t="shared" si="2804"/>
        <v/>
      </c>
      <c r="E1378" s="48" t="str">
        <f t="shared" si="2804"/>
        <v/>
      </c>
      <c r="F1378" s="74" t="str">
        <f t="shared" si="2804"/>
        <v/>
      </c>
      <c r="G1378" s="50" t="str">
        <f t="shared" si="2793"/>
        <v/>
      </c>
      <c r="H1378" s="51"/>
      <c r="I1378" s="51"/>
      <c r="J1378" s="52"/>
      <c r="K1378" s="50" t="str">
        <f t="shared" si="2794"/>
        <v/>
      </c>
      <c r="L1378" s="51"/>
      <c r="M1378" s="51"/>
      <c r="N1378" s="52"/>
      <c r="O1378" s="50" t="str">
        <f t="shared" si="2795"/>
        <v/>
      </c>
      <c r="P1378" s="51"/>
      <c r="Q1378" s="51"/>
      <c r="R1378" s="52"/>
      <c r="S1378" s="50" t="str">
        <f t="shared" si="2796"/>
        <v/>
      </c>
      <c r="T1378" s="51"/>
      <c r="U1378" s="51"/>
      <c r="V1378" s="52"/>
      <c r="W1378" s="50" t="str">
        <f t="shared" si="2797"/>
        <v/>
      </c>
      <c r="X1378" s="51"/>
      <c r="Y1378" s="51"/>
      <c r="Z1378" s="52"/>
      <c r="AA1378" s="50" t="str">
        <f t="shared" si="2798"/>
        <v/>
      </c>
      <c r="AB1378" s="51"/>
      <c r="AC1378" s="51"/>
      <c r="AD1378" s="52"/>
      <c r="AE1378" s="53">
        <f t="shared" si="2799"/>
        <v>0</v>
      </c>
      <c r="AF1378" s="54">
        <f t="shared" si="2742"/>
        <v>0</v>
      </c>
      <c r="AG1378" s="75">
        <f t="shared" si="2800"/>
        <v>0</v>
      </c>
      <c r="AH1378" s="76" t="str">
        <f t="shared" si="2801"/>
        <v/>
      </c>
      <c r="AI1378" s="77">
        <f> ( IF(ISNUMBER(G1378), VLOOKUP(G1378/$AH1378,F!$A1:$B101,2,1)*G1378*$H1378*$I1378,0)+IF(ISNUMBER(K1378), VLOOKUP(K1378/$AH1378,F!$A1:$B101,2,1)*K1378*$L1378*$M1378,0)+IF(ISNUMBER(O1378), VLOOKUP(O1378/$AH1378,F!$A1:$B101,2,1)*O1378*$P1378*$Q1378,0)+IF(ISNUMBER(S1378), VLOOKUP(S1378/$AH1378,F!$A1:$B101,2,1)*S1378*$T1378*$U1378,0)+IF(ISNUMBER(W1378), VLOOKUP(W1378/$AH1378,F!$A1:$B101,2,1)*W1378*$X1378*$Y1378,0)+IF(ISNUMBER(AA1378), VLOOKUP(AA1378/$AH1378,F!$A1:$B101,2,1)*AA1378*$AB1378*$AC1378,0))*IF(ISNUMBER(F1378),F1378,1)*IF(ISNUMBER(E1378),E1378,1)</f>
        <v>0</v>
      </c>
      <c r="AJ1378" s="57">
        <f t="shared" si="2802"/>
        <v>0</v>
      </c>
      <c r="AK1378" s="58">
        <f t="array" ref="AK1378">IFERROR(I1378*INDEX(F!$P$21:$AB$33, MATCH(G1378/$AH1378, F!$O$21:$O$33,1), MATCH(E1378, F!$P$20:$AB$20,1)), 0 ) +IFERROR( M1378*INDEX(F!$P$21:$AB$33, MATCH(K1378/$AH1378, F!$O$21:$O$33,1), MATCH(E1378, F!$P$20:$AB$20,1)),0) +  IFERROR( Q1378*INDEX(F!$P$21:$AB$33, MATCH(O1378/$AH1378, F!$O$21:$O$33,1), MATCH(E1378, F!$P$20:$AB$20,1)), 0) + IFERROR( U1378*INDEX(F!$P$21:$AB$33, MATCH(S1378/$AH1378, F!$O$21:$O$33,1), MATCH(E1378, F!$P$20:$AB$20,1)),0)  + IFERROR(Y1378*INDEX(F!$P$21:$AB$33, MATCH(W1378/$AH1378, F!$O$21:$O$33,1), MATCH(E1378, F!$P$20:$AB$20,1)),0)  + IFERROR( AC1378*INDEX(F!$P$21:$AB$33, MATCH(AA1378/$AH1378, F!$O$21:$O$33,1), MATCH(E1378, F!$P$20:$AB$20,1)),)</f>
        <v>0</v>
      </c>
      <c r="AL1378" s="59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</row>
    <row r="1379" ht="15.75" hidden="1" customHeight="1">
      <c r="A1379" s="59"/>
      <c r="B1379" s="216" t="str">
        <f t="shared" ref="B1379:F1379" si="2805">IF(B1323="","",B1323)</f>
        <v/>
      </c>
      <c r="C1379" s="78" t="str">
        <f t="shared" si="2805"/>
        <v/>
      </c>
      <c r="D1379" s="62" t="str">
        <f t="shared" si="2805"/>
        <v/>
      </c>
      <c r="E1379" s="48" t="str">
        <f t="shared" si="2805"/>
        <v/>
      </c>
      <c r="F1379" s="79" t="str">
        <f t="shared" si="2805"/>
        <v/>
      </c>
      <c r="G1379" s="64" t="str">
        <f t="shared" si="2793"/>
        <v/>
      </c>
      <c r="H1379" s="34"/>
      <c r="I1379" s="34"/>
      <c r="J1379" s="65"/>
      <c r="K1379" s="64" t="str">
        <f t="shared" si="2794"/>
        <v/>
      </c>
      <c r="L1379" s="34"/>
      <c r="M1379" s="34"/>
      <c r="N1379" s="65"/>
      <c r="O1379" s="64" t="str">
        <f t="shared" si="2795"/>
        <v/>
      </c>
      <c r="P1379" s="34"/>
      <c r="Q1379" s="34"/>
      <c r="R1379" s="65"/>
      <c r="S1379" s="64" t="str">
        <f t="shared" si="2796"/>
        <v/>
      </c>
      <c r="T1379" s="34"/>
      <c r="U1379" s="34"/>
      <c r="V1379" s="65"/>
      <c r="W1379" s="64" t="str">
        <f t="shared" si="2797"/>
        <v/>
      </c>
      <c r="X1379" s="34"/>
      <c r="Y1379" s="34"/>
      <c r="Z1379" s="65"/>
      <c r="AA1379" s="64" t="str">
        <f t="shared" si="2798"/>
        <v/>
      </c>
      <c r="AB1379" s="34"/>
      <c r="AC1379" s="34"/>
      <c r="AD1379" s="65"/>
      <c r="AE1379" s="66">
        <f t="shared" si="2799"/>
        <v>0</v>
      </c>
      <c r="AF1379" s="67">
        <f t="shared" si="2742"/>
        <v>0</v>
      </c>
      <c r="AG1379" s="68">
        <f t="shared" si="2800"/>
        <v>0</v>
      </c>
      <c r="AH1379" s="76" t="str">
        <f t="shared" si="2801"/>
        <v/>
      </c>
      <c r="AI1379" s="70">
        <f> ( IF(ISNUMBER(G1379), VLOOKUP(G1379/$AH1379,F!$A1:$B101,2,1)*G1379*$H1379*$I1379,0)+IF(ISNUMBER(K1379), VLOOKUP(K1379/$AH1379,F!$A1:$B101,2,1)*K1379*$L1379*$M1379,0)+IF(ISNUMBER(O1379), VLOOKUP(O1379/$AH1379,F!$A1:$B101,2,1)*O1379*$P1379*$Q1379,0)+IF(ISNUMBER(S1379), VLOOKUP(S1379/$AH1379,F!$A1:$B101,2,1)*S1379*$T1379*$U1379,0)+IF(ISNUMBER(W1379), VLOOKUP(W1379/$AH1379,F!$A1:$B101,2,1)*W1379*$X1379*$Y1379,0)+IF(ISNUMBER(AA1379), VLOOKUP(AA1379/$AH1379,F!$A1:$B101,2,1)*AA1379*$AB1379*$AC1379,0))*IF(ISNUMBER(F1379),F1379,1)*IF(ISNUMBER(E1379),E1379,1)</f>
        <v>0</v>
      </c>
      <c r="AJ1379" s="71">
        <f t="shared" si="2802"/>
        <v>0</v>
      </c>
      <c r="AK1379" s="72">
        <f t="array" ref="AK1379">IFERROR(I1379*INDEX(F!$P$21:$AB$33, MATCH(G1379/$AH1379, F!$O$21:$O$33,1), MATCH(E1379, F!$P$20:$AB$20,1)), 0 ) +IFERROR( M1379*INDEX(F!$P$21:$AB$33, MATCH(K1379/$AH1379, F!$O$21:$O$33,1), MATCH(E1379, F!$P$20:$AB$20,1)),0) +  IFERROR( Q1379*INDEX(F!$P$21:$AB$33, MATCH(O1379/$AH1379, F!$O$21:$O$33,1), MATCH(E1379, F!$P$20:$AB$20,1)), 0) + IFERROR( U1379*INDEX(F!$P$21:$AB$33, MATCH(S1379/$AH1379, F!$O$21:$O$33,1), MATCH(E1379, F!$P$20:$AB$20,1)),0)  + IFERROR(Y1379*INDEX(F!$P$21:$AB$33, MATCH(W1379/$AH1379, F!$O$21:$O$33,1), MATCH(E1379, F!$P$20:$AB$20,1)),0)  + IFERROR( AC1379*INDEX(F!$P$21:$AB$33, MATCH(AA1379/$AH1379, F!$O$21:$O$33,1), MATCH(E1379, F!$P$20:$AB$20,1)),)</f>
        <v>0</v>
      </c>
      <c r="AL1379" s="59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</row>
    <row r="1380" ht="15.75" hidden="1" customHeight="1">
      <c r="A1380" s="59"/>
      <c r="B1380" s="45" t="str">
        <f t="shared" ref="B1380:F1380" si="2806">IF(B1324="","",B1324)</f>
        <v/>
      </c>
      <c r="C1380" s="46" t="str">
        <f t="shared" si="2806"/>
        <v/>
      </c>
      <c r="D1380" s="197" t="str">
        <f t="shared" si="2806"/>
        <v/>
      </c>
      <c r="E1380" s="48" t="str">
        <f t="shared" si="2806"/>
        <v/>
      </c>
      <c r="F1380" s="83" t="str">
        <f t="shared" si="2806"/>
        <v/>
      </c>
      <c r="G1380" s="50" t="str">
        <f t="shared" si="2793"/>
        <v/>
      </c>
      <c r="H1380" s="51"/>
      <c r="I1380" s="51"/>
      <c r="J1380" s="52"/>
      <c r="K1380" s="50" t="str">
        <f t="shared" si="2794"/>
        <v/>
      </c>
      <c r="L1380" s="51"/>
      <c r="M1380" s="51"/>
      <c r="N1380" s="52"/>
      <c r="O1380" s="50" t="str">
        <f t="shared" si="2795"/>
        <v/>
      </c>
      <c r="P1380" s="51"/>
      <c r="Q1380" s="51"/>
      <c r="R1380" s="52"/>
      <c r="S1380" s="50" t="str">
        <f t="shared" si="2796"/>
        <v/>
      </c>
      <c r="T1380" s="51"/>
      <c r="U1380" s="51"/>
      <c r="V1380" s="52"/>
      <c r="W1380" s="50" t="str">
        <f t="shared" si="2797"/>
        <v/>
      </c>
      <c r="X1380" s="51"/>
      <c r="Y1380" s="51"/>
      <c r="Z1380" s="52"/>
      <c r="AA1380" s="50" t="str">
        <f t="shared" si="2798"/>
        <v/>
      </c>
      <c r="AB1380" s="51"/>
      <c r="AC1380" s="51"/>
      <c r="AD1380" s="52"/>
      <c r="AE1380" s="53">
        <f t="shared" si="2799"/>
        <v>0</v>
      </c>
      <c r="AF1380" s="54">
        <f t="shared" si="2742"/>
        <v>0</v>
      </c>
      <c r="AG1380" s="75">
        <f t="shared" si="2800"/>
        <v>0</v>
      </c>
      <c r="AH1380" s="76" t="str">
        <f t="shared" si="2801"/>
        <v/>
      </c>
      <c r="AI1380" s="77">
        <f> ( IF(ISNUMBER(G1380), VLOOKUP(G1380/$AH1380,F!$A1:$B101,2,1)*G1380*$H1380*$I1380,0)+IF(ISNUMBER(K1380), VLOOKUP(K1380/$AH1380,F!$A1:$B101,2,1)*K1380*$L1380*$M1380,0)+IF(ISNUMBER(O1380), VLOOKUP(O1380/$AH1380,F!$A1:$B101,2,1)*O1380*$P1380*$Q1380,0)+IF(ISNUMBER(S1380), VLOOKUP(S1380/$AH1380,F!$A1:$B101,2,1)*S1380*$T1380*$U1380,0)+IF(ISNUMBER(W1380), VLOOKUP(W1380/$AH1380,F!$A1:$B101,2,1)*W1380*$X1380*$Y1380,0)+IF(ISNUMBER(AA1380), VLOOKUP(AA1380/$AH1380,F!$A1:$B101,2,1)*AA1380*$AB1380*$AC1380,0))*IF(ISNUMBER(F1380),F1380,1)*IF(ISNUMBER(E1380),E1380,1)</f>
        <v>0</v>
      </c>
      <c r="AJ1380" s="86">
        <f t="shared" si="2802"/>
        <v>0</v>
      </c>
      <c r="AK1380" s="58">
        <f t="array" ref="AK1380">IFERROR(I1380*INDEX(F!$P$21:$AB$33, MATCH(G1380/$AH1380, F!$O$21:$O$33,1), MATCH(E1380, F!$P$20:$AB$20,1)), 0 ) +IFERROR( M1380*INDEX(F!$P$21:$AB$33, MATCH(K1380/$AH1380, F!$O$21:$O$33,1), MATCH(E1380, F!$P$20:$AB$20,1)),0) +  IFERROR( Q1380*INDEX(F!$P$21:$AB$33, MATCH(O1380/$AH1380, F!$O$21:$O$33,1), MATCH(E1380, F!$P$20:$AB$20,1)), 0) + IFERROR( U1380*INDEX(F!$P$21:$AB$33, MATCH(S1380/$AH1380, F!$O$21:$O$33,1), MATCH(E1380, F!$P$20:$AB$20,1)),0)  + IFERROR(Y1380*INDEX(F!$P$21:$AB$33, MATCH(W1380/$AH1380, F!$O$21:$O$33,1), MATCH(E1380, F!$P$20:$AB$20,1)),0)  + IFERROR( AC1380*INDEX(F!$P$21:$AB$33, MATCH(AA1380/$AH1380, F!$O$21:$O$33,1), MATCH(E1380, F!$P$20:$AB$20,1)),)</f>
        <v>0</v>
      </c>
      <c r="AL1380" s="59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</row>
    <row r="1381" ht="15.75" hidden="1" customHeight="1">
      <c r="A1381" s="59"/>
      <c r="B1381" s="60" t="str">
        <f t="shared" ref="B1381:F1381" si="2807">IF(B1325="","",B1325)</f>
        <v/>
      </c>
      <c r="C1381" s="61" t="str">
        <f t="shared" si="2807"/>
        <v/>
      </c>
      <c r="D1381" s="198" t="str">
        <f t="shared" si="2807"/>
        <v/>
      </c>
      <c r="E1381" s="48" t="str">
        <f t="shared" si="2807"/>
        <v/>
      </c>
      <c r="F1381" s="79" t="str">
        <f t="shared" si="2807"/>
        <v/>
      </c>
      <c r="G1381" s="64" t="str">
        <f t="shared" si="2793"/>
        <v/>
      </c>
      <c r="H1381" s="34"/>
      <c r="I1381" s="34"/>
      <c r="J1381" s="65"/>
      <c r="K1381" s="64" t="str">
        <f t="shared" si="2794"/>
        <v/>
      </c>
      <c r="L1381" s="34"/>
      <c r="M1381" s="34"/>
      <c r="N1381" s="65"/>
      <c r="O1381" s="64" t="str">
        <f t="shared" si="2795"/>
        <v/>
      </c>
      <c r="P1381" s="34"/>
      <c r="Q1381" s="34"/>
      <c r="R1381" s="65"/>
      <c r="S1381" s="64" t="str">
        <f t="shared" si="2796"/>
        <v/>
      </c>
      <c r="T1381" s="34"/>
      <c r="U1381" s="34"/>
      <c r="V1381" s="65"/>
      <c r="W1381" s="64" t="str">
        <f t="shared" si="2797"/>
        <v/>
      </c>
      <c r="X1381" s="34"/>
      <c r="Y1381" s="34"/>
      <c r="Z1381" s="65"/>
      <c r="AA1381" s="64" t="str">
        <f t="shared" si="2798"/>
        <v/>
      </c>
      <c r="AB1381" s="34"/>
      <c r="AC1381" s="34"/>
      <c r="AD1381" s="65"/>
      <c r="AE1381" s="66">
        <f t="shared" si="2799"/>
        <v>0</v>
      </c>
      <c r="AF1381" s="67">
        <f t="shared" si="2742"/>
        <v>0</v>
      </c>
      <c r="AG1381" s="68">
        <f t="shared" si="2800"/>
        <v>0</v>
      </c>
      <c r="AH1381" s="76" t="str">
        <f t="shared" si="2801"/>
        <v/>
      </c>
      <c r="AI1381" s="90">
        <f> ( IF(ISNUMBER(G1381), VLOOKUP(G1381/$AH1381,F!$A1:$B101,2,1)*G1381*$H1381*$I1381,0)+IF(ISNUMBER(K1381), VLOOKUP(K1381/$AH1381,F!$A1:$B101,2,1)*K1381*$L1381*$M1381,0)+IF(ISNUMBER(O1381), VLOOKUP(O1381/$AH1381,F!$A1:$B101,2,1)*O1381*$P1381*$Q1381,0)+IF(ISNUMBER(S1381), VLOOKUP(S1381/$AH1381,F!$A1:$B101,2,1)*S1381*$T1381*$U1381,0)+IF(ISNUMBER(W1381), VLOOKUP(W1381/$AH1381,F!$A1:$B101,2,1)*W1381*$X1381*$Y1381,0)+IF(ISNUMBER(AA1381), VLOOKUP(AA1381/$AH1381,F!$A1:$B101,2,1)*AA1381*$AB1381*$AC1381,0))*IF(ISNUMBER(F1381),F1381,1)*IF(ISNUMBER(E1381),E1381,1)</f>
        <v>0</v>
      </c>
      <c r="AJ1381" s="34">
        <f t="shared" si="2802"/>
        <v>0</v>
      </c>
      <c r="AK1381" s="91">
        <f t="array" ref="AK1381">IFERROR(I1381*INDEX(F!$P$21:$AB$33, MATCH(G1381/$AH1381, F!$O$21:$O$33,1), MATCH(E1381, F!$P$20:$AB$20,1)), 0 ) +IFERROR( M1381*INDEX(F!$P$21:$AB$33, MATCH(K1381/$AH1381, F!$O$21:$O$33,1), MATCH(E1381, F!$P$20:$AB$20,1)),0) +  IFERROR( Q1381*INDEX(F!$P$21:$AB$33, MATCH(O1381/$AH1381, F!$O$21:$O$33,1), MATCH(E1381, F!$P$20:$AB$20,1)), 0) + IFERROR( U1381*INDEX(F!$P$21:$AB$33, MATCH(S1381/$AH1381, F!$O$21:$O$33,1), MATCH(E1381, F!$P$20:$AB$20,1)),0)  + IFERROR(Y1381*INDEX(F!$P$21:$AB$33, MATCH(W1381/$AH1381, F!$O$21:$O$33,1), MATCH(E1381, F!$P$20:$AB$20,1)),0)  + IFERROR( AC1381*INDEX(F!$P$21:$AB$33, MATCH(AA1381/$AH1381, F!$O$21:$O$33,1), MATCH(E1381, F!$P$20:$AB$20,1)),)</f>
        <v>0</v>
      </c>
      <c r="AL1381" s="59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</row>
    <row r="1382" ht="15.75" hidden="1" customHeight="1">
      <c r="A1382" s="59"/>
      <c r="B1382" s="45" t="str">
        <f t="shared" ref="B1382:F1382" si="2808">IF(B1326="","",B1326)</f>
        <v/>
      </c>
      <c r="C1382" s="46" t="str">
        <f t="shared" si="2808"/>
        <v/>
      </c>
      <c r="D1382" s="92" t="str">
        <f t="shared" si="2808"/>
        <v/>
      </c>
      <c r="E1382" s="48" t="str">
        <f t="shared" si="2808"/>
        <v/>
      </c>
      <c r="F1382" s="74" t="str">
        <f t="shared" si="2808"/>
        <v/>
      </c>
      <c r="G1382" s="50" t="str">
        <f t="shared" si="2793"/>
        <v/>
      </c>
      <c r="H1382" s="51"/>
      <c r="I1382" s="51"/>
      <c r="J1382" s="52"/>
      <c r="K1382" s="50" t="str">
        <f t="shared" si="2794"/>
        <v/>
      </c>
      <c r="L1382" s="51"/>
      <c r="M1382" s="51"/>
      <c r="N1382" s="52"/>
      <c r="O1382" s="50" t="str">
        <f t="shared" si="2795"/>
        <v/>
      </c>
      <c r="P1382" s="51"/>
      <c r="Q1382" s="51"/>
      <c r="R1382" s="52"/>
      <c r="S1382" s="50" t="str">
        <f t="shared" si="2796"/>
        <v/>
      </c>
      <c r="T1382" s="51"/>
      <c r="U1382" s="51"/>
      <c r="V1382" s="52"/>
      <c r="W1382" s="50" t="str">
        <f t="shared" si="2797"/>
        <v/>
      </c>
      <c r="X1382" s="51"/>
      <c r="Y1382" s="51"/>
      <c r="Z1382" s="52"/>
      <c r="AA1382" s="50" t="str">
        <f t="shared" si="2798"/>
        <v/>
      </c>
      <c r="AB1382" s="51"/>
      <c r="AC1382" s="51"/>
      <c r="AD1382" s="52"/>
      <c r="AE1382" s="53">
        <f t="shared" si="2799"/>
        <v>0</v>
      </c>
      <c r="AF1382" s="93">
        <f t="shared" si="2742"/>
        <v>0</v>
      </c>
      <c r="AG1382" s="94">
        <f t="shared" si="2800"/>
        <v>0</v>
      </c>
      <c r="AH1382" s="76" t="str">
        <f t="shared" si="2801"/>
        <v/>
      </c>
      <c r="AI1382" s="95">
        <f> ( IF(ISNUMBER(G1382), VLOOKUP(G1382/$AH1382,F!$A1:$B101,2,1)*G1382*$H1382*$I1382,0)+IF(ISNUMBER(K1382), VLOOKUP(K1382/$AH1382,F!$A1:$B101,2,1)*K1382*$L1382*$M1382,0)+IF(ISNUMBER(O1382), VLOOKUP(O1382/$AH1382,F!$A1:$B101,2,1)*O1382*$P1382*$Q1382,0)+IF(ISNUMBER(S1382), VLOOKUP(S1382/$AH1382,F!$A1:$B101,2,1)*S1382*$T1382*$U1382,0)+IF(ISNUMBER(W1382), VLOOKUP(W1382/$AH1382,F!$A1:$B101,2,1)*W1382*$X1382*$Y1382,0)+IF(ISNUMBER(AA1382), VLOOKUP(AA1382/$AH1382,F!$A1:$B101,2,1)*AA1382*$AB1382*$AC1382,0))*IF(ISNUMBER(F1382),F1382,1)*IF(ISNUMBER(E1382),E1382,1)</f>
        <v>0</v>
      </c>
      <c r="AJ1382" s="96">
        <f t="shared" si="2802"/>
        <v>0</v>
      </c>
      <c r="AK1382" s="97">
        <f t="array" ref="AK1382">IFERROR(I1382*INDEX(F!$P$21:$AB$33, MATCH(G1382/$AH1382, F!$O$21:$O$33,1), MATCH(E1382, F!$P$20:$AB$20,1)), 0 ) +IFERROR( M1382*INDEX(F!$P$21:$AB$33, MATCH(K1382/$AH1382, F!$O$21:$O$33,1), MATCH(E1382, F!$P$20:$AB$20,1)),0) +  IFERROR( Q1382*INDEX(F!$P$21:$AB$33, MATCH(O1382/$AH1382, F!$O$21:$O$33,1), MATCH(E1382, F!$P$20:$AB$20,1)), 0) + IFERROR( U1382*INDEX(F!$P$21:$AB$33, MATCH(S1382/$AH1382, F!$O$21:$O$33,1), MATCH(E1382, F!$P$20:$AB$20,1)),0)  + IFERROR(Y1382*INDEX(F!$P$21:$AB$33, MATCH(W1382/$AH1382, F!$O$21:$O$33,1), MATCH(E1382, F!$P$20:$AB$20,1)),0)  + IFERROR( AC1382*INDEX(F!$P$21:$AB$33, MATCH(AA1382/$AH1382, F!$O$21:$O$33,1), MATCH(E1382, F!$P$20:$AB$20,1)),)</f>
        <v>0</v>
      </c>
      <c r="AL1382" s="59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</row>
    <row r="1383" ht="15.75" hidden="1" customHeight="1">
      <c r="A1383" s="98"/>
      <c r="B1383" s="99"/>
      <c r="C1383" s="100"/>
      <c r="D1383" s="101"/>
      <c r="E1383" s="102">
        <f>ROUND(IFERROR(SUMPRODUCT(AJ1375:AJ1382,E1375:E1382)/AJ1383,0),3)</f>
        <v>0</v>
      </c>
      <c r="F1383" s="199"/>
      <c r="G1383" s="104"/>
      <c r="H1383" s="105"/>
      <c r="I1383" s="105"/>
      <c r="J1383" s="106"/>
      <c r="K1383" s="104"/>
      <c r="L1383" s="105"/>
      <c r="M1383" s="105"/>
      <c r="N1383" s="106"/>
      <c r="O1383" s="104"/>
      <c r="P1383" s="105"/>
      <c r="Q1383" s="105"/>
      <c r="R1383" s="106"/>
      <c r="S1383" s="104"/>
      <c r="T1383" s="105"/>
      <c r="U1383" s="105"/>
      <c r="V1383" s="106"/>
      <c r="W1383" s="104"/>
      <c r="X1383" s="105"/>
      <c r="Y1383" s="105"/>
      <c r="Z1383" s="106"/>
      <c r="AA1383" s="104"/>
      <c r="AB1383" s="105"/>
      <c r="AC1383" s="105"/>
      <c r="AD1383" s="106"/>
      <c r="AE1383" s="107">
        <f>SUM(AE1375:AE1382)</f>
        <v>0</v>
      </c>
      <c r="AF1383" s="108">
        <f t="shared" si="2742"/>
        <v>0</v>
      </c>
      <c r="AG1383" s="109">
        <f>IFERROR(  SUMPRODUCT(AG1375:AG1382,AJ1375:AJ1382)/AJ1383,0)</f>
        <v>0</v>
      </c>
      <c r="AH1383" s="157"/>
      <c r="AI1383" s="111">
        <f t="shared" ref="AI1383:AJ1383" si="2809">SUM(AI1375:AI1382)</f>
        <v>0</v>
      </c>
      <c r="AJ1383" s="111">
        <f t="shared" si="2809"/>
        <v>0</v>
      </c>
      <c r="AK1383" s="112">
        <f>IF(SUM(AK1375:AK1382)=0,TIME(,0,),TIME(,SUM(AK1375:AK1382)+F!$V$37,))</f>
        <v>0</v>
      </c>
      <c r="AL1383" s="98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</row>
    <row r="1384" ht="15.75" hidden="1" customHeight="1">
      <c r="A1384" s="113">
        <f>A1385</f>
        <v>43954</v>
      </c>
      <c r="B1384" s="114" t="str">
        <f t="shared" ref="B1384:F1384" si="2810">IF(B1328="","",B1328)</f>
        <v/>
      </c>
      <c r="C1384" s="115" t="str">
        <f t="shared" si="2810"/>
        <v/>
      </c>
      <c r="D1384" s="116" t="str">
        <f t="shared" si="2810"/>
        <v/>
      </c>
      <c r="E1384" s="29" t="str">
        <f t="shared" si="2810"/>
        <v/>
      </c>
      <c r="F1384" s="117" t="str">
        <f t="shared" si="2810"/>
        <v/>
      </c>
      <c r="G1384" s="118" t="str">
        <f t="shared" ref="G1384:G1391" si="2812">IF(J1384&lt;&gt;0, IFERROR(IF( $F1384=2,  MROUND($AH1384*J1384,1),    IF( OR($F1384="",$F1384=1),   MROUND($AH1384*J1384,2.5),  MROUND($AH1384*J1384, 0.1))), "" ), "")</f>
        <v/>
      </c>
      <c r="H1384" s="119"/>
      <c r="I1384" s="119"/>
      <c r="J1384" s="120"/>
      <c r="K1384" s="118" t="str">
        <f t="shared" ref="K1384:K1391" si="2813">IF(N1384&lt;&gt;0, IFERROR(IF( $F1384=2,  MROUND($AH1384*N1384,1),    IF( OR($F1384="",$F1384=1),   MROUND($AH1384*N1384,2.5),  MROUND($AH1384*N1384, 0.1))), "" ), "")</f>
        <v/>
      </c>
      <c r="L1384" s="119"/>
      <c r="M1384" s="119"/>
      <c r="N1384" s="120"/>
      <c r="O1384" s="118" t="str">
        <f t="shared" ref="O1384:O1391" si="2814">IF(R1384&lt;&gt;0, IFERROR(IF( $F1384=2,  MROUND($AH1384*R1384,1),    IF( OR($F1384="",$F1384=1),   MROUND($AH1384*R1384,2.5),  MROUND($AH1384*R1384, 0.1))), "" ), "")</f>
        <v/>
      </c>
      <c r="P1384" s="119"/>
      <c r="Q1384" s="119"/>
      <c r="R1384" s="120"/>
      <c r="S1384" s="118" t="str">
        <f t="shared" ref="S1384:S1391" si="2815">IF(V1384&lt;&gt;0, IFERROR(IF( $F1384=2,  MROUND($AH1384*V1384,1),    IF( OR($F1384="",$F1384=1),   MROUND($AH1384*V1384,2.5),  MROUND($AH1384*V1384, 0.1))), "" ), "")</f>
        <v/>
      </c>
      <c r="T1384" s="119"/>
      <c r="U1384" s="119"/>
      <c r="V1384" s="120"/>
      <c r="W1384" s="118" t="str">
        <f t="shared" ref="W1384:W1391" si="2816">IF(Z1384&lt;&gt;0, IFERROR(IF( $F1384=2,  MROUND($AH1384*Z1384,1),    IF( OR($F1384="",$F1384=1),   MROUND($AH1384*Z1384,2.5),  MROUND($AH1384*Z1384, 0.1))), "" ), "")</f>
        <v/>
      </c>
      <c r="X1384" s="119"/>
      <c r="Y1384" s="119"/>
      <c r="Z1384" s="120"/>
      <c r="AA1384" s="118" t="str">
        <f t="shared" ref="AA1384:AA1391" si="2817">IF(AD1384&lt;&gt;0, IFERROR(IF( $F1384=2,  MROUND($AH1384*AD1384,1),    IF( OR($F1384="",$F1384=1),   MROUND($AH1384*AD1384,2.5),  MROUND($AH1384*AD1384, 0.1))), "" ), "")</f>
        <v/>
      </c>
      <c r="AB1384" s="119"/>
      <c r="AC1384" s="119"/>
      <c r="AD1384" s="120"/>
      <c r="AE1384" s="121">
        <f t="shared" ref="AE1384:AE1391" si="2818">(IF(ISNUMBER(G1384),G1384,0)*H1384*I1384+IF(ISNUMBER(K1384),K1384,1)*L1384*M1384+IF(ISNUMBER(O1384),O1384,1)*P1384*Q1384+IF(ISNUMBER(S1384),S1384,1)*T1384*U1384+IF(ISNUMBER(W1384),W1384,1)*X1384*Y1384+IF(ISNUMBER(AA1384),AA1384,1)*AB1384*AC1384)*IF(ISNUMBER(F1384),F1384,1)</f>
        <v>0</v>
      </c>
      <c r="AF1384" s="122">
        <f t="shared" si="2742"/>
        <v>0</v>
      </c>
      <c r="AG1384" s="200">
        <f t="shared" ref="AG1384:AG1391" si="2819">IFERROR((AF1384/(AH1384*IF(ISNUMBER(F1384),F1384,1))),0)</f>
        <v>0</v>
      </c>
      <c r="AH1384" s="169" t="str">
        <f t="shared" ref="AH1384:AH1391" si="2820">IF(ISNUMBER(AH1328), AH1328+(AH1328*$AH$1346),"")</f>
        <v/>
      </c>
      <c r="AI1384" s="122">
        <f> ( IF(ISNUMBER(G1384), VLOOKUP(G1384/$AH1384,F!$A1:$B101,2,1)*G1384*$H1384*$I1384,0)+IF(ISNUMBER(K1384), VLOOKUP(K1384/$AH1384,F!$A1:$B101,2,1)*K1384*$L1384*$M1384,0)+IF(ISNUMBER(O1384), VLOOKUP(O1384/$AH1384,F!$A1:$B101,2,1)*O1384*$P1384*$Q1384,0)+IF(ISNUMBER(S1384), VLOOKUP(S1384/$AH1384,F!$A1:$B101,2,1)*S1384*$T1384*$U1384,0)+IF(ISNUMBER(W1384), VLOOKUP(W1384/$AH1384,F!$A1:$B101,2,1)*W1384*$X1384*$Y1384,0)+IF(ISNUMBER(AA1384), VLOOKUP(AA1384/$AH1384,F!$A1:$B101,2,1)*AA1384*$AB1384*$AC1384,0))*IF(ISNUMBER(F1384),F1384,1)*IF(ISNUMBER(E1384),E1384,1)</f>
        <v>0</v>
      </c>
      <c r="AJ1384" s="119">
        <f t="shared" ref="AJ1384:AJ1391" si="2821">H1384*I1384+L1384*M1384+P1384*Q1384+T1384*U1384+X1384*Y1384+AB1384*AC1384</f>
        <v>0</v>
      </c>
      <c r="AK1384" s="125">
        <f t="array" ref="AK1384">IFERROR(I1384*INDEX(F!$P$21:$AB$33, MATCH(G1384/$AH1384, F!$O$21:$O$33,1), MATCH(E1384, F!$P$20:$AB$20,1)), 0 ) +IFERROR( M1384*INDEX(F!$P$21:$AB$33, MATCH(K1384/$AH1384, F!$O$21:$O$33,1), MATCH(E1384, F!$P$20:$AB$20,1)),0) +  IFERROR( Q1384*INDEX(F!$P$21:$AB$33, MATCH(O1384/$AH1384, F!$O$21:$O$33,1), MATCH(E1384, F!$P$20:$AB$20,1)), 0) + IFERROR( U1384*INDEX(F!$P$21:$AB$33, MATCH(S1384/$AH1384, F!$O$21:$O$33,1), MATCH(E1384, F!$P$20:$AB$20,1)),0)  + IFERROR(Y1384*INDEX(F!$P$21:$AB$33, MATCH(W1384/$AH1384, F!$O$21:$O$33,1), MATCH(E1384, F!$P$20:$AB$20,1)),0)  + IFERROR( AC1384*INDEX(F!$P$21:$AB$33, MATCH(AA1384/$AH1384, F!$O$21:$O$33,1), MATCH(E1384, F!$P$20:$AB$20,1)),)</f>
        <v>0</v>
      </c>
      <c r="AL1384" s="42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</row>
    <row r="1385" ht="15.75" hidden="1" customHeight="1">
      <c r="A1385" s="44">
        <f>A1329+A1290</f>
        <v>43954</v>
      </c>
      <c r="B1385" s="126" t="str">
        <f t="shared" ref="B1385:F1385" si="2811">IF(B1329="","",B1329)</f>
        <v/>
      </c>
      <c r="C1385" s="127" t="str">
        <f t="shared" si="2811"/>
        <v/>
      </c>
      <c r="D1385" s="128" t="str">
        <f t="shared" si="2811"/>
        <v/>
      </c>
      <c r="E1385" s="48" t="str">
        <f t="shared" si="2811"/>
        <v/>
      </c>
      <c r="F1385" s="129" t="str">
        <f t="shared" si="2811"/>
        <v/>
      </c>
      <c r="G1385" s="130" t="str">
        <f t="shared" si="2812"/>
        <v/>
      </c>
      <c r="H1385" s="34"/>
      <c r="I1385" s="34"/>
      <c r="J1385" s="65"/>
      <c r="K1385" s="130" t="str">
        <f t="shared" si="2813"/>
        <v/>
      </c>
      <c r="L1385" s="34"/>
      <c r="M1385" s="34"/>
      <c r="N1385" s="65"/>
      <c r="O1385" s="130" t="str">
        <f t="shared" si="2814"/>
        <v/>
      </c>
      <c r="P1385" s="34"/>
      <c r="Q1385" s="34"/>
      <c r="R1385" s="65"/>
      <c r="S1385" s="130" t="str">
        <f t="shared" si="2815"/>
        <v/>
      </c>
      <c r="T1385" s="34"/>
      <c r="U1385" s="34"/>
      <c r="V1385" s="65"/>
      <c r="W1385" s="130" t="str">
        <f t="shared" si="2816"/>
        <v/>
      </c>
      <c r="X1385" s="34"/>
      <c r="Y1385" s="34"/>
      <c r="Z1385" s="65"/>
      <c r="AA1385" s="130" t="str">
        <f t="shared" si="2817"/>
        <v/>
      </c>
      <c r="AB1385" s="34"/>
      <c r="AC1385" s="34"/>
      <c r="AD1385" s="65"/>
      <c r="AE1385" s="131">
        <f t="shared" si="2818"/>
        <v>0</v>
      </c>
      <c r="AF1385" s="132">
        <f t="shared" si="2742"/>
        <v>0</v>
      </c>
      <c r="AG1385" s="133">
        <f t="shared" si="2819"/>
        <v>0</v>
      </c>
      <c r="AH1385" s="76" t="str">
        <f t="shared" si="2820"/>
        <v/>
      </c>
      <c r="AI1385" s="132">
        <f> ( IF(ISNUMBER(G1385), VLOOKUP(G1385/$AH1385,F!$A1:$B101,2,1)*G1385*$H1385*$I1385,0)+IF(ISNUMBER(K1385), VLOOKUP(K1385/$AH1385,F!$A1:$B101,2,1)*K1385*$L1385*$M1385,0)+IF(ISNUMBER(O1385), VLOOKUP(O1385/$AH1385,F!$A1:$B101,2,1)*O1385*$P1385*$Q1385,0)+IF(ISNUMBER(S1385), VLOOKUP(S1385/$AH1385,F!$A1:$B101,2,1)*S1385*$T1385*$U1385,0)+IF(ISNUMBER(W1385), VLOOKUP(W1385/$AH1385,F!$A1:$B101,2,1)*W1385*$X1385*$Y1385,0)+IF(ISNUMBER(AA1385), VLOOKUP(AA1385/$AH1385,F!$A1:$B101,2,1)*AA1385*$AB1385*$AC1385,0))*IF(ISNUMBER(F1385),F1385,1)*IF(ISNUMBER(E1385),E1385,1)</f>
        <v>0</v>
      </c>
      <c r="AJ1385" s="34">
        <f t="shared" si="2821"/>
        <v>0</v>
      </c>
      <c r="AK1385" s="134">
        <f t="array" ref="AK1385">IFERROR(I1385*INDEX(F!$P$21:$AB$33, MATCH(G1385/$AH1385, F!$O$21:$O$33,1), MATCH(E1385, F!$P$20:$AB$20,1)), 0 ) +IFERROR( M1385*INDEX(F!$P$21:$AB$33, MATCH(K1385/$AH1385, F!$O$21:$O$33,1), MATCH(E1385, F!$P$20:$AB$20,1)),0) +  IFERROR( Q1385*INDEX(F!$P$21:$AB$33, MATCH(O1385/$AH1385, F!$O$21:$O$33,1), MATCH(E1385, F!$P$20:$AB$20,1)), 0) + IFERROR( U1385*INDEX(F!$P$21:$AB$33, MATCH(S1385/$AH1385, F!$O$21:$O$33,1), MATCH(E1385, F!$P$20:$AB$20,1)),0)  + IFERROR(Y1385*INDEX(F!$P$21:$AB$33, MATCH(W1385/$AH1385, F!$O$21:$O$33,1), MATCH(E1385, F!$P$20:$AB$20,1)),0)  + IFERROR( AC1385*INDEX(F!$P$21:$AB$33, MATCH(AA1385/$AH1385, F!$O$21:$O$33,1), MATCH(E1385, F!$P$20:$AB$20,1)),)</f>
        <v>0</v>
      </c>
      <c r="AL1385" s="59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</row>
    <row r="1386" ht="15.75" hidden="1" customHeight="1">
      <c r="A1386" s="59"/>
      <c r="B1386" s="135" t="str">
        <f t="shared" ref="B1386:F1386" si="2822">IF(B1330="","",B1330)</f>
        <v/>
      </c>
      <c r="C1386" s="136" t="str">
        <f t="shared" si="2822"/>
        <v/>
      </c>
      <c r="D1386" s="137" t="str">
        <f t="shared" si="2822"/>
        <v/>
      </c>
      <c r="E1386" s="48" t="str">
        <f t="shared" si="2822"/>
        <v/>
      </c>
      <c r="F1386" s="138" t="str">
        <f t="shared" si="2822"/>
        <v/>
      </c>
      <c r="G1386" s="139" t="str">
        <f t="shared" si="2812"/>
        <v/>
      </c>
      <c r="H1386" s="140"/>
      <c r="I1386" s="140"/>
      <c r="J1386" s="141"/>
      <c r="K1386" s="139" t="str">
        <f t="shared" si="2813"/>
        <v/>
      </c>
      <c r="L1386" s="140"/>
      <c r="M1386" s="140"/>
      <c r="N1386" s="141"/>
      <c r="O1386" s="139" t="str">
        <f t="shared" si="2814"/>
        <v/>
      </c>
      <c r="P1386" s="140"/>
      <c r="Q1386" s="140"/>
      <c r="R1386" s="141"/>
      <c r="S1386" s="139" t="str">
        <f t="shared" si="2815"/>
        <v/>
      </c>
      <c r="T1386" s="140"/>
      <c r="U1386" s="140"/>
      <c r="V1386" s="141"/>
      <c r="W1386" s="139" t="str">
        <f t="shared" si="2816"/>
        <v/>
      </c>
      <c r="X1386" s="140"/>
      <c r="Y1386" s="140"/>
      <c r="Z1386" s="141"/>
      <c r="AA1386" s="139" t="str">
        <f t="shared" si="2817"/>
        <v/>
      </c>
      <c r="AB1386" s="140"/>
      <c r="AC1386" s="140"/>
      <c r="AD1386" s="141"/>
      <c r="AE1386" s="142">
        <f t="shared" si="2818"/>
        <v>0</v>
      </c>
      <c r="AF1386" s="143">
        <f t="shared" si="2742"/>
        <v>0</v>
      </c>
      <c r="AG1386" s="144">
        <f t="shared" si="2819"/>
        <v>0</v>
      </c>
      <c r="AH1386" s="76" t="str">
        <f t="shared" si="2820"/>
        <v/>
      </c>
      <c r="AI1386" s="143">
        <f> ( IF(ISNUMBER(G1386), VLOOKUP(G1386/$AH1386,F!$A1:$B101,2,1)*G1386*$H1386*$I1386,0)+IF(ISNUMBER(K1386), VLOOKUP(K1386/$AH1386,F!$A1:$B101,2,1)*K1386*$L1386*$M1386,0)+IF(ISNUMBER(O1386), VLOOKUP(O1386/$AH1386,F!$A1:$B101,2,1)*O1386*$P1386*$Q1386,0)+IF(ISNUMBER(S1386), VLOOKUP(S1386/$AH1386,F!$A1:$B101,2,1)*S1386*$T1386*$U1386,0)+IF(ISNUMBER(W1386), VLOOKUP(W1386/$AH1386,F!$A1:$B101,2,1)*W1386*$X1386*$Y1386,0)+IF(ISNUMBER(AA1386), VLOOKUP(AA1386/$AH1386,F!$A1:$B101,2,1)*AA1386*$AB1386*$AC1386,0))*IF(ISNUMBER(F1386),F1386,1)*IF(ISNUMBER(E1386),E1386,1)</f>
        <v>0</v>
      </c>
      <c r="AJ1386" s="140">
        <f t="shared" si="2821"/>
        <v>0</v>
      </c>
      <c r="AK1386" s="145">
        <f t="array" ref="AK1386">IFERROR(I1386*INDEX(F!$P$21:$AB$33, MATCH(G1386/$AH1386, F!$O$21:$O$33,1), MATCH(E1386, F!$P$20:$AB$20,1)), 0 ) +IFERROR( M1386*INDEX(F!$P$21:$AB$33, MATCH(K1386/$AH1386, F!$O$21:$O$33,1), MATCH(E1386, F!$P$20:$AB$20,1)),0) +  IFERROR( Q1386*INDEX(F!$P$21:$AB$33, MATCH(O1386/$AH1386, F!$O$21:$O$33,1), MATCH(E1386, F!$P$20:$AB$20,1)), 0) + IFERROR( U1386*INDEX(F!$P$21:$AB$33, MATCH(S1386/$AH1386, F!$O$21:$O$33,1), MATCH(E1386, F!$P$20:$AB$20,1)),0)  + IFERROR(Y1386*INDEX(F!$P$21:$AB$33, MATCH(W1386/$AH1386, F!$O$21:$O$33,1), MATCH(E1386, F!$P$20:$AB$20,1)),0)  + IFERROR( AC1386*INDEX(F!$P$21:$AB$33, MATCH(AA1386/$AH1386, F!$O$21:$O$33,1), MATCH(E1386, F!$P$20:$AB$20,1)),)</f>
        <v>0</v>
      </c>
      <c r="AL1386" s="59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</row>
    <row r="1387" ht="15.75" hidden="1" customHeight="1">
      <c r="A1387" s="59"/>
      <c r="B1387" s="126" t="str">
        <f t="shared" ref="B1387:F1387" si="2823">IF(B1331="","",B1331)</f>
        <v/>
      </c>
      <c r="C1387" s="127" t="str">
        <f t="shared" si="2823"/>
        <v/>
      </c>
      <c r="D1387" s="128" t="str">
        <f t="shared" si="2823"/>
        <v/>
      </c>
      <c r="E1387" s="48" t="str">
        <f t="shared" si="2823"/>
        <v/>
      </c>
      <c r="F1387" s="129" t="str">
        <f t="shared" si="2823"/>
        <v/>
      </c>
      <c r="G1387" s="130" t="str">
        <f t="shared" si="2812"/>
        <v/>
      </c>
      <c r="H1387" s="34"/>
      <c r="I1387" s="34"/>
      <c r="J1387" s="65"/>
      <c r="K1387" s="130" t="str">
        <f t="shared" si="2813"/>
        <v/>
      </c>
      <c r="L1387" s="34"/>
      <c r="M1387" s="34"/>
      <c r="N1387" s="65"/>
      <c r="O1387" s="130" t="str">
        <f t="shared" si="2814"/>
        <v/>
      </c>
      <c r="P1387" s="34"/>
      <c r="Q1387" s="34"/>
      <c r="R1387" s="65"/>
      <c r="S1387" s="130" t="str">
        <f t="shared" si="2815"/>
        <v/>
      </c>
      <c r="T1387" s="34"/>
      <c r="U1387" s="34"/>
      <c r="V1387" s="65"/>
      <c r="W1387" s="130" t="str">
        <f t="shared" si="2816"/>
        <v/>
      </c>
      <c r="X1387" s="34"/>
      <c r="Y1387" s="34"/>
      <c r="Z1387" s="65"/>
      <c r="AA1387" s="130" t="str">
        <f t="shared" si="2817"/>
        <v/>
      </c>
      <c r="AB1387" s="34"/>
      <c r="AC1387" s="34"/>
      <c r="AD1387" s="65"/>
      <c r="AE1387" s="131">
        <f t="shared" si="2818"/>
        <v>0</v>
      </c>
      <c r="AF1387" s="132">
        <f t="shared" si="2742"/>
        <v>0</v>
      </c>
      <c r="AG1387" s="133">
        <f t="shared" si="2819"/>
        <v>0</v>
      </c>
      <c r="AH1387" s="76" t="str">
        <f t="shared" si="2820"/>
        <v/>
      </c>
      <c r="AI1387" s="132">
        <f> ( IF(ISNUMBER(G1387), VLOOKUP(G1387/$AH1387,F!$A1:$B101,2,1)*G1387*$H1387*$I1387,0)+IF(ISNUMBER(K1387), VLOOKUP(K1387/$AH1387,F!$A1:$B101,2,1)*K1387*$L1387*$M1387,0)+IF(ISNUMBER(O1387), VLOOKUP(O1387/$AH1387,F!$A1:$B101,2,1)*O1387*$P1387*$Q1387,0)+IF(ISNUMBER(S1387), VLOOKUP(S1387/$AH1387,F!$A1:$B101,2,1)*S1387*$T1387*$U1387,0)+IF(ISNUMBER(W1387), VLOOKUP(W1387/$AH1387,F!$A1:$B101,2,1)*W1387*$X1387*$Y1387,0)+IF(ISNUMBER(AA1387), VLOOKUP(AA1387/$AH1387,F!$A1:$B101,2,1)*AA1387*$AB1387*$AC1387,0))*IF(ISNUMBER(F1387),F1387,1)*IF(ISNUMBER(E1387),E1387,1)</f>
        <v>0</v>
      </c>
      <c r="AJ1387" s="34">
        <f t="shared" si="2821"/>
        <v>0</v>
      </c>
      <c r="AK1387" s="134">
        <f t="array" ref="AK1387">IFERROR(I1387*INDEX(F!$P$21:$AB$33, MATCH(G1387/$AH1387, F!$O$21:$O$33,1), MATCH(E1387, F!$P$20:$AB$20,1)), 0 ) +IFERROR( M1387*INDEX(F!$P$21:$AB$33, MATCH(K1387/$AH1387, F!$O$21:$O$33,1), MATCH(E1387, F!$P$20:$AB$20,1)),0) +  IFERROR( Q1387*INDEX(F!$P$21:$AB$33, MATCH(O1387/$AH1387, F!$O$21:$O$33,1), MATCH(E1387, F!$P$20:$AB$20,1)), 0) + IFERROR( U1387*INDEX(F!$P$21:$AB$33, MATCH(S1387/$AH1387, F!$O$21:$O$33,1), MATCH(E1387, F!$P$20:$AB$20,1)),0)  + IFERROR(Y1387*INDEX(F!$P$21:$AB$33, MATCH(W1387/$AH1387, F!$O$21:$O$33,1), MATCH(E1387, F!$P$20:$AB$20,1)),0)  + IFERROR( AC1387*INDEX(F!$P$21:$AB$33, MATCH(AA1387/$AH1387, F!$O$21:$O$33,1), MATCH(E1387, F!$P$20:$AB$20,1)),)</f>
        <v>0</v>
      </c>
      <c r="AL1387" s="59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</row>
    <row r="1388" ht="15.75" hidden="1" customHeight="1">
      <c r="A1388" s="59"/>
      <c r="B1388" s="135" t="str">
        <f t="shared" ref="B1388:F1388" si="2824">IF(B1332="","",B1332)</f>
        <v/>
      </c>
      <c r="C1388" s="136" t="str">
        <f t="shared" si="2824"/>
        <v/>
      </c>
      <c r="D1388" s="137" t="str">
        <f t="shared" si="2824"/>
        <v/>
      </c>
      <c r="E1388" s="48" t="str">
        <f t="shared" si="2824"/>
        <v/>
      </c>
      <c r="F1388" s="138" t="str">
        <f t="shared" si="2824"/>
        <v/>
      </c>
      <c r="G1388" s="139" t="str">
        <f t="shared" si="2812"/>
        <v/>
      </c>
      <c r="H1388" s="140"/>
      <c r="I1388" s="140"/>
      <c r="J1388" s="141"/>
      <c r="K1388" s="139" t="str">
        <f t="shared" si="2813"/>
        <v/>
      </c>
      <c r="L1388" s="140"/>
      <c r="M1388" s="140"/>
      <c r="N1388" s="141"/>
      <c r="O1388" s="139" t="str">
        <f t="shared" si="2814"/>
        <v/>
      </c>
      <c r="P1388" s="140"/>
      <c r="Q1388" s="140"/>
      <c r="R1388" s="141"/>
      <c r="S1388" s="139" t="str">
        <f t="shared" si="2815"/>
        <v/>
      </c>
      <c r="T1388" s="140"/>
      <c r="U1388" s="140"/>
      <c r="V1388" s="141"/>
      <c r="W1388" s="139" t="str">
        <f t="shared" si="2816"/>
        <v/>
      </c>
      <c r="X1388" s="140"/>
      <c r="Y1388" s="140"/>
      <c r="Z1388" s="141"/>
      <c r="AA1388" s="139" t="str">
        <f t="shared" si="2817"/>
        <v/>
      </c>
      <c r="AB1388" s="140"/>
      <c r="AC1388" s="140"/>
      <c r="AD1388" s="141"/>
      <c r="AE1388" s="142">
        <f t="shared" si="2818"/>
        <v>0</v>
      </c>
      <c r="AF1388" s="143">
        <f t="shared" si="2742"/>
        <v>0</v>
      </c>
      <c r="AG1388" s="144">
        <f t="shared" si="2819"/>
        <v>0</v>
      </c>
      <c r="AH1388" s="76" t="str">
        <f t="shared" si="2820"/>
        <v/>
      </c>
      <c r="AI1388" s="143">
        <f> ( IF(ISNUMBER(G1388), VLOOKUP(G1388/$AH1388,F!$A1:$B101,2,1)*G1388*$H1388*$I1388,0)+IF(ISNUMBER(K1388), VLOOKUP(K1388/$AH1388,F!$A1:$B101,2,1)*K1388*$L1388*$M1388,0)+IF(ISNUMBER(O1388), VLOOKUP(O1388/$AH1388,F!$A1:$B101,2,1)*O1388*$P1388*$Q1388,0)+IF(ISNUMBER(S1388), VLOOKUP(S1388/$AH1388,F!$A1:$B101,2,1)*S1388*$T1388*$U1388,0)+IF(ISNUMBER(W1388), VLOOKUP(W1388/$AH1388,F!$A1:$B101,2,1)*W1388*$X1388*$Y1388,0)+IF(ISNUMBER(AA1388), VLOOKUP(AA1388/$AH1388,F!$A1:$B101,2,1)*AA1388*$AB1388*$AC1388,0))*IF(ISNUMBER(F1388),F1388,1)*IF(ISNUMBER(E1388),E1388,1)</f>
        <v>0</v>
      </c>
      <c r="AJ1388" s="140">
        <f t="shared" si="2821"/>
        <v>0</v>
      </c>
      <c r="AK1388" s="145">
        <f t="array" ref="AK1388">IFERROR(I1388*INDEX(F!$P$21:$AB$33, MATCH(G1388/$AH1388, F!$O$21:$O$33,1), MATCH(E1388, F!$P$20:$AB$20,1)), 0 ) +IFERROR( M1388*INDEX(F!$P$21:$AB$33, MATCH(K1388/$AH1388, F!$O$21:$O$33,1), MATCH(E1388, F!$P$20:$AB$20,1)),0) +  IFERROR( Q1388*INDEX(F!$P$21:$AB$33, MATCH(O1388/$AH1388, F!$O$21:$O$33,1), MATCH(E1388, F!$P$20:$AB$20,1)), 0) + IFERROR( U1388*INDEX(F!$P$21:$AB$33, MATCH(S1388/$AH1388, F!$O$21:$O$33,1), MATCH(E1388, F!$P$20:$AB$20,1)),0)  + IFERROR(Y1388*INDEX(F!$P$21:$AB$33, MATCH(W1388/$AH1388, F!$O$21:$O$33,1), MATCH(E1388, F!$P$20:$AB$20,1)),0)  + IFERROR( AC1388*INDEX(F!$P$21:$AB$33, MATCH(AA1388/$AH1388, F!$O$21:$O$33,1), MATCH(E1388, F!$P$20:$AB$20,1)),)</f>
        <v>0</v>
      </c>
      <c r="AL1388" s="59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</row>
    <row r="1389" ht="15.75" hidden="1" customHeight="1">
      <c r="A1389" s="59"/>
      <c r="B1389" s="126" t="str">
        <f t="shared" ref="B1389:F1389" si="2825">IF(B1333="","",B1333)</f>
        <v/>
      </c>
      <c r="C1389" s="127" t="str">
        <f t="shared" si="2825"/>
        <v/>
      </c>
      <c r="D1389" s="128" t="str">
        <f t="shared" si="2825"/>
        <v/>
      </c>
      <c r="E1389" s="48" t="str">
        <f t="shared" si="2825"/>
        <v/>
      </c>
      <c r="F1389" s="129" t="str">
        <f t="shared" si="2825"/>
        <v/>
      </c>
      <c r="G1389" s="130" t="str">
        <f t="shared" si="2812"/>
        <v/>
      </c>
      <c r="H1389" s="34"/>
      <c r="I1389" s="34"/>
      <c r="J1389" s="65"/>
      <c r="K1389" s="130" t="str">
        <f t="shared" si="2813"/>
        <v/>
      </c>
      <c r="L1389" s="34"/>
      <c r="M1389" s="34"/>
      <c r="N1389" s="65"/>
      <c r="O1389" s="130" t="str">
        <f t="shared" si="2814"/>
        <v/>
      </c>
      <c r="P1389" s="34"/>
      <c r="Q1389" s="34"/>
      <c r="R1389" s="65"/>
      <c r="S1389" s="130" t="str">
        <f t="shared" si="2815"/>
        <v/>
      </c>
      <c r="T1389" s="34"/>
      <c r="U1389" s="34"/>
      <c r="V1389" s="65"/>
      <c r="W1389" s="130" t="str">
        <f t="shared" si="2816"/>
        <v/>
      </c>
      <c r="X1389" s="34"/>
      <c r="Y1389" s="34"/>
      <c r="Z1389" s="65"/>
      <c r="AA1389" s="130" t="str">
        <f t="shared" si="2817"/>
        <v/>
      </c>
      <c r="AB1389" s="34"/>
      <c r="AC1389" s="34"/>
      <c r="AD1389" s="65"/>
      <c r="AE1389" s="131">
        <f t="shared" si="2818"/>
        <v>0</v>
      </c>
      <c r="AF1389" s="132">
        <f t="shared" si="2742"/>
        <v>0</v>
      </c>
      <c r="AG1389" s="133">
        <f t="shared" si="2819"/>
        <v>0</v>
      </c>
      <c r="AH1389" s="76" t="str">
        <f t="shared" si="2820"/>
        <v/>
      </c>
      <c r="AI1389" s="132">
        <f> ( IF(ISNUMBER(G1389), VLOOKUP(G1389/$AH1389,F!$A1:$B101,2,1)*G1389*$H1389*$I1389,0)+IF(ISNUMBER(K1389), VLOOKUP(K1389/$AH1389,F!$A1:$B101,2,1)*K1389*$L1389*$M1389,0)+IF(ISNUMBER(O1389), VLOOKUP(O1389/$AH1389,F!$A1:$B101,2,1)*O1389*$P1389*$Q1389,0)+IF(ISNUMBER(S1389), VLOOKUP(S1389/$AH1389,F!$A1:$B101,2,1)*S1389*$T1389*$U1389,0)+IF(ISNUMBER(W1389), VLOOKUP(W1389/$AH1389,F!$A1:$B101,2,1)*W1389*$X1389*$Y1389,0)+IF(ISNUMBER(AA1389), VLOOKUP(AA1389/$AH1389,F!$A1:$B101,2,1)*AA1389*$AB1389*$AC1389,0))*IF(ISNUMBER(F1389),F1389,1)*IF(ISNUMBER(E1389),E1389,1)</f>
        <v>0</v>
      </c>
      <c r="AJ1389" s="34">
        <f t="shared" si="2821"/>
        <v>0</v>
      </c>
      <c r="AK1389" s="134">
        <f t="array" ref="AK1389">IFERROR(I1389*INDEX(F!$P$21:$AB$33, MATCH(G1389/$AH1389, F!$O$21:$O$33,1), MATCH(E1389, F!$P$20:$AB$20,1)), 0 ) +IFERROR( M1389*INDEX(F!$P$21:$AB$33, MATCH(K1389/$AH1389, F!$O$21:$O$33,1), MATCH(E1389, F!$P$20:$AB$20,1)),0) +  IFERROR( Q1389*INDEX(F!$P$21:$AB$33, MATCH(O1389/$AH1389, F!$O$21:$O$33,1), MATCH(E1389, F!$P$20:$AB$20,1)), 0) + IFERROR( U1389*INDEX(F!$P$21:$AB$33, MATCH(S1389/$AH1389, F!$O$21:$O$33,1), MATCH(E1389, F!$P$20:$AB$20,1)),0)  + IFERROR(Y1389*INDEX(F!$P$21:$AB$33, MATCH(W1389/$AH1389, F!$O$21:$O$33,1), MATCH(E1389, F!$P$20:$AB$20,1)),0)  + IFERROR( AC1389*INDEX(F!$P$21:$AB$33, MATCH(AA1389/$AH1389, F!$O$21:$O$33,1), MATCH(E1389, F!$P$20:$AB$20,1)),)</f>
        <v>0</v>
      </c>
      <c r="AL1389" s="59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</row>
    <row r="1390" ht="15.75" hidden="1" customHeight="1">
      <c r="A1390" s="59"/>
      <c r="B1390" s="135" t="str">
        <f t="shared" ref="B1390:F1390" si="2826">IF(B1334="","",B1334)</f>
        <v/>
      </c>
      <c r="C1390" s="136" t="str">
        <f t="shared" si="2826"/>
        <v/>
      </c>
      <c r="D1390" s="137" t="str">
        <f t="shared" si="2826"/>
        <v/>
      </c>
      <c r="E1390" s="48" t="str">
        <f t="shared" si="2826"/>
        <v/>
      </c>
      <c r="F1390" s="138" t="str">
        <f t="shared" si="2826"/>
        <v/>
      </c>
      <c r="G1390" s="139" t="str">
        <f t="shared" si="2812"/>
        <v/>
      </c>
      <c r="H1390" s="140"/>
      <c r="I1390" s="140"/>
      <c r="J1390" s="141"/>
      <c r="K1390" s="139" t="str">
        <f t="shared" si="2813"/>
        <v/>
      </c>
      <c r="L1390" s="140"/>
      <c r="M1390" s="140"/>
      <c r="N1390" s="141"/>
      <c r="O1390" s="139" t="str">
        <f t="shared" si="2814"/>
        <v/>
      </c>
      <c r="P1390" s="140"/>
      <c r="Q1390" s="140"/>
      <c r="R1390" s="141"/>
      <c r="S1390" s="139" t="str">
        <f t="shared" si="2815"/>
        <v/>
      </c>
      <c r="T1390" s="140"/>
      <c r="U1390" s="140"/>
      <c r="V1390" s="141"/>
      <c r="W1390" s="139" t="str">
        <f t="shared" si="2816"/>
        <v/>
      </c>
      <c r="X1390" s="140"/>
      <c r="Y1390" s="140"/>
      <c r="Z1390" s="141"/>
      <c r="AA1390" s="139" t="str">
        <f t="shared" si="2817"/>
        <v/>
      </c>
      <c r="AB1390" s="140"/>
      <c r="AC1390" s="140"/>
      <c r="AD1390" s="141"/>
      <c r="AE1390" s="142">
        <f t="shared" si="2818"/>
        <v>0</v>
      </c>
      <c r="AF1390" s="143">
        <f t="shared" si="2742"/>
        <v>0</v>
      </c>
      <c r="AG1390" s="144">
        <f t="shared" si="2819"/>
        <v>0</v>
      </c>
      <c r="AH1390" s="76" t="str">
        <f t="shared" si="2820"/>
        <v/>
      </c>
      <c r="AI1390" s="143">
        <f> ( IF(ISNUMBER(G1390), VLOOKUP(G1390/$AH1390,F!$A1:$B101,2,1)*G1390*$H1390*$I1390,0)+IF(ISNUMBER(K1390), VLOOKUP(K1390/$AH1390,F!$A1:$B101,2,1)*K1390*$L1390*$M1390,0)+IF(ISNUMBER(O1390), VLOOKUP(O1390/$AH1390,F!$A1:$B101,2,1)*O1390*$P1390*$Q1390,0)+IF(ISNUMBER(S1390), VLOOKUP(S1390/$AH1390,F!$A1:$B101,2,1)*S1390*$T1390*$U1390,0)+IF(ISNUMBER(W1390), VLOOKUP(W1390/$AH1390,F!$A1:$B101,2,1)*W1390*$X1390*$Y1390,0)+IF(ISNUMBER(AA1390), VLOOKUP(AA1390/$AH1390,F!$A1:$B101,2,1)*AA1390*$AB1390*$AC1390,0))*IF(ISNUMBER(F1390),F1390,1)*IF(ISNUMBER(E1390),E1390,1)</f>
        <v>0</v>
      </c>
      <c r="AJ1390" s="140">
        <f t="shared" si="2821"/>
        <v>0</v>
      </c>
      <c r="AK1390" s="145">
        <f t="array" ref="AK1390">IFERROR(I1390*INDEX(F!$P$21:$AB$33, MATCH(G1390/$AH1390, F!$O$21:$O$33,1), MATCH(E1390, F!$P$20:$AB$20,1)), 0 ) +IFERROR( M1390*INDEX(F!$P$21:$AB$33, MATCH(K1390/$AH1390, F!$O$21:$O$33,1), MATCH(E1390, F!$P$20:$AB$20,1)),0) +  IFERROR( Q1390*INDEX(F!$P$21:$AB$33, MATCH(O1390/$AH1390, F!$O$21:$O$33,1), MATCH(E1390, F!$P$20:$AB$20,1)), 0) + IFERROR( U1390*INDEX(F!$P$21:$AB$33, MATCH(S1390/$AH1390, F!$O$21:$O$33,1), MATCH(E1390, F!$P$20:$AB$20,1)),0)  + IFERROR(Y1390*INDEX(F!$P$21:$AB$33, MATCH(W1390/$AH1390, F!$O$21:$O$33,1), MATCH(E1390, F!$P$20:$AB$20,1)),0)  + IFERROR( AC1390*INDEX(F!$P$21:$AB$33, MATCH(AA1390/$AH1390, F!$O$21:$O$33,1), MATCH(E1390, F!$P$20:$AB$20,1)),)</f>
        <v>0</v>
      </c>
      <c r="AL1390" s="59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</row>
    <row r="1391" ht="15.75" hidden="1" customHeight="1">
      <c r="A1391" s="59"/>
      <c r="B1391" s="126" t="str">
        <f t="shared" ref="B1391:F1391" si="2827">IF(B1335="","",B1335)</f>
        <v/>
      </c>
      <c r="C1391" s="127" t="str">
        <f t="shared" si="2827"/>
        <v/>
      </c>
      <c r="D1391" s="128" t="str">
        <f t="shared" si="2827"/>
        <v/>
      </c>
      <c r="E1391" s="48" t="str">
        <f t="shared" si="2827"/>
        <v/>
      </c>
      <c r="F1391" s="129" t="str">
        <f t="shared" si="2827"/>
        <v/>
      </c>
      <c r="G1391" s="130" t="str">
        <f t="shared" si="2812"/>
        <v/>
      </c>
      <c r="H1391" s="34"/>
      <c r="I1391" s="34"/>
      <c r="J1391" s="65"/>
      <c r="K1391" s="130" t="str">
        <f t="shared" si="2813"/>
        <v/>
      </c>
      <c r="L1391" s="34"/>
      <c r="M1391" s="34"/>
      <c r="N1391" s="65"/>
      <c r="O1391" s="130" t="str">
        <f t="shared" si="2814"/>
        <v/>
      </c>
      <c r="P1391" s="34"/>
      <c r="Q1391" s="34"/>
      <c r="R1391" s="65"/>
      <c r="S1391" s="130" t="str">
        <f t="shared" si="2815"/>
        <v/>
      </c>
      <c r="T1391" s="34"/>
      <c r="U1391" s="34"/>
      <c r="V1391" s="65"/>
      <c r="W1391" s="130" t="str">
        <f t="shared" si="2816"/>
        <v/>
      </c>
      <c r="X1391" s="34"/>
      <c r="Y1391" s="34"/>
      <c r="Z1391" s="65"/>
      <c r="AA1391" s="130" t="str">
        <f t="shared" si="2817"/>
        <v/>
      </c>
      <c r="AB1391" s="34"/>
      <c r="AC1391" s="34"/>
      <c r="AD1391" s="65"/>
      <c r="AE1391" s="131">
        <f t="shared" si="2818"/>
        <v>0</v>
      </c>
      <c r="AF1391" s="132">
        <f t="shared" si="2742"/>
        <v>0</v>
      </c>
      <c r="AG1391" s="133">
        <f t="shared" si="2819"/>
        <v>0</v>
      </c>
      <c r="AH1391" s="76" t="str">
        <f t="shared" si="2820"/>
        <v/>
      </c>
      <c r="AI1391" s="132">
        <f> ( IF(ISNUMBER(G1391), VLOOKUP(G1391/$AH1391,F!$A1:$B101,2,1)*G1391*$H1391*$I1391,0)+IF(ISNUMBER(K1391), VLOOKUP(K1391/$AH1391,F!$A1:$B101,2,1)*K1391*$L1391*$M1391,0)+IF(ISNUMBER(O1391), VLOOKUP(O1391/$AH1391,F!$A1:$B101,2,1)*O1391*$P1391*$Q1391,0)+IF(ISNUMBER(S1391), VLOOKUP(S1391/$AH1391,F!$A1:$B101,2,1)*S1391*$T1391*$U1391,0)+IF(ISNUMBER(W1391), VLOOKUP(W1391/$AH1391,F!$A1:$B101,2,1)*W1391*$X1391*$Y1391,0)+IF(ISNUMBER(AA1391), VLOOKUP(AA1391/$AH1391,F!$A1:$B101,2,1)*AA1391*$AB1391*$AC1391,0))*IF(ISNUMBER(F1391),F1391,1)*IF(ISNUMBER(E1391),E1391,1)</f>
        <v>0</v>
      </c>
      <c r="AJ1391" s="34">
        <f t="shared" si="2821"/>
        <v>0</v>
      </c>
      <c r="AK1391" s="134">
        <f t="array" ref="AK1391">IFERROR(I1391*INDEX(F!$P$21:$AB$33, MATCH(G1391/$AH1391, F!$O$21:$O$33,1), MATCH(E1391, F!$P$20:$AB$20,1)), 0 ) +IFERROR( M1391*INDEX(F!$P$21:$AB$33, MATCH(K1391/$AH1391, F!$O$21:$O$33,1), MATCH(E1391, F!$P$20:$AB$20,1)),0) +  IFERROR( Q1391*INDEX(F!$P$21:$AB$33, MATCH(O1391/$AH1391, F!$O$21:$O$33,1), MATCH(E1391, F!$P$20:$AB$20,1)), 0) + IFERROR( U1391*INDEX(F!$P$21:$AB$33, MATCH(S1391/$AH1391, F!$O$21:$O$33,1), MATCH(E1391, F!$P$20:$AB$20,1)),0)  + IFERROR(Y1391*INDEX(F!$P$21:$AB$33, MATCH(W1391/$AH1391, F!$O$21:$O$33,1), MATCH(E1391, F!$P$20:$AB$20,1)),0)  + IFERROR( AC1391*INDEX(F!$P$21:$AB$33, MATCH(AA1391/$AH1391, F!$O$21:$O$33,1), MATCH(E1391, F!$P$20:$AB$20,1)),)</f>
        <v>0</v>
      </c>
      <c r="AL1391" s="59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</row>
    <row r="1392" ht="15.75" hidden="1" customHeight="1">
      <c r="A1392" s="98"/>
      <c r="B1392" s="150"/>
      <c r="C1392" s="151"/>
      <c r="D1392" s="152"/>
      <c r="E1392" s="102">
        <f>ROUND(IFERROR(SUMPRODUCT(AJ1384:AJ1391,E1384:E1391)/AJ1392,0),3)</f>
        <v>0</v>
      </c>
      <c r="F1392" s="153"/>
      <c r="G1392" s="154"/>
      <c r="H1392" s="155"/>
      <c r="I1392" s="155"/>
      <c r="J1392" s="156"/>
      <c r="K1392" s="154"/>
      <c r="L1392" s="155"/>
      <c r="M1392" s="155"/>
      <c r="N1392" s="156"/>
      <c r="O1392" s="154"/>
      <c r="P1392" s="155"/>
      <c r="Q1392" s="155"/>
      <c r="R1392" s="156"/>
      <c r="S1392" s="154"/>
      <c r="T1392" s="155"/>
      <c r="U1392" s="155"/>
      <c r="V1392" s="156"/>
      <c r="W1392" s="154"/>
      <c r="X1392" s="155"/>
      <c r="Y1392" s="155"/>
      <c r="Z1392" s="156"/>
      <c r="AA1392" s="154"/>
      <c r="AB1392" s="155"/>
      <c r="AC1392" s="155"/>
      <c r="AD1392" s="156"/>
      <c r="AE1392" s="107">
        <f>SUM(AE1384:AE1391)</f>
        <v>0</v>
      </c>
      <c r="AF1392" s="108">
        <f t="shared" si="2742"/>
        <v>0</v>
      </c>
      <c r="AG1392" s="109">
        <f>IFERROR(  SUMPRODUCT(AG1384:AG1391,AJ1384:AJ1391)/AJ1392,0)</f>
        <v>0</v>
      </c>
      <c r="AH1392" s="157"/>
      <c r="AI1392" s="111">
        <f t="shared" ref="AI1392:AJ1392" si="2828">SUM(AI1384:AI1391)</f>
        <v>0</v>
      </c>
      <c r="AJ1392" s="111">
        <f t="shared" si="2828"/>
        <v>0</v>
      </c>
      <c r="AK1392" s="112">
        <f>IF(SUM(AK1384:AK1391)=0,TIME(,0,),TIME(,SUM(AK1384:AK1391)+F!$V$37,))</f>
        <v>0</v>
      </c>
      <c r="AL1392" s="98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</row>
    <row r="1393" ht="15.75" hidden="1" customHeight="1">
      <c r="A1393" s="158">
        <f>A1394</f>
        <v>43955</v>
      </c>
      <c r="B1393" s="159" t="str">
        <f t="shared" ref="B1393:F1393" si="2829">IF(B1337="","",B1337)</f>
        <v/>
      </c>
      <c r="C1393" s="160" t="str">
        <f t="shared" si="2829"/>
        <v/>
      </c>
      <c r="D1393" s="161" t="str">
        <f t="shared" si="2829"/>
        <v/>
      </c>
      <c r="E1393" s="29" t="str">
        <f t="shared" si="2829"/>
        <v/>
      </c>
      <c r="F1393" s="162" t="str">
        <f t="shared" si="2829"/>
        <v/>
      </c>
      <c r="G1393" s="163" t="str">
        <f t="shared" ref="G1393:G1400" si="2831">IF(J1393&lt;&gt;0, IFERROR(IF( $F1393=2,  MROUND($AH1393*J1393,1),    IF( OR($F1393="",$F1393=1),   MROUND($AH1393*J1393,2.5),  MROUND($AH1393*J1393, 0.1))), "" ), "")</f>
        <v/>
      </c>
      <c r="H1393" s="164"/>
      <c r="I1393" s="164"/>
      <c r="J1393" s="165"/>
      <c r="K1393" s="163" t="str">
        <f t="shared" ref="K1393:K1400" si="2832">IF(N1393&lt;&gt;0, IFERROR(IF( $F1393=2,  MROUND($AH1393*N1393,1),    IF( OR($F1393="",$F1393=1),   MROUND($AH1393*N1393,2.5),  MROUND($AH1393*N1393, 0.1))), "" ), "")</f>
        <v/>
      </c>
      <c r="L1393" s="164"/>
      <c r="M1393" s="164"/>
      <c r="N1393" s="165"/>
      <c r="O1393" s="163" t="str">
        <f t="shared" ref="O1393:O1400" si="2833">IF(R1393&lt;&gt;0, IFERROR(IF( $F1393=2,  MROUND($AH1393*R1393,1),    IF( OR($F1393="",$F1393=1),   MROUND($AH1393*R1393,2.5),  MROUND($AH1393*R1393, 0.1))), "" ), "")</f>
        <v/>
      </c>
      <c r="P1393" s="164"/>
      <c r="Q1393" s="164"/>
      <c r="R1393" s="165"/>
      <c r="S1393" s="163" t="str">
        <f t="shared" ref="S1393:S1400" si="2834">IF(V1393&lt;&gt;0, IFERROR(IF( $F1393=2,  MROUND($AH1393*V1393,1),    IF( OR($F1393="",$F1393=1),   MROUND($AH1393*V1393,2.5),  MROUND($AH1393*V1393, 0.1))), "" ), "")</f>
        <v/>
      </c>
      <c r="T1393" s="164"/>
      <c r="U1393" s="164"/>
      <c r="V1393" s="165"/>
      <c r="W1393" s="163" t="str">
        <f t="shared" ref="W1393:W1400" si="2835">IF(Z1393&lt;&gt;0, IFERROR(IF( $F1393=2,  MROUND($AH1393*Z1393,1),    IF( OR($F1393="",$F1393=1),   MROUND($AH1393*Z1393,2.5),  MROUND($AH1393*Z1393, 0.1))), "" ), "")</f>
        <v/>
      </c>
      <c r="X1393" s="164"/>
      <c r="Y1393" s="164"/>
      <c r="Z1393" s="165"/>
      <c r="AA1393" s="163" t="str">
        <f t="shared" ref="AA1393:AA1400" si="2836">IF(AD1393&lt;&gt;0, IFERROR(IF( $F1393=2,  MROUND($AH1393*AD1393,1),    IF( OR($F1393="",$F1393=1),   MROUND($AH1393*AD1393,2.5),  MROUND($AH1393*AD1393, 0.1))), "" ), "")</f>
        <v/>
      </c>
      <c r="AB1393" s="164"/>
      <c r="AC1393" s="164"/>
      <c r="AD1393" s="165"/>
      <c r="AE1393" s="166">
        <f t="shared" ref="AE1393:AE1400" si="2837">(IF(ISNUMBER(G1393),G1393,0)*H1393*I1393+IF(ISNUMBER(K1393),K1393,1)*L1393*M1393+IF(ISNUMBER(O1393),O1393,1)*P1393*Q1393+IF(ISNUMBER(S1393),S1393,1)*T1393*U1393+IF(ISNUMBER(W1393),W1393,1)*X1393*Y1393+IF(ISNUMBER(AA1393),AA1393,1)*AB1393*AC1393)*IF(ISNUMBER(F1393),F1393,1)</f>
        <v>0</v>
      </c>
      <c r="AF1393" s="167">
        <f t="shared" si="2742"/>
        <v>0</v>
      </c>
      <c r="AG1393" s="168">
        <f t="shared" ref="AG1393:AG1400" si="2838">IFERROR((AF1393/(AH1393*IF(ISNUMBER(F1393),F1393,1))),0)</f>
        <v>0</v>
      </c>
      <c r="AH1393" s="169" t="str">
        <f t="shared" ref="AH1393:AH1400" si="2839">IF(ISNUMBER(AH1337), AH1337+(AH1337*$AH$1346),"")</f>
        <v/>
      </c>
      <c r="AI1393" s="167">
        <f> ( IF(ISNUMBER(G1393), VLOOKUP(G1393/$AH1393,F!$A1:$B101,2,1)*G1393*$H1393*$I1393,0)+IF(ISNUMBER(K1393), VLOOKUP(K1393/$AH1393,F!$A1:$B101,2,1)*K1393*$L1393*$M1393,0)+IF(ISNUMBER(O1393), VLOOKUP(O1393/$AH1393,F!$A1:$B101,2,1)*O1393*$P1393*$Q1393,0)+IF(ISNUMBER(S1393), VLOOKUP(S1393/$AH1393,F!$A1:$B101,2,1)*S1393*$T1393*$U1393,0)+IF(ISNUMBER(W1393), VLOOKUP(W1393/$AH1393,F!$A1:$B101,2,1)*W1393*$X1393*$Y1393,0)+IF(ISNUMBER(AA1393), VLOOKUP(AA1393/$AH1393,F!$A1:$B101,2,1)*AA1393*$AB1393*$AC1393,0))*IF(ISNUMBER(F1393),F1393,1)*IF(ISNUMBER(E1393),E1393,1)</f>
        <v>0</v>
      </c>
      <c r="AJ1393" s="164">
        <f t="shared" ref="AJ1393:AJ1400" si="2840">H1393*I1393+L1393*M1393+P1393*Q1393+T1393*U1393+X1393*Y1393+AB1393*AC1393</f>
        <v>0</v>
      </c>
      <c r="AK1393" s="170">
        <f t="array" ref="AK1393">IFERROR(I1393*INDEX(F!$P$21:$AB$33, MATCH(G1393/$AH1393, F!$O$21:$O$33,1), MATCH(E1393, F!$P$20:$AB$20,1)), 0 ) +IFERROR( M1393*INDEX(F!$P$21:$AB$33, MATCH(K1393/$AH1393, F!$O$21:$O$33,1), MATCH(E1393, F!$P$20:$AB$20,1)),0) +  IFERROR( Q1393*INDEX(F!$P$21:$AB$33, MATCH(O1393/$AH1393, F!$O$21:$O$33,1), MATCH(E1393, F!$P$20:$AB$20,1)), 0) + IFERROR( U1393*INDEX(F!$P$21:$AB$33, MATCH(S1393/$AH1393, F!$O$21:$O$33,1), MATCH(E1393, F!$P$20:$AB$20,1)),0)  + IFERROR(Y1393*INDEX(F!$P$21:$AB$33, MATCH(W1393/$AH1393, F!$O$21:$O$33,1), MATCH(E1393, F!$P$20:$AB$20,1)),0)  + IFERROR( AC1393*INDEX(F!$P$21:$AB$33, MATCH(AA1393/$AH1393, F!$O$21:$O$33,1), MATCH(E1393, F!$P$20:$AB$20,1)),)</f>
        <v>0</v>
      </c>
      <c r="AL1393" s="42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</row>
    <row r="1394" ht="15.75" hidden="1" customHeight="1">
      <c r="A1394" s="44">
        <f>A1338+A1290</f>
        <v>43955</v>
      </c>
      <c r="B1394" s="135" t="str">
        <f t="shared" ref="B1394:F1394" si="2830">IF(B1338="","",B1338)</f>
        <v/>
      </c>
      <c r="C1394" s="136" t="str">
        <f t="shared" si="2830"/>
        <v/>
      </c>
      <c r="D1394" s="137" t="str">
        <f t="shared" si="2830"/>
        <v/>
      </c>
      <c r="E1394" s="48" t="str">
        <f t="shared" si="2830"/>
        <v/>
      </c>
      <c r="F1394" s="138" t="str">
        <f t="shared" si="2830"/>
        <v/>
      </c>
      <c r="G1394" s="139" t="str">
        <f t="shared" si="2831"/>
        <v/>
      </c>
      <c r="H1394" s="140"/>
      <c r="I1394" s="140"/>
      <c r="J1394" s="141"/>
      <c r="K1394" s="139" t="str">
        <f t="shared" si="2832"/>
        <v/>
      </c>
      <c r="L1394" s="140"/>
      <c r="M1394" s="140"/>
      <c r="N1394" s="141"/>
      <c r="O1394" s="139" t="str">
        <f t="shared" si="2833"/>
        <v/>
      </c>
      <c r="P1394" s="140"/>
      <c r="Q1394" s="140"/>
      <c r="R1394" s="141"/>
      <c r="S1394" s="139" t="str">
        <f t="shared" si="2834"/>
        <v/>
      </c>
      <c r="T1394" s="140"/>
      <c r="U1394" s="140"/>
      <c r="V1394" s="141"/>
      <c r="W1394" s="139" t="str">
        <f t="shared" si="2835"/>
        <v/>
      </c>
      <c r="X1394" s="140"/>
      <c r="Y1394" s="140"/>
      <c r="Z1394" s="141"/>
      <c r="AA1394" s="139" t="str">
        <f t="shared" si="2836"/>
        <v/>
      </c>
      <c r="AB1394" s="140"/>
      <c r="AC1394" s="140"/>
      <c r="AD1394" s="141"/>
      <c r="AE1394" s="142">
        <f t="shared" si="2837"/>
        <v>0</v>
      </c>
      <c r="AF1394" s="143">
        <f t="shared" si="2742"/>
        <v>0</v>
      </c>
      <c r="AG1394" s="144">
        <f t="shared" si="2838"/>
        <v>0</v>
      </c>
      <c r="AH1394" s="76" t="str">
        <f t="shared" si="2839"/>
        <v/>
      </c>
      <c r="AI1394" s="143">
        <f> ( IF(ISNUMBER(G1394), VLOOKUP(G1394/$AH1394,F!$A1:$B101,2,1)*G1394*$H1394*$I1394,0)+IF(ISNUMBER(K1394), VLOOKUP(K1394/$AH1394,F!$A1:$B101,2,1)*K1394*$L1394*$M1394,0)+IF(ISNUMBER(O1394), VLOOKUP(O1394/$AH1394,F!$A1:$B101,2,1)*O1394*$P1394*$Q1394,0)+IF(ISNUMBER(S1394), VLOOKUP(S1394/$AH1394,F!$A1:$B101,2,1)*S1394*$T1394*$U1394,0)+IF(ISNUMBER(W1394), VLOOKUP(W1394/$AH1394,F!$A1:$B101,2,1)*W1394*$X1394*$Y1394,0)+IF(ISNUMBER(AA1394), VLOOKUP(AA1394/$AH1394,F!$A1:$B101,2,1)*AA1394*$AB1394*$AC1394,0))*IF(ISNUMBER(F1394),F1394,1)*IF(ISNUMBER(E1394),E1394,1)</f>
        <v>0</v>
      </c>
      <c r="AJ1394" s="140">
        <f t="shared" si="2840"/>
        <v>0</v>
      </c>
      <c r="AK1394" s="145">
        <f t="array" ref="AK1394">IFERROR(I1394*INDEX(F!$P$21:$AB$33, MATCH(G1394/$AH1394, F!$O$21:$O$33,1), MATCH(E1394, F!$P$20:$AB$20,1)), 0 ) +IFERROR( M1394*INDEX(F!$P$21:$AB$33, MATCH(K1394/$AH1394, F!$O$21:$O$33,1), MATCH(E1394, F!$P$20:$AB$20,1)),0) +  IFERROR( Q1394*INDEX(F!$P$21:$AB$33, MATCH(O1394/$AH1394, F!$O$21:$O$33,1), MATCH(E1394, F!$P$20:$AB$20,1)), 0) + IFERROR( U1394*INDEX(F!$P$21:$AB$33, MATCH(S1394/$AH1394, F!$O$21:$O$33,1), MATCH(E1394, F!$P$20:$AB$20,1)),0)  + IFERROR(Y1394*INDEX(F!$P$21:$AB$33, MATCH(W1394/$AH1394, F!$O$21:$O$33,1), MATCH(E1394, F!$P$20:$AB$20,1)),0)  + IFERROR( AC1394*INDEX(F!$P$21:$AB$33, MATCH(AA1394/$AH1394, F!$O$21:$O$33,1), MATCH(E1394, F!$P$20:$AB$20,1)),)</f>
        <v>0</v>
      </c>
      <c r="AL1394" s="59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</row>
    <row r="1395" ht="15.75" hidden="1" customHeight="1">
      <c r="A1395" s="59"/>
      <c r="B1395" s="173" t="str">
        <f t="shared" ref="B1395:F1395" si="2841">IF(B1339="","",B1339)</f>
        <v/>
      </c>
      <c r="C1395" s="174" t="str">
        <f t="shared" si="2841"/>
        <v/>
      </c>
      <c r="D1395" s="175" t="str">
        <f t="shared" si="2841"/>
        <v/>
      </c>
      <c r="E1395" s="48" t="str">
        <f t="shared" si="2841"/>
        <v/>
      </c>
      <c r="F1395" s="176" t="str">
        <f t="shared" si="2841"/>
        <v/>
      </c>
      <c r="G1395" s="177" t="str">
        <f t="shared" si="2831"/>
        <v/>
      </c>
      <c r="H1395" s="178"/>
      <c r="I1395" s="178"/>
      <c r="J1395" s="179"/>
      <c r="K1395" s="177" t="str">
        <f t="shared" si="2832"/>
        <v/>
      </c>
      <c r="L1395" s="178"/>
      <c r="M1395" s="178"/>
      <c r="N1395" s="179"/>
      <c r="O1395" s="177" t="str">
        <f t="shared" si="2833"/>
        <v/>
      </c>
      <c r="P1395" s="178"/>
      <c r="Q1395" s="178"/>
      <c r="R1395" s="179"/>
      <c r="S1395" s="177" t="str">
        <f t="shared" si="2834"/>
        <v/>
      </c>
      <c r="T1395" s="178"/>
      <c r="U1395" s="178"/>
      <c r="V1395" s="179"/>
      <c r="W1395" s="177" t="str">
        <f t="shared" si="2835"/>
        <v/>
      </c>
      <c r="X1395" s="178"/>
      <c r="Y1395" s="178"/>
      <c r="Z1395" s="179"/>
      <c r="AA1395" s="177" t="str">
        <f t="shared" si="2836"/>
        <v/>
      </c>
      <c r="AB1395" s="178"/>
      <c r="AC1395" s="178"/>
      <c r="AD1395" s="179"/>
      <c r="AE1395" s="180">
        <f t="shared" si="2837"/>
        <v>0</v>
      </c>
      <c r="AF1395" s="181">
        <f t="shared" si="2742"/>
        <v>0</v>
      </c>
      <c r="AG1395" s="182">
        <f t="shared" si="2838"/>
        <v>0</v>
      </c>
      <c r="AH1395" s="76" t="str">
        <f t="shared" si="2839"/>
        <v/>
      </c>
      <c r="AI1395" s="181">
        <f> ( IF(ISNUMBER(G1395), VLOOKUP(G1395/$AH1395,F!$A1:$B101,2,1)*G1395*$H1395*$I1395,0)+IF(ISNUMBER(K1395), VLOOKUP(K1395/$AH1395,F!$A1:$B101,2,1)*K1395*$L1395*$M1395,0)+IF(ISNUMBER(O1395), VLOOKUP(O1395/$AH1395,F!$A1:$B101,2,1)*O1395*$P1395*$Q1395,0)+IF(ISNUMBER(S1395), VLOOKUP(S1395/$AH1395,F!$A1:$B101,2,1)*S1395*$T1395*$U1395,0)+IF(ISNUMBER(W1395), VLOOKUP(W1395/$AH1395,F!$A1:$B101,2,1)*W1395*$X1395*$Y1395,0)+IF(ISNUMBER(AA1395), VLOOKUP(AA1395/$AH1395,F!$A1:$B101,2,1)*AA1395*$AB1395*$AC1395,0))*IF(ISNUMBER(F1395),F1395,1)*IF(ISNUMBER(E1395),E1395,1)</f>
        <v>0</v>
      </c>
      <c r="AJ1395" s="178">
        <f t="shared" si="2840"/>
        <v>0</v>
      </c>
      <c r="AK1395" s="183">
        <f t="array" ref="AK1395">IFERROR(I1395*INDEX(F!$P$21:$AB$33, MATCH(G1395/$AH1395, F!$O$21:$O$33,1), MATCH(E1395, F!$P$20:$AB$20,1)), 0 ) +IFERROR( M1395*INDEX(F!$P$21:$AB$33, MATCH(K1395/$AH1395, F!$O$21:$O$33,1), MATCH(E1395, F!$P$20:$AB$20,1)),0) +  IFERROR( Q1395*INDEX(F!$P$21:$AB$33, MATCH(O1395/$AH1395, F!$O$21:$O$33,1), MATCH(E1395, F!$P$20:$AB$20,1)), 0) + IFERROR( U1395*INDEX(F!$P$21:$AB$33, MATCH(S1395/$AH1395, F!$O$21:$O$33,1), MATCH(E1395, F!$P$20:$AB$20,1)),0)  + IFERROR(Y1395*INDEX(F!$P$21:$AB$33, MATCH(W1395/$AH1395, F!$O$21:$O$33,1), MATCH(E1395, F!$P$20:$AB$20,1)),0)  + IFERROR( AC1395*INDEX(F!$P$21:$AB$33, MATCH(AA1395/$AH1395, F!$O$21:$O$33,1), MATCH(E1395, F!$P$20:$AB$20,1)),)</f>
        <v>0</v>
      </c>
      <c r="AL1395" s="59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</row>
    <row r="1396" ht="15.75" hidden="1" customHeight="1">
      <c r="A1396" s="59"/>
      <c r="B1396" s="135" t="str">
        <f t="shared" ref="B1396:F1396" si="2842">IF(B1340="","",B1340)</f>
        <v/>
      </c>
      <c r="C1396" s="136" t="str">
        <f t="shared" si="2842"/>
        <v/>
      </c>
      <c r="D1396" s="137" t="str">
        <f t="shared" si="2842"/>
        <v/>
      </c>
      <c r="E1396" s="48" t="str">
        <f t="shared" si="2842"/>
        <v/>
      </c>
      <c r="F1396" s="138" t="str">
        <f t="shared" si="2842"/>
        <v/>
      </c>
      <c r="G1396" s="139" t="str">
        <f t="shared" si="2831"/>
        <v/>
      </c>
      <c r="H1396" s="140"/>
      <c r="I1396" s="140"/>
      <c r="J1396" s="141"/>
      <c r="K1396" s="139" t="str">
        <f t="shared" si="2832"/>
        <v/>
      </c>
      <c r="L1396" s="140"/>
      <c r="M1396" s="140"/>
      <c r="N1396" s="141"/>
      <c r="O1396" s="139" t="str">
        <f t="shared" si="2833"/>
        <v/>
      </c>
      <c r="P1396" s="140"/>
      <c r="Q1396" s="140"/>
      <c r="R1396" s="141"/>
      <c r="S1396" s="139" t="str">
        <f t="shared" si="2834"/>
        <v/>
      </c>
      <c r="T1396" s="140"/>
      <c r="U1396" s="140"/>
      <c r="V1396" s="141"/>
      <c r="W1396" s="139" t="str">
        <f t="shared" si="2835"/>
        <v/>
      </c>
      <c r="X1396" s="140"/>
      <c r="Y1396" s="140"/>
      <c r="Z1396" s="141"/>
      <c r="AA1396" s="139" t="str">
        <f t="shared" si="2836"/>
        <v/>
      </c>
      <c r="AB1396" s="140"/>
      <c r="AC1396" s="140"/>
      <c r="AD1396" s="141"/>
      <c r="AE1396" s="142">
        <f t="shared" si="2837"/>
        <v>0</v>
      </c>
      <c r="AF1396" s="143">
        <f t="shared" si="2742"/>
        <v>0</v>
      </c>
      <c r="AG1396" s="144">
        <f t="shared" si="2838"/>
        <v>0</v>
      </c>
      <c r="AH1396" s="76" t="str">
        <f t="shared" si="2839"/>
        <v/>
      </c>
      <c r="AI1396" s="143">
        <f> ( IF(ISNUMBER(G1396), VLOOKUP(G1396/$AH1396,F!$A1:$B101,2,1)*G1396*$H1396*$I1396,0)+IF(ISNUMBER(K1396), VLOOKUP(K1396/$AH1396,F!$A1:$B101,2,1)*K1396*$L1396*$M1396,0)+IF(ISNUMBER(O1396), VLOOKUP(O1396/$AH1396,F!$A1:$B101,2,1)*O1396*$P1396*$Q1396,0)+IF(ISNUMBER(S1396), VLOOKUP(S1396/$AH1396,F!$A1:$B101,2,1)*S1396*$T1396*$U1396,0)+IF(ISNUMBER(W1396), VLOOKUP(W1396/$AH1396,F!$A1:$B101,2,1)*W1396*$X1396*$Y1396,0)+IF(ISNUMBER(AA1396), VLOOKUP(AA1396/$AH1396,F!$A1:$B101,2,1)*AA1396*$AB1396*$AC1396,0))*IF(ISNUMBER(F1396),F1396,1)*IF(ISNUMBER(E1396),E1396,1)</f>
        <v>0</v>
      </c>
      <c r="AJ1396" s="140">
        <f t="shared" si="2840"/>
        <v>0</v>
      </c>
      <c r="AK1396" s="145">
        <f t="array" ref="AK1396">IFERROR(I1396*INDEX(F!$P$21:$AB$33, MATCH(G1396/$AH1396, F!$O$21:$O$33,1), MATCH(E1396, F!$P$20:$AB$20,1)), 0 ) +IFERROR( M1396*INDEX(F!$P$21:$AB$33, MATCH(K1396/$AH1396, F!$O$21:$O$33,1), MATCH(E1396, F!$P$20:$AB$20,1)),0) +  IFERROR( Q1396*INDEX(F!$P$21:$AB$33, MATCH(O1396/$AH1396, F!$O$21:$O$33,1), MATCH(E1396, F!$P$20:$AB$20,1)), 0) + IFERROR( U1396*INDEX(F!$P$21:$AB$33, MATCH(S1396/$AH1396, F!$O$21:$O$33,1), MATCH(E1396, F!$P$20:$AB$20,1)),0)  + IFERROR(Y1396*INDEX(F!$P$21:$AB$33, MATCH(W1396/$AH1396, F!$O$21:$O$33,1), MATCH(E1396, F!$P$20:$AB$20,1)),0)  + IFERROR( AC1396*INDEX(F!$P$21:$AB$33, MATCH(AA1396/$AH1396, F!$O$21:$O$33,1), MATCH(E1396, F!$P$20:$AB$20,1)),)</f>
        <v>0</v>
      </c>
      <c r="AL1396" s="59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</row>
    <row r="1397" ht="15.75" hidden="1" customHeight="1">
      <c r="A1397" s="59"/>
      <c r="B1397" s="173" t="str">
        <f t="shared" ref="B1397:F1397" si="2843">IF(B1341="","",B1341)</f>
        <v/>
      </c>
      <c r="C1397" s="174" t="str">
        <f t="shared" si="2843"/>
        <v/>
      </c>
      <c r="D1397" s="175" t="str">
        <f t="shared" si="2843"/>
        <v/>
      </c>
      <c r="E1397" s="48" t="str">
        <f t="shared" si="2843"/>
        <v/>
      </c>
      <c r="F1397" s="176" t="str">
        <f t="shared" si="2843"/>
        <v/>
      </c>
      <c r="G1397" s="177" t="str">
        <f t="shared" si="2831"/>
        <v/>
      </c>
      <c r="H1397" s="178"/>
      <c r="I1397" s="178"/>
      <c r="J1397" s="179"/>
      <c r="K1397" s="177" t="str">
        <f t="shared" si="2832"/>
        <v/>
      </c>
      <c r="L1397" s="178"/>
      <c r="M1397" s="178"/>
      <c r="N1397" s="179"/>
      <c r="O1397" s="177" t="str">
        <f t="shared" si="2833"/>
        <v/>
      </c>
      <c r="P1397" s="178"/>
      <c r="Q1397" s="178"/>
      <c r="R1397" s="179"/>
      <c r="S1397" s="177" t="str">
        <f t="shared" si="2834"/>
        <v/>
      </c>
      <c r="T1397" s="178"/>
      <c r="U1397" s="178"/>
      <c r="V1397" s="179"/>
      <c r="W1397" s="177" t="str">
        <f t="shared" si="2835"/>
        <v/>
      </c>
      <c r="X1397" s="178"/>
      <c r="Y1397" s="178"/>
      <c r="Z1397" s="179"/>
      <c r="AA1397" s="177" t="str">
        <f t="shared" si="2836"/>
        <v/>
      </c>
      <c r="AB1397" s="178"/>
      <c r="AC1397" s="178"/>
      <c r="AD1397" s="179"/>
      <c r="AE1397" s="180">
        <f t="shared" si="2837"/>
        <v>0</v>
      </c>
      <c r="AF1397" s="181">
        <f t="shared" si="2742"/>
        <v>0</v>
      </c>
      <c r="AG1397" s="182">
        <f t="shared" si="2838"/>
        <v>0</v>
      </c>
      <c r="AH1397" s="76" t="str">
        <f t="shared" si="2839"/>
        <v/>
      </c>
      <c r="AI1397" s="181">
        <f> ( IF(ISNUMBER(G1397), VLOOKUP(G1397/$AH1397,F!$A1:$B101,2,1)*G1397*$H1397*$I1397,0)+IF(ISNUMBER(K1397), VLOOKUP(K1397/$AH1397,F!$A1:$B101,2,1)*K1397*$L1397*$M1397,0)+IF(ISNUMBER(O1397), VLOOKUP(O1397/$AH1397,F!$A1:$B101,2,1)*O1397*$P1397*$Q1397,0)+IF(ISNUMBER(S1397), VLOOKUP(S1397/$AH1397,F!$A1:$B101,2,1)*S1397*$T1397*$U1397,0)+IF(ISNUMBER(W1397), VLOOKUP(W1397/$AH1397,F!$A1:$B101,2,1)*W1397*$X1397*$Y1397,0)+IF(ISNUMBER(AA1397), VLOOKUP(AA1397/$AH1397,F!$A1:$B101,2,1)*AA1397*$AB1397*$AC1397,0))*IF(ISNUMBER(F1397),F1397,1)*IF(ISNUMBER(E1397),E1397,1)</f>
        <v>0</v>
      </c>
      <c r="AJ1397" s="178">
        <f t="shared" si="2840"/>
        <v>0</v>
      </c>
      <c r="AK1397" s="183">
        <f t="array" ref="AK1397">IFERROR(I1397*INDEX(F!$P$21:$AB$33, MATCH(G1397/$AH1397, F!$O$21:$O$33,1), MATCH(E1397, F!$P$20:$AB$20,1)), 0 ) +IFERROR( M1397*INDEX(F!$P$21:$AB$33, MATCH(K1397/$AH1397, F!$O$21:$O$33,1), MATCH(E1397, F!$P$20:$AB$20,1)),0) +  IFERROR( Q1397*INDEX(F!$P$21:$AB$33, MATCH(O1397/$AH1397, F!$O$21:$O$33,1), MATCH(E1397, F!$P$20:$AB$20,1)), 0) + IFERROR( U1397*INDEX(F!$P$21:$AB$33, MATCH(S1397/$AH1397, F!$O$21:$O$33,1), MATCH(E1397, F!$P$20:$AB$20,1)),0)  + IFERROR(Y1397*INDEX(F!$P$21:$AB$33, MATCH(W1397/$AH1397, F!$O$21:$O$33,1), MATCH(E1397, F!$P$20:$AB$20,1)),0)  + IFERROR( AC1397*INDEX(F!$P$21:$AB$33, MATCH(AA1397/$AH1397, F!$O$21:$O$33,1), MATCH(E1397, F!$P$20:$AB$20,1)),)</f>
        <v>0</v>
      </c>
      <c r="AL1397" s="59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</row>
    <row r="1398" ht="15.75" hidden="1" customHeight="1">
      <c r="A1398" s="59"/>
      <c r="B1398" s="135" t="str">
        <f t="shared" ref="B1398:F1398" si="2844">IF(B1342="","",B1342)</f>
        <v/>
      </c>
      <c r="C1398" s="136" t="str">
        <f t="shared" si="2844"/>
        <v/>
      </c>
      <c r="D1398" s="137" t="str">
        <f t="shared" si="2844"/>
        <v/>
      </c>
      <c r="E1398" s="48" t="str">
        <f t="shared" si="2844"/>
        <v/>
      </c>
      <c r="F1398" s="138" t="str">
        <f t="shared" si="2844"/>
        <v/>
      </c>
      <c r="G1398" s="139" t="str">
        <f t="shared" si="2831"/>
        <v/>
      </c>
      <c r="H1398" s="140"/>
      <c r="I1398" s="140"/>
      <c r="J1398" s="141"/>
      <c r="K1398" s="139" t="str">
        <f t="shared" si="2832"/>
        <v/>
      </c>
      <c r="L1398" s="140"/>
      <c r="M1398" s="140"/>
      <c r="N1398" s="141"/>
      <c r="O1398" s="139" t="str">
        <f t="shared" si="2833"/>
        <v/>
      </c>
      <c r="P1398" s="140"/>
      <c r="Q1398" s="140"/>
      <c r="R1398" s="141"/>
      <c r="S1398" s="139" t="str">
        <f t="shared" si="2834"/>
        <v/>
      </c>
      <c r="T1398" s="140"/>
      <c r="U1398" s="140"/>
      <c r="V1398" s="141"/>
      <c r="W1398" s="139" t="str">
        <f t="shared" si="2835"/>
        <v/>
      </c>
      <c r="X1398" s="140"/>
      <c r="Y1398" s="140"/>
      <c r="Z1398" s="141"/>
      <c r="AA1398" s="139" t="str">
        <f t="shared" si="2836"/>
        <v/>
      </c>
      <c r="AB1398" s="140"/>
      <c r="AC1398" s="140"/>
      <c r="AD1398" s="141"/>
      <c r="AE1398" s="142">
        <f t="shared" si="2837"/>
        <v>0</v>
      </c>
      <c r="AF1398" s="143">
        <f t="shared" si="2742"/>
        <v>0</v>
      </c>
      <c r="AG1398" s="144">
        <f t="shared" si="2838"/>
        <v>0</v>
      </c>
      <c r="AH1398" s="76" t="str">
        <f t="shared" si="2839"/>
        <v/>
      </c>
      <c r="AI1398" s="143">
        <f> ( IF(ISNUMBER(G1398), VLOOKUP(G1398/$AH1398,F!$A1:$B101,2,1)*G1398*$H1398*$I1398,0)+IF(ISNUMBER(K1398), VLOOKUP(K1398/$AH1398,F!$A1:$B101,2,1)*K1398*$L1398*$M1398,0)+IF(ISNUMBER(O1398), VLOOKUP(O1398/$AH1398,F!$A1:$B101,2,1)*O1398*$P1398*$Q1398,0)+IF(ISNUMBER(S1398), VLOOKUP(S1398/$AH1398,F!$A1:$B101,2,1)*S1398*$T1398*$U1398,0)+IF(ISNUMBER(W1398), VLOOKUP(W1398/$AH1398,F!$A1:$B101,2,1)*W1398*$X1398*$Y1398,0)+IF(ISNUMBER(AA1398), VLOOKUP(AA1398/$AH1398,F!$A1:$B101,2,1)*AA1398*$AB1398*$AC1398,0))*IF(ISNUMBER(F1398),F1398,1)*IF(ISNUMBER(E1398),E1398,1)</f>
        <v>0</v>
      </c>
      <c r="AJ1398" s="140">
        <f t="shared" si="2840"/>
        <v>0</v>
      </c>
      <c r="AK1398" s="145">
        <f t="array" ref="AK1398">IFERROR(I1398*INDEX(F!$P$21:$AB$33, MATCH(G1398/$AH1398, F!$O$21:$O$33,1), MATCH(E1398, F!$P$20:$AB$20,1)), 0 ) +IFERROR( M1398*INDEX(F!$P$21:$AB$33, MATCH(K1398/$AH1398, F!$O$21:$O$33,1), MATCH(E1398, F!$P$20:$AB$20,1)),0) +  IFERROR( Q1398*INDEX(F!$P$21:$AB$33, MATCH(O1398/$AH1398, F!$O$21:$O$33,1), MATCH(E1398, F!$P$20:$AB$20,1)), 0) + IFERROR( U1398*INDEX(F!$P$21:$AB$33, MATCH(S1398/$AH1398, F!$O$21:$O$33,1), MATCH(E1398, F!$P$20:$AB$20,1)),0)  + IFERROR(Y1398*INDEX(F!$P$21:$AB$33, MATCH(W1398/$AH1398, F!$O$21:$O$33,1), MATCH(E1398, F!$P$20:$AB$20,1)),0)  + IFERROR( AC1398*INDEX(F!$P$21:$AB$33, MATCH(AA1398/$AH1398, F!$O$21:$O$33,1), MATCH(E1398, F!$P$20:$AB$20,1)),)</f>
        <v>0</v>
      </c>
      <c r="AL1398" s="59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</row>
    <row r="1399" ht="15.75" hidden="1" customHeight="1">
      <c r="A1399" s="59"/>
      <c r="B1399" s="173" t="str">
        <f t="shared" ref="B1399:F1399" si="2845">IF(B1343="","",B1343)</f>
        <v/>
      </c>
      <c r="C1399" s="174" t="str">
        <f t="shared" si="2845"/>
        <v/>
      </c>
      <c r="D1399" s="175" t="str">
        <f t="shared" si="2845"/>
        <v/>
      </c>
      <c r="E1399" s="48" t="str">
        <f t="shared" si="2845"/>
        <v/>
      </c>
      <c r="F1399" s="176" t="str">
        <f t="shared" si="2845"/>
        <v/>
      </c>
      <c r="G1399" s="177" t="str">
        <f t="shared" si="2831"/>
        <v/>
      </c>
      <c r="H1399" s="178"/>
      <c r="I1399" s="178"/>
      <c r="J1399" s="179"/>
      <c r="K1399" s="177" t="str">
        <f t="shared" si="2832"/>
        <v/>
      </c>
      <c r="L1399" s="178"/>
      <c r="M1399" s="178"/>
      <c r="N1399" s="179"/>
      <c r="O1399" s="177" t="str">
        <f t="shared" si="2833"/>
        <v/>
      </c>
      <c r="P1399" s="178"/>
      <c r="Q1399" s="178"/>
      <c r="R1399" s="179"/>
      <c r="S1399" s="177" t="str">
        <f t="shared" si="2834"/>
        <v/>
      </c>
      <c r="T1399" s="178"/>
      <c r="U1399" s="178"/>
      <c r="V1399" s="179"/>
      <c r="W1399" s="177" t="str">
        <f t="shared" si="2835"/>
        <v/>
      </c>
      <c r="X1399" s="178"/>
      <c r="Y1399" s="178"/>
      <c r="Z1399" s="179"/>
      <c r="AA1399" s="177" t="str">
        <f t="shared" si="2836"/>
        <v/>
      </c>
      <c r="AB1399" s="178"/>
      <c r="AC1399" s="178"/>
      <c r="AD1399" s="179"/>
      <c r="AE1399" s="180">
        <f t="shared" si="2837"/>
        <v>0</v>
      </c>
      <c r="AF1399" s="181">
        <f t="shared" si="2742"/>
        <v>0</v>
      </c>
      <c r="AG1399" s="182">
        <f t="shared" si="2838"/>
        <v>0</v>
      </c>
      <c r="AH1399" s="76" t="str">
        <f t="shared" si="2839"/>
        <v/>
      </c>
      <c r="AI1399" s="181">
        <f> ( IF(ISNUMBER(G1399), VLOOKUP(G1399/$AH1399,F!$A1:$B101,2,1)*G1399*$H1399*$I1399,0)+IF(ISNUMBER(K1399), VLOOKUP(K1399/$AH1399,F!$A1:$B101,2,1)*K1399*$L1399*$M1399,0)+IF(ISNUMBER(O1399), VLOOKUP(O1399/$AH1399,F!$A1:$B101,2,1)*O1399*$P1399*$Q1399,0)+IF(ISNUMBER(S1399), VLOOKUP(S1399/$AH1399,F!$A1:$B101,2,1)*S1399*$T1399*$U1399,0)+IF(ISNUMBER(W1399), VLOOKUP(W1399/$AH1399,F!$A1:$B101,2,1)*W1399*$X1399*$Y1399,0)+IF(ISNUMBER(AA1399), VLOOKUP(AA1399/$AH1399,F!$A1:$B101,2,1)*AA1399*$AB1399*$AC1399,0))*IF(ISNUMBER(F1399),F1399,1)*IF(ISNUMBER(E1399),E1399,1)</f>
        <v>0</v>
      </c>
      <c r="AJ1399" s="178">
        <f t="shared" si="2840"/>
        <v>0</v>
      </c>
      <c r="AK1399" s="183">
        <f t="array" ref="AK1399">IFERROR(I1399*INDEX(F!$P$21:$AB$33, MATCH(G1399/$AH1399, F!$O$21:$O$33,1), MATCH(E1399, F!$P$20:$AB$20,1)), 0 ) +IFERROR( M1399*INDEX(F!$P$21:$AB$33, MATCH(K1399/$AH1399, F!$O$21:$O$33,1), MATCH(E1399, F!$P$20:$AB$20,1)),0) +  IFERROR( Q1399*INDEX(F!$P$21:$AB$33, MATCH(O1399/$AH1399, F!$O$21:$O$33,1), MATCH(E1399, F!$P$20:$AB$20,1)), 0) + IFERROR( U1399*INDEX(F!$P$21:$AB$33, MATCH(S1399/$AH1399, F!$O$21:$O$33,1), MATCH(E1399, F!$P$20:$AB$20,1)),0)  + IFERROR(Y1399*INDEX(F!$P$21:$AB$33, MATCH(W1399/$AH1399, F!$O$21:$O$33,1), MATCH(E1399, F!$P$20:$AB$20,1)),0)  + IFERROR( AC1399*INDEX(F!$P$21:$AB$33, MATCH(AA1399/$AH1399, F!$O$21:$O$33,1), MATCH(E1399, F!$P$20:$AB$20,1)),)</f>
        <v>0</v>
      </c>
      <c r="AL1399" s="59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</row>
    <row r="1400" ht="15.75" hidden="1" customHeight="1">
      <c r="A1400" s="59"/>
      <c r="B1400" s="135" t="str">
        <f t="shared" ref="B1400:F1400" si="2846">IF(B1344="","",B1344)</f>
        <v/>
      </c>
      <c r="C1400" s="136" t="str">
        <f t="shared" si="2846"/>
        <v/>
      </c>
      <c r="D1400" s="137" t="str">
        <f t="shared" si="2846"/>
        <v/>
      </c>
      <c r="E1400" s="48" t="str">
        <f t="shared" si="2846"/>
        <v/>
      </c>
      <c r="F1400" s="138" t="str">
        <f t="shared" si="2846"/>
        <v/>
      </c>
      <c r="G1400" s="139" t="str">
        <f t="shared" si="2831"/>
        <v/>
      </c>
      <c r="H1400" s="140"/>
      <c r="I1400" s="140"/>
      <c r="J1400" s="141"/>
      <c r="K1400" s="139" t="str">
        <f t="shared" si="2832"/>
        <v/>
      </c>
      <c r="L1400" s="140"/>
      <c r="M1400" s="140"/>
      <c r="N1400" s="141"/>
      <c r="O1400" s="139" t="str">
        <f t="shared" si="2833"/>
        <v/>
      </c>
      <c r="P1400" s="140"/>
      <c r="Q1400" s="140"/>
      <c r="R1400" s="141"/>
      <c r="S1400" s="139" t="str">
        <f t="shared" si="2834"/>
        <v/>
      </c>
      <c r="T1400" s="140"/>
      <c r="U1400" s="140"/>
      <c r="V1400" s="141"/>
      <c r="W1400" s="139" t="str">
        <f t="shared" si="2835"/>
        <v/>
      </c>
      <c r="X1400" s="140"/>
      <c r="Y1400" s="140"/>
      <c r="Z1400" s="141"/>
      <c r="AA1400" s="139" t="str">
        <f t="shared" si="2836"/>
        <v/>
      </c>
      <c r="AB1400" s="140"/>
      <c r="AC1400" s="140"/>
      <c r="AD1400" s="141"/>
      <c r="AE1400" s="142">
        <f t="shared" si="2837"/>
        <v>0</v>
      </c>
      <c r="AF1400" s="143">
        <f t="shared" si="2742"/>
        <v>0</v>
      </c>
      <c r="AG1400" s="144">
        <f t="shared" si="2838"/>
        <v>0</v>
      </c>
      <c r="AH1400" s="76" t="str">
        <f t="shared" si="2839"/>
        <v/>
      </c>
      <c r="AI1400" s="143">
        <f> ( IF(ISNUMBER(G1400), VLOOKUP(G1400/$AH1400,F!$A1:$B101,2,1)*G1400*$H1400*$I1400,0)+IF(ISNUMBER(K1400), VLOOKUP(K1400/$AH1400,F!$A1:$B101,2,1)*K1400*$L1400*$M1400,0)+IF(ISNUMBER(O1400), VLOOKUP(O1400/$AH1400,F!$A1:$B101,2,1)*O1400*$P1400*$Q1400,0)+IF(ISNUMBER(S1400), VLOOKUP(S1400/$AH1400,F!$A1:$B101,2,1)*S1400*$T1400*$U1400,0)+IF(ISNUMBER(W1400), VLOOKUP(W1400/$AH1400,F!$A1:$B101,2,1)*W1400*$X1400*$Y1400,0)+IF(ISNUMBER(AA1400), VLOOKUP(AA1400/$AH1400,F!$A1:$B101,2,1)*AA1400*$AB1400*$AC1400,0))*IF(ISNUMBER(F1400),F1400,1)*IF(ISNUMBER(E1400),E1400,1)</f>
        <v>0</v>
      </c>
      <c r="AJ1400" s="140">
        <f t="shared" si="2840"/>
        <v>0</v>
      </c>
      <c r="AK1400" s="145">
        <f t="array" ref="AK1400">IFERROR(I1400*INDEX(F!$P$21:$AB$33, MATCH(G1400/$AH1400, F!$O$21:$O$33,1), MATCH(E1400, F!$P$20:$AB$20,1)), 0 ) +IFERROR( M1400*INDEX(F!$P$21:$AB$33, MATCH(K1400/$AH1400, F!$O$21:$O$33,1), MATCH(E1400, F!$P$20:$AB$20,1)),0) +  IFERROR( Q1400*INDEX(F!$P$21:$AB$33, MATCH(O1400/$AH1400, F!$O$21:$O$33,1), MATCH(E1400, F!$P$20:$AB$20,1)), 0) + IFERROR( U1400*INDEX(F!$P$21:$AB$33, MATCH(S1400/$AH1400, F!$O$21:$O$33,1), MATCH(E1400, F!$P$20:$AB$20,1)),0)  + IFERROR(Y1400*INDEX(F!$P$21:$AB$33, MATCH(W1400/$AH1400, F!$O$21:$O$33,1), MATCH(E1400, F!$P$20:$AB$20,1)),0)  + IFERROR( AC1400*INDEX(F!$P$21:$AB$33, MATCH(AA1400/$AH1400, F!$O$21:$O$33,1), MATCH(E1400, F!$P$20:$AB$20,1)),)</f>
        <v>0</v>
      </c>
      <c r="AL1400" s="59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</row>
    <row r="1401" ht="15.75" hidden="1" customHeight="1">
      <c r="A1401" s="98"/>
      <c r="B1401" s="188"/>
      <c r="C1401" s="189"/>
      <c r="D1401" s="190"/>
      <c r="E1401" s="102">
        <f>ROUND(IFERROR(SUMPRODUCT(AJ1393:AJ1400,E1393:E1400)/AJ1401,0),3)</f>
        <v>0</v>
      </c>
      <c r="F1401" s="191"/>
      <c r="G1401" s="201"/>
      <c r="H1401" s="193"/>
      <c r="I1401" s="193"/>
      <c r="J1401" s="194"/>
      <c r="K1401" s="201"/>
      <c r="L1401" s="193"/>
      <c r="M1401" s="193"/>
      <c r="N1401" s="194"/>
      <c r="O1401" s="201"/>
      <c r="P1401" s="193"/>
      <c r="Q1401" s="193"/>
      <c r="R1401" s="194"/>
      <c r="S1401" s="201"/>
      <c r="T1401" s="193"/>
      <c r="U1401" s="193"/>
      <c r="V1401" s="194"/>
      <c r="W1401" s="201"/>
      <c r="X1401" s="193"/>
      <c r="Y1401" s="193"/>
      <c r="Z1401" s="194"/>
      <c r="AA1401" s="201"/>
      <c r="AB1401" s="193"/>
      <c r="AC1401" s="193"/>
      <c r="AD1401" s="194"/>
      <c r="AE1401" s="107">
        <f>SUM(AE1393:AE1400)</f>
        <v>0</v>
      </c>
      <c r="AF1401" s="108">
        <f t="shared" si="2742"/>
        <v>0</v>
      </c>
      <c r="AG1401" s="109">
        <f>IFERROR(  SUMPRODUCT(AG1393:AG1400,AJ1393:AJ1400)/AJ1401,0)</f>
        <v>0</v>
      </c>
      <c r="AH1401" s="157"/>
      <c r="AI1401" s="111">
        <f t="shared" ref="AI1401:AJ1401" si="2847">SUM(AI1393:AI1400)</f>
        <v>0</v>
      </c>
      <c r="AJ1401" s="111">
        <f t="shared" si="2847"/>
        <v>0</v>
      </c>
      <c r="AK1401" s="112">
        <f>IF(SUM(AK1393:AK1400)=0,TIME(,0,),TIME(,SUM(AK1393:AK1400)+F!$V$37,))</f>
        <v>0</v>
      </c>
      <c r="AL1401" s="98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</row>
  </sheetData>
  <mergeCells count="350">
    <mergeCell ref="A621:A628"/>
    <mergeCell ref="A630:A637"/>
    <mergeCell ref="A639:A646"/>
    <mergeCell ref="A648:A655"/>
    <mergeCell ref="A657:A664"/>
    <mergeCell ref="A666:A673"/>
    <mergeCell ref="F674:M674"/>
    <mergeCell ref="N674:AD674"/>
    <mergeCell ref="A677:A684"/>
    <mergeCell ref="A686:A693"/>
    <mergeCell ref="A695:A702"/>
    <mergeCell ref="A704:A711"/>
    <mergeCell ref="A713:A720"/>
    <mergeCell ref="F730:M730"/>
    <mergeCell ref="N730:AD730"/>
    <mergeCell ref="A285:A292"/>
    <mergeCell ref="A294:A301"/>
    <mergeCell ref="A303:A310"/>
    <mergeCell ref="A312:A319"/>
    <mergeCell ref="A321:A328"/>
    <mergeCell ref="F338:M338"/>
    <mergeCell ref="N338:AD338"/>
    <mergeCell ref="A397:A404"/>
    <mergeCell ref="A406:A413"/>
    <mergeCell ref="A415:A422"/>
    <mergeCell ref="A424:A431"/>
    <mergeCell ref="A433:A440"/>
    <mergeCell ref="A442:A449"/>
    <mergeCell ref="F450:M450"/>
    <mergeCell ref="N450:AD450"/>
    <mergeCell ref="A453:A460"/>
    <mergeCell ref="A462:A469"/>
    <mergeCell ref="A471:A478"/>
    <mergeCell ref="A480:A487"/>
    <mergeCell ref="A489:A496"/>
    <mergeCell ref="A498:A505"/>
    <mergeCell ref="F506:M506"/>
    <mergeCell ref="N506:AD506"/>
    <mergeCell ref="A509:A516"/>
    <mergeCell ref="A518:A525"/>
    <mergeCell ref="A527:A534"/>
    <mergeCell ref="A536:A543"/>
    <mergeCell ref="A545:A552"/>
    <mergeCell ref="A554:A561"/>
    <mergeCell ref="F562:M562"/>
    <mergeCell ref="N562:AD562"/>
    <mergeCell ref="A565:A572"/>
    <mergeCell ref="A574:A581"/>
    <mergeCell ref="A583:A590"/>
    <mergeCell ref="A592:A599"/>
    <mergeCell ref="A601:A608"/>
    <mergeCell ref="A610:A617"/>
    <mergeCell ref="F618:M618"/>
    <mergeCell ref="N618:AD618"/>
    <mergeCell ref="A330:A337"/>
    <mergeCell ref="A341:A348"/>
    <mergeCell ref="A350:A357"/>
    <mergeCell ref="A359:A366"/>
    <mergeCell ref="A368:A375"/>
    <mergeCell ref="A377:A384"/>
    <mergeCell ref="A386:A393"/>
    <mergeCell ref="F786:M786"/>
    <mergeCell ref="N786:AD786"/>
    <mergeCell ref="A722:A729"/>
    <mergeCell ref="A733:A740"/>
    <mergeCell ref="A742:A749"/>
    <mergeCell ref="A751:A758"/>
    <mergeCell ref="A760:A767"/>
    <mergeCell ref="A769:A776"/>
    <mergeCell ref="A778:A785"/>
    <mergeCell ref="A1114:A1121"/>
    <mergeCell ref="A1125:A1132"/>
    <mergeCell ref="A1134:A1141"/>
    <mergeCell ref="A1143:A1150"/>
    <mergeCell ref="A1152:A1159"/>
    <mergeCell ref="A1161:A1168"/>
    <mergeCell ref="A1170:A1177"/>
    <mergeCell ref="A789:A796"/>
    <mergeCell ref="A798:A805"/>
    <mergeCell ref="A807:A814"/>
    <mergeCell ref="A816:A823"/>
    <mergeCell ref="A825:A832"/>
    <mergeCell ref="A834:A841"/>
    <mergeCell ref="F842:M842"/>
    <mergeCell ref="N842:AD842"/>
    <mergeCell ref="A845:A852"/>
    <mergeCell ref="A854:A861"/>
    <mergeCell ref="A863:A870"/>
    <mergeCell ref="A872:A879"/>
    <mergeCell ref="A881:A888"/>
    <mergeCell ref="A890:A897"/>
    <mergeCell ref="F898:M898"/>
    <mergeCell ref="N898:AD898"/>
    <mergeCell ref="A901:A908"/>
    <mergeCell ref="A910:A917"/>
    <mergeCell ref="A919:A926"/>
    <mergeCell ref="A928:A935"/>
    <mergeCell ref="A937:A944"/>
    <mergeCell ref="A946:A953"/>
    <mergeCell ref="F954:M954"/>
    <mergeCell ref="N954:AD954"/>
    <mergeCell ref="A957:A964"/>
    <mergeCell ref="A966:A973"/>
    <mergeCell ref="A975:A982"/>
    <mergeCell ref="A984:A991"/>
    <mergeCell ref="A993:A1000"/>
    <mergeCell ref="A1002:A1009"/>
    <mergeCell ref="F1010:M1010"/>
    <mergeCell ref="N1010:AD1010"/>
    <mergeCell ref="A1013:A1020"/>
    <mergeCell ref="A1022:A1029"/>
    <mergeCell ref="A1031:A1038"/>
    <mergeCell ref="A1040:A1047"/>
    <mergeCell ref="A1049:A1056"/>
    <mergeCell ref="A1058:A1065"/>
    <mergeCell ref="F1066:M1066"/>
    <mergeCell ref="N1066:AD1066"/>
    <mergeCell ref="A1069:A1076"/>
    <mergeCell ref="A1078:A1085"/>
    <mergeCell ref="A1087:A1094"/>
    <mergeCell ref="A1096:A1103"/>
    <mergeCell ref="A1105:A1112"/>
    <mergeCell ref="F1122:M1122"/>
    <mergeCell ref="N1122:AD1122"/>
    <mergeCell ref="F1178:M1178"/>
    <mergeCell ref="N1178:AD1178"/>
    <mergeCell ref="A182:A189"/>
    <mergeCell ref="A191:A198"/>
    <mergeCell ref="A126:A133"/>
    <mergeCell ref="A135:A142"/>
    <mergeCell ref="A144:A151"/>
    <mergeCell ref="A153:A160"/>
    <mergeCell ref="A162:A169"/>
    <mergeCell ref="F170:M170"/>
    <mergeCell ref="A173:A180"/>
    <mergeCell ref="AL208:AL216"/>
    <mergeCell ref="AL217:AL225"/>
    <mergeCell ref="AL172:AL180"/>
    <mergeCell ref="AL181:AL189"/>
    <mergeCell ref="AL190:AL198"/>
    <mergeCell ref="AL199:AL207"/>
    <mergeCell ref="A200:A207"/>
    <mergeCell ref="A209:A216"/>
    <mergeCell ref="A218:A225"/>
    <mergeCell ref="A274:A281"/>
    <mergeCell ref="F282:M282"/>
    <mergeCell ref="N282:AD282"/>
    <mergeCell ref="F226:M226"/>
    <mergeCell ref="N226:AD226"/>
    <mergeCell ref="A229:A236"/>
    <mergeCell ref="A238:A245"/>
    <mergeCell ref="A247:A254"/>
    <mergeCell ref="A256:A263"/>
    <mergeCell ref="A265:A272"/>
    <mergeCell ref="F2:M2"/>
    <mergeCell ref="N2:AD2"/>
    <mergeCell ref="AL4:AL12"/>
    <mergeCell ref="A5:A12"/>
    <mergeCell ref="AL13:AL21"/>
    <mergeCell ref="A14:A21"/>
    <mergeCell ref="A23:A30"/>
    <mergeCell ref="A32:A39"/>
    <mergeCell ref="A41:A48"/>
    <mergeCell ref="A50:A57"/>
    <mergeCell ref="F58:M58"/>
    <mergeCell ref="N58:AD58"/>
    <mergeCell ref="A61:A68"/>
    <mergeCell ref="A70:A77"/>
    <mergeCell ref="A79:A86"/>
    <mergeCell ref="A88:A95"/>
    <mergeCell ref="A97:A104"/>
    <mergeCell ref="A106:A113"/>
    <mergeCell ref="F114:M114"/>
    <mergeCell ref="N114:AD114"/>
    <mergeCell ref="A117:A124"/>
    <mergeCell ref="AL152:AL160"/>
    <mergeCell ref="AL161:AL169"/>
    <mergeCell ref="N170:AD170"/>
    <mergeCell ref="AL228:AL236"/>
    <mergeCell ref="AL237:AL245"/>
    <mergeCell ref="AL246:AL254"/>
    <mergeCell ref="AL255:AL263"/>
    <mergeCell ref="AL264:AL272"/>
    <mergeCell ref="AL273:AL281"/>
    <mergeCell ref="AL284:AL292"/>
    <mergeCell ref="AL293:AL301"/>
    <mergeCell ref="AL302:AL310"/>
    <mergeCell ref="F394:M394"/>
    <mergeCell ref="N394:AD394"/>
    <mergeCell ref="AL22:AL30"/>
    <mergeCell ref="AL31:AL39"/>
    <mergeCell ref="AL40:AL48"/>
    <mergeCell ref="AL49:AL57"/>
    <mergeCell ref="AL60:AL68"/>
    <mergeCell ref="AL69:AL77"/>
    <mergeCell ref="AL78:AL86"/>
    <mergeCell ref="AL87:AL95"/>
    <mergeCell ref="AL96:AL104"/>
    <mergeCell ref="AL105:AL113"/>
    <mergeCell ref="AL116:AL124"/>
    <mergeCell ref="AL125:AL133"/>
    <mergeCell ref="AL134:AL142"/>
    <mergeCell ref="AL143:AL151"/>
    <mergeCell ref="AL311:AL319"/>
    <mergeCell ref="AL320:AL328"/>
    <mergeCell ref="AL329:AL337"/>
    <mergeCell ref="AL340:AL348"/>
    <mergeCell ref="AL349:AL357"/>
    <mergeCell ref="AL358:AL366"/>
    <mergeCell ref="AL367:AL375"/>
    <mergeCell ref="AL376:AL384"/>
    <mergeCell ref="AL385:AL393"/>
    <mergeCell ref="AL396:AL404"/>
    <mergeCell ref="AL405:AL413"/>
    <mergeCell ref="AL414:AL422"/>
    <mergeCell ref="AL423:AL431"/>
    <mergeCell ref="AL432:AL440"/>
    <mergeCell ref="AL441:AL449"/>
    <mergeCell ref="AL452:AL460"/>
    <mergeCell ref="AL461:AL469"/>
    <mergeCell ref="AL470:AL478"/>
    <mergeCell ref="AL479:AL487"/>
    <mergeCell ref="AL488:AL496"/>
    <mergeCell ref="AL497:AL505"/>
    <mergeCell ref="AL508:AL516"/>
    <mergeCell ref="AL517:AL525"/>
    <mergeCell ref="AL526:AL534"/>
    <mergeCell ref="AL535:AL543"/>
    <mergeCell ref="AL544:AL552"/>
    <mergeCell ref="AL553:AL561"/>
    <mergeCell ref="AL564:AL572"/>
    <mergeCell ref="AL573:AL581"/>
    <mergeCell ref="AL582:AL590"/>
    <mergeCell ref="AL591:AL599"/>
    <mergeCell ref="AL600:AL608"/>
    <mergeCell ref="AL609:AL617"/>
    <mergeCell ref="AL620:AL628"/>
    <mergeCell ref="AL629:AL637"/>
    <mergeCell ref="AL1095:AL1103"/>
    <mergeCell ref="AL1104:AL1112"/>
    <mergeCell ref="AL1113:AL1121"/>
    <mergeCell ref="AL1124:AL1132"/>
    <mergeCell ref="AL1133:AL1141"/>
    <mergeCell ref="AL1142:AL1150"/>
    <mergeCell ref="AL1151:AL1159"/>
    <mergeCell ref="AL1160:AL1168"/>
    <mergeCell ref="AL1169:AL1177"/>
    <mergeCell ref="AL1180:AL1188"/>
    <mergeCell ref="A1181:A1188"/>
    <mergeCell ref="A1190:A1197"/>
    <mergeCell ref="A1199:A1206"/>
    <mergeCell ref="A1208:A1215"/>
    <mergeCell ref="A1217:A1224"/>
    <mergeCell ref="A1226:A1233"/>
    <mergeCell ref="F1234:M1234"/>
    <mergeCell ref="N1234:AD1234"/>
    <mergeCell ref="A1237:A1244"/>
    <mergeCell ref="A1246:A1253"/>
    <mergeCell ref="A1255:A1262"/>
    <mergeCell ref="A1264:A1271"/>
    <mergeCell ref="A1273:A1280"/>
    <mergeCell ref="A1282:A1289"/>
    <mergeCell ref="F1290:M1290"/>
    <mergeCell ref="N1290:AD1290"/>
    <mergeCell ref="A1293:A1300"/>
    <mergeCell ref="A1302:A1309"/>
    <mergeCell ref="A1358:A1365"/>
    <mergeCell ref="A1367:A1374"/>
    <mergeCell ref="A1376:A1383"/>
    <mergeCell ref="A1385:A1392"/>
    <mergeCell ref="A1394:A1401"/>
    <mergeCell ref="A1311:A1318"/>
    <mergeCell ref="A1320:A1327"/>
    <mergeCell ref="A1329:A1336"/>
    <mergeCell ref="A1338:A1345"/>
    <mergeCell ref="F1346:M1346"/>
    <mergeCell ref="N1346:AD1346"/>
    <mergeCell ref="A1349:A1356"/>
    <mergeCell ref="AL1189:AL1197"/>
    <mergeCell ref="AL1198:AL1206"/>
    <mergeCell ref="AL1207:AL1215"/>
    <mergeCell ref="AL1216:AL1224"/>
    <mergeCell ref="AL1225:AL1233"/>
    <mergeCell ref="AL1236:AL1244"/>
    <mergeCell ref="AL1245:AL1253"/>
    <mergeCell ref="AL1254:AL1262"/>
    <mergeCell ref="AL1263:AL1271"/>
    <mergeCell ref="AL1272:AL1280"/>
    <mergeCell ref="AL1281:AL1289"/>
    <mergeCell ref="AL1292:AL1300"/>
    <mergeCell ref="AL1301:AL1309"/>
    <mergeCell ref="AL1310:AL1318"/>
    <mergeCell ref="AL1384:AL1392"/>
    <mergeCell ref="AL1393:AL1401"/>
    <mergeCell ref="AL1319:AL1327"/>
    <mergeCell ref="AL1328:AL1336"/>
    <mergeCell ref="AL1337:AL1345"/>
    <mergeCell ref="AL1348:AL1356"/>
    <mergeCell ref="AL1357:AL1365"/>
    <mergeCell ref="AL1366:AL1374"/>
    <mergeCell ref="AL1375:AL1383"/>
    <mergeCell ref="AL638:AL646"/>
    <mergeCell ref="AL647:AL655"/>
    <mergeCell ref="AL656:AL664"/>
    <mergeCell ref="AL665:AL673"/>
    <mergeCell ref="AL676:AL684"/>
    <mergeCell ref="AL685:AL693"/>
    <mergeCell ref="AL694:AL702"/>
    <mergeCell ref="AL703:AL711"/>
    <mergeCell ref="AL712:AL720"/>
    <mergeCell ref="AL721:AL729"/>
    <mergeCell ref="AL732:AL740"/>
    <mergeCell ref="AL741:AL749"/>
    <mergeCell ref="AL750:AL758"/>
    <mergeCell ref="AL759:AL767"/>
    <mergeCell ref="AL768:AL776"/>
    <mergeCell ref="AL777:AL785"/>
    <mergeCell ref="AL788:AL796"/>
    <mergeCell ref="AL797:AL805"/>
    <mergeCell ref="AL806:AL814"/>
    <mergeCell ref="AL815:AL823"/>
    <mergeCell ref="AL824:AL832"/>
    <mergeCell ref="AL833:AL841"/>
    <mergeCell ref="AL844:AL852"/>
    <mergeCell ref="AL853:AL861"/>
    <mergeCell ref="AL862:AL870"/>
    <mergeCell ref="AL871:AL879"/>
    <mergeCell ref="AL880:AL888"/>
    <mergeCell ref="AL889:AL897"/>
    <mergeCell ref="AL900:AL908"/>
    <mergeCell ref="AL909:AL917"/>
    <mergeCell ref="AL918:AL926"/>
    <mergeCell ref="AL927:AL935"/>
    <mergeCell ref="AL936:AL944"/>
    <mergeCell ref="AL945:AL953"/>
    <mergeCell ref="AL956:AL964"/>
    <mergeCell ref="AL965:AL973"/>
    <mergeCell ref="AL974:AL982"/>
    <mergeCell ref="AL983:AL991"/>
    <mergeCell ref="AL992:AL1000"/>
    <mergeCell ref="AL1001:AL1009"/>
    <mergeCell ref="AL1012:AL1020"/>
    <mergeCell ref="AL1021:AL1029"/>
    <mergeCell ref="AL1030:AL1038"/>
    <mergeCell ref="AL1039:AL1047"/>
    <mergeCell ref="AL1048:AL1056"/>
    <mergeCell ref="AL1057:AL1065"/>
    <mergeCell ref="AL1068:AL1076"/>
    <mergeCell ref="AL1077:AL1085"/>
    <mergeCell ref="AL1086:AL1094"/>
  </mergeCells>
  <dataValidations>
    <dataValidation type="list" allowBlank="1" showErrorMessage="1" sqref="B4:B11 B13:B20 B22:B29 B31:B38 B40:B47 B49:B56">
      <formula1>"Легкая,Средняя,Тяжелая"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9.14"/>
    <col customWidth="1" hidden="1" min="3" max="3" width="1.86"/>
    <col customWidth="1" min="4" max="4" width="8.71"/>
    <col customWidth="1" min="5" max="5" width="16.43"/>
    <col customWidth="1" min="6" max="6" width="10.86"/>
    <col customWidth="1" hidden="1" min="7" max="7" width="9.14"/>
    <col customWidth="1" hidden="1" min="8" max="8" width="16.43"/>
    <col customWidth="1" hidden="1" min="9" max="9" width="10.86"/>
    <col customWidth="1" hidden="1" min="10" max="10" width="14.14"/>
    <col customWidth="1" min="11" max="12" width="8.71"/>
    <col customWidth="1" min="13" max="13" width="5.43"/>
    <col customWidth="1" min="14" max="14" width="16.86"/>
    <col customWidth="1" min="15" max="15" width="8.71"/>
    <col customWidth="1" min="16" max="23" width="9.43"/>
    <col customWidth="1" min="24" max="28" width="8.71"/>
    <col customWidth="1" min="29" max="29" width="3.0"/>
    <col customWidth="1" min="30" max="32" width="8.71"/>
    <col customWidth="1" min="33" max="33" width="11.14"/>
    <col customWidth="1" min="34" max="34" width="8.71"/>
  </cols>
  <sheetData>
    <row r="1">
      <c r="A1" s="240">
        <v>0.0</v>
      </c>
      <c r="B1" s="241">
        <v>-0.001</v>
      </c>
      <c r="C1" s="242">
        <f t="shared" ref="C1:C101" si="1">$H$28+($H$29*A1)+($H$30*A1*A1)+($H$31*A1*A1*A1)+($H$32*A1*A1*A1*A1)+($H$33*A1*A1*A1*A1*A1)</f>
        <v>-953.68504</v>
      </c>
      <c r="O1" s="1"/>
      <c r="P1" s="1"/>
      <c r="Q1" s="1"/>
      <c r="R1" s="1"/>
      <c r="S1" s="1"/>
      <c r="T1" s="243"/>
      <c r="U1" s="1"/>
      <c r="V1" s="244" t="s">
        <v>37</v>
      </c>
      <c r="W1" s="1"/>
      <c r="X1" s="1"/>
      <c r="Y1" s="1"/>
      <c r="Z1" s="1"/>
      <c r="AA1" s="1"/>
      <c r="AB1" s="1"/>
    </row>
    <row r="2">
      <c r="A2" s="245">
        <v>0.01</v>
      </c>
      <c r="B2" s="246">
        <v>0.0</v>
      </c>
      <c r="C2" s="242">
        <f t="shared" si="1"/>
        <v>-889.2616296</v>
      </c>
      <c r="D2" s="1"/>
      <c r="E2" s="1"/>
      <c r="F2" s="1"/>
      <c r="G2" s="1"/>
      <c r="H2" s="1"/>
      <c r="I2" s="1"/>
      <c r="J2" s="1"/>
      <c r="K2" s="1"/>
      <c r="L2" s="1"/>
      <c r="O2" s="1"/>
      <c r="P2" s="247" t="s">
        <v>38</v>
      </c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9"/>
      <c r="AE2" s="250" t="s">
        <v>39</v>
      </c>
      <c r="AF2" s="251"/>
      <c r="AG2" s="251"/>
      <c r="AH2" s="252"/>
    </row>
    <row r="3">
      <c r="A3" s="245">
        <v>0.02</v>
      </c>
      <c r="B3" s="246">
        <v>0.001</v>
      </c>
      <c r="C3" s="242">
        <f t="shared" si="1"/>
        <v>-828.3473903</v>
      </c>
      <c r="D3" s="1"/>
      <c r="E3" s="1"/>
      <c r="F3" s="1"/>
      <c r="G3" s="1"/>
      <c r="H3" s="1"/>
      <c r="I3" s="1"/>
      <c r="J3" s="1"/>
      <c r="K3" s="1"/>
      <c r="L3" s="1"/>
      <c r="O3" s="253" t="s">
        <v>40</v>
      </c>
      <c r="P3" s="254">
        <v>0.3</v>
      </c>
      <c r="Q3" s="254">
        <v>0.4</v>
      </c>
      <c r="R3" s="254">
        <v>0.5</v>
      </c>
      <c r="S3" s="254">
        <v>0.6</v>
      </c>
      <c r="T3" s="254">
        <v>0.7</v>
      </c>
      <c r="U3" s="254">
        <v>0.8</v>
      </c>
      <c r="V3" s="254">
        <v>0.9</v>
      </c>
      <c r="W3" s="254">
        <v>1.0</v>
      </c>
      <c r="X3" s="254">
        <v>1.1</v>
      </c>
      <c r="Y3" s="254">
        <v>1.2</v>
      </c>
      <c r="Z3" s="254">
        <v>1.3</v>
      </c>
      <c r="AA3" s="254">
        <v>1.4</v>
      </c>
      <c r="AB3" s="254">
        <v>1.5</v>
      </c>
      <c r="AE3" s="255"/>
      <c r="AH3" s="256"/>
    </row>
    <row r="4" ht="15.0" customHeight="1">
      <c r="A4" s="245">
        <v>0.03</v>
      </c>
      <c r="B4" s="246">
        <v>0.002</v>
      </c>
      <c r="C4" s="242">
        <f t="shared" si="1"/>
        <v>-770.7977273</v>
      </c>
      <c r="D4" s="1"/>
      <c r="E4" s="1"/>
      <c r="F4" s="1"/>
      <c r="G4" s="1"/>
      <c r="H4" s="1"/>
      <c r="I4" s="1"/>
      <c r="J4" s="1"/>
      <c r="K4" s="1"/>
      <c r="L4" s="1"/>
      <c r="O4" s="257">
        <v>0.0</v>
      </c>
      <c r="P4" s="258">
        <v>1.5</v>
      </c>
      <c r="Q4" s="258">
        <v>1.5</v>
      </c>
      <c r="R4" s="258">
        <v>1.5</v>
      </c>
      <c r="S4" s="258">
        <v>1.8</v>
      </c>
      <c r="T4" s="258">
        <v>1.8</v>
      </c>
      <c r="U4" s="258">
        <v>1.8</v>
      </c>
      <c r="V4" s="258">
        <v>2.0</v>
      </c>
      <c r="W4" s="258">
        <v>2.0</v>
      </c>
      <c r="X4" s="258">
        <v>2.5</v>
      </c>
      <c r="Y4" s="258">
        <v>3.0</v>
      </c>
      <c r="Z4" s="258">
        <v>3.0</v>
      </c>
      <c r="AA4" s="258">
        <v>3.5</v>
      </c>
      <c r="AB4" s="258">
        <v>3.5</v>
      </c>
      <c r="AE4" s="255"/>
      <c r="AH4" s="256"/>
    </row>
    <row r="5">
      <c r="A5" s="245">
        <v>0.04</v>
      </c>
      <c r="B5" s="246">
        <v>0.003</v>
      </c>
      <c r="C5" s="242">
        <f t="shared" si="1"/>
        <v>-716.4720535</v>
      </c>
      <c r="D5" s="1"/>
      <c r="E5" s="1"/>
      <c r="F5" s="1"/>
      <c r="G5" s="1"/>
      <c r="H5" s="1"/>
      <c r="I5" s="1"/>
      <c r="J5" s="1"/>
      <c r="K5" s="1"/>
      <c r="L5" s="1"/>
      <c r="O5" s="257">
        <v>0.35</v>
      </c>
      <c r="P5" s="259">
        <v>1.5</v>
      </c>
      <c r="Q5" s="259">
        <v>1.5</v>
      </c>
      <c r="R5" s="259">
        <v>1.5</v>
      </c>
      <c r="S5" s="259">
        <v>1.8</v>
      </c>
      <c r="T5" s="259">
        <v>1.8</v>
      </c>
      <c r="U5" s="259">
        <v>1.8</v>
      </c>
      <c r="V5" s="259">
        <v>2.0</v>
      </c>
      <c r="W5" s="259">
        <v>2.0</v>
      </c>
      <c r="X5" s="259">
        <v>2.5</v>
      </c>
      <c r="Y5" s="259">
        <v>3.0</v>
      </c>
      <c r="Z5" s="259">
        <v>3.0</v>
      </c>
      <c r="AA5" s="259">
        <v>3.5</v>
      </c>
      <c r="AB5" s="259">
        <v>3.5</v>
      </c>
      <c r="AE5" s="260"/>
      <c r="AF5" s="261"/>
      <c r="AG5" s="261"/>
      <c r="AH5" s="262"/>
    </row>
    <row r="6">
      <c r="A6" s="245">
        <v>0.05</v>
      </c>
      <c r="B6" s="246">
        <v>0.004</v>
      </c>
      <c r="C6" s="242">
        <f t="shared" si="1"/>
        <v>-665.2337331</v>
      </c>
      <c r="D6" s="1"/>
      <c r="E6" s="1"/>
      <c r="F6" s="1"/>
      <c r="G6" s="1"/>
      <c r="H6" s="1"/>
      <c r="I6" s="1"/>
      <c r="J6" s="1"/>
      <c r="K6" s="1"/>
      <c r="L6" s="1"/>
      <c r="O6" s="257">
        <v>0.4</v>
      </c>
      <c r="P6" s="258">
        <v>1.5</v>
      </c>
      <c r="Q6" s="258">
        <v>1.5</v>
      </c>
      <c r="R6" s="258">
        <v>1.5</v>
      </c>
      <c r="S6" s="258">
        <v>1.8</v>
      </c>
      <c r="T6" s="258">
        <v>1.8</v>
      </c>
      <c r="U6" s="258">
        <v>1.8</v>
      </c>
      <c r="V6" s="258">
        <v>2.0</v>
      </c>
      <c r="W6" s="258">
        <v>2.0</v>
      </c>
      <c r="X6" s="258">
        <v>2.5</v>
      </c>
      <c r="Y6" s="258">
        <v>3.0</v>
      </c>
      <c r="Z6" s="258">
        <v>3.0</v>
      </c>
      <c r="AA6" s="258">
        <v>3.5</v>
      </c>
      <c r="AB6" s="258">
        <v>3.5</v>
      </c>
      <c r="AE6" s="250" t="s">
        <v>41</v>
      </c>
      <c r="AF6" s="251"/>
      <c r="AG6" s="251"/>
      <c r="AH6" s="252"/>
    </row>
    <row r="7">
      <c r="A7" s="245">
        <v>0.06</v>
      </c>
      <c r="B7" s="246">
        <v>0.005</v>
      </c>
      <c r="C7" s="242">
        <f t="shared" si="1"/>
        <v>-616.9500254</v>
      </c>
      <c r="D7" s="1"/>
      <c r="E7" s="1"/>
      <c r="F7" s="1"/>
      <c r="G7" s="1"/>
      <c r="H7" s="1"/>
      <c r="I7" s="1"/>
      <c r="J7" s="1"/>
      <c r="K7" s="1"/>
      <c r="L7" s="1"/>
      <c r="O7" s="257">
        <v>0.45</v>
      </c>
      <c r="P7" s="259">
        <v>1.5</v>
      </c>
      <c r="Q7" s="259">
        <v>1.5</v>
      </c>
      <c r="R7" s="259">
        <v>1.5</v>
      </c>
      <c r="S7" s="259">
        <v>1.8</v>
      </c>
      <c r="T7" s="259">
        <v>1.8</v>
      </c>
      <c r="U7" s="259">
        <v>1.8</v>
      </c>
      <c r="V7" s="259">
        <v>2.0</v>
      </c>
      <c r="W7" s="259">
        <v>2.0</v>
      </c>
      <c r="X7" s="259">
        <v>2.5</v>
      </c>
      <c r="Y7" s="259">
        <v>3.0</v>
      </c>
      <c r="Z7" s="259">
        <v>3.0</v>
      </c>
      <c r="AA7" s="259">
        <v>3.5</v>
      </c>
      <c r="AB7" s="259">
        <v>3.5</v>
      </c>
      <c r="AE7" s="255"/>
      <c r="AH7" s="256"/>
    </row>
    <row r="8" ht="15.0" customHeight="1">
      <c r="A8" s="245">
        <v>0.07</v>
      </c>
      <c r="B8" s="246">
        <v>0.006</v>
      </c>
      <c r="C8" s="242">
        <f t="shared" si="1"/>
        <v>-571.4920291</v>
      </c>
      <c r="D8" s="1"/>
      <c r="E8" s="1"/>
      <c r="F8" s="1"/>
      <c r="G8" s="1"/>
      <c r="H8" s="1"/>
      <c r="I8" s="1"/>
      <c r="J8" s="1"/>
      <c r="K8" s="1"/>
      <c r="L8" s="1"/>
      <c r="O8" s="257">
        <v>0.5</v>
      </c>
      <c r="P8" s="258">
        <v>1.5</v>
      </c>
      <c r="Q8" s="258">
        <v>1.5</v>
      </c>
      <c r="R8" s="258">
        <v>1.5</v>
      </c>
      <c r="S8" s="258">
        <v>1.8</v>
      </c>
      <c r="T8" s="258">
        <v>1.8</v>
      </c>
      <c r="U8" s="258">
        <v>1.8</v>
      </c>
      <c r="V8" s="258">
        <v>2.0</v>
      </c>
      <c r="W8" s="258">
        <v>2.0</v>
      </c>
      <c r="X8" s="258">
        <v>2.5</v>
      </c>
      <c r="Y8" s="258">
        <v>3.0</v>
      </c>
      <c r="Z8" s="258">
        <v>3.0</v>
      </c>
      <c r="AA8" s="258">
        <v>3.5</v>
      </c>
      <c r="AB8" s="258">
        <v>3.5</v>
      </c>
      <c r="AE8" s="260"/>
      <c r="AF8" s="261"/>
      <c r="AG8" s="261"/>
      <c r="AH8" s="262"/>
    </row>
    <row r="9">
      <c r="A9" s="245">
        <v>0.08</v>
      </c>
      <c r="B9" s="246">
        <v>0.007</v>
      </c>
      <c r="C9" s="242">
        <f t="shared" si="1"/>
        <v>-528.7346259</v>
      </c>
      <c r="D9" s="1"/>
      <c r="E9" s="1"/>
      <c r="F9" s="1"/>
      <c r="G9" s="1"/>
      <c r="H9" s="1"/>
      <c r="I9" s="1"/>
      <c r="J9" s="1"/>
      <c r="K9" s="1"/>
      <c r="L9" s="1"/>
      <c r="O9" s="257">
        <v>0.55</v>
      </c>
      <c r="P9" s="259">
        <v>1.8</v>
      </c>
      <c r="Q9" s="259">
        <v>1.8</v>
      </c>
      <c r="R9" s="259">
        <v>1.8</v>
      </c>
      <c r="S9" s="259">
        <v>2.5</v>
      </c>
      <c r="T9" s="259">
        <v>2.5</v>
      </c>
      <c r="U9" s="259">
        <v>2.5</v>
      </c>
      <c r="V9" s="259">
        <v>3.0</v>
      </c>
      <c r="W9" s="259">
        <v>3.0</v>
      </c>
      <c r="X9" s="259">
        <v>3.5</v>
      </c>
      <c r="Y9" s="259">
        <v>4.0</v>
      </c>
      <c r="Z9" s="259">
        <v>4.0</v>
      </c>
      <c r="AA9" s="259">
        <v>4.5</v>
      </c>
      <c r="AB9" s="259">
        <v>4.5</v>
      </c>
      <c r="AE9" s="250" t="s">
        <v>42</v>
      </c>
      <c r="AF9" s="251"/>
      <c r="AG9" s="251"/>
      <c r="AH9" s="252"/>
    </row>
    <row r="10" ht="15.0" customHeight="1">
      <c r="A10" s="245">
        <v>0.09</v>
      </c>
      <c r="B10" s="246">
        <v>0.008</v>
      </c>
      <c r="C10" s="242">
        <f t="shared" si="1"/>
        <v>-488.5564245</v>
      </c>
      <c r="D10" s="1"/>
      <c r="E10" s="1"/>
      <c r="F10" s="1"/>
      <c r="G10" s="1"/>
      <c r="H10" s="1"/>
      <c r="I10" s="1"/>
      <c r="J10" s="1"/>
      <c r="K10" s="1"/>
      <c r="L10" s="1"/>
      <c r="O10" s="257">
        <v>0.6</v>
      </c>
      <c r="P10" s="258">
        <v>1.8</v>
      </c>
      <c r="Q10" s="258">
        <v>1.8</v>
      </c>
      <c r="R10" s="258">
        <v>1.8</v>
      </c>
      <c r="S10" s="258">
        <v>2.5</v>
      </c>
      <c r="T10" s="258">
        <v>2.5</v>
      </c>
      <c r="U10" s="258">
        <v>2.5</v>
      </c>
      <c r="V10" s="258">
        <v>3.0</v>
      </c>
      <c r="W10" s="258">
        <v>3.0</v>
      </c>
      <c r="X10" s="258">
        <v>3.5</v>
      </c>
      <c r="Y10" s="258">
        <v>4.0</v>
      </c>
      <c r="Z10" s="258">
        <v>4.0</v>
      </c>
      <c r="AA10" s="258">
        <v>4.5</v>
      </c>
      <c r="AB10" s="258">
        <v>4.5</v>
      </c>
      <c r="AE10" s="255"/>
      <c r="AH10" s="256"/>
    </row>
    <row r="11" ht="15.0" customHeight="1">
      <c r="A11" s="245">
        <v>0.1</v>
      </c>
      <c r="B11" s="246">
        <v>0.009</v>
      </c>
      <c r="C11" s="242">
        <f t="shared" si="1"/>
        <v>-450.8397047</v>
      </c>
      <c r="D11" s="1"/>
      <c r="E11" s="1"/>
      <c r="F11" s="1"/>
      <c r="G11" s="1"/>
      <c r="H11" s="1"/>
      <c r="I11" s="1"/>
      <c r="J11" s="1"/>
      <c r="K11" s="1"/>
      <c r="L11" s="1"/>
      <c r="O11" s="257">
        <v>0.65</v>
      </c>
      <c r="P11" s="259">
        <v>1.8</v>
      </c>
      <c r="Q11" s="259">
        <v>1.8</v>
      </c>
      <c r="R11" s="259">
        <v>1.8</v>
      </c>
      <c r="S11" s="259">
        <v>2.5</v>
      </c>
      <c r="T11" s="259">
        <v>2.5</v>
      </c>
      <c r="U11" s="259">
        <v>2.5</v>
      </c>
      <c r="V11" s="259">
        <v>3.0</v>
      </c>
      <c r="W11" s="259">
        <v>3.0</v>
      </c>
      <c r="X11" s="259">
        <v>3.5</v>
      </c>
      <c r="Y11" s="259">
        <v>4.0</v>
      </c>
      <c r="Z11" s="259">
        <v>4.0</v>
      </c>
      <c r="AA11" s="259">
        <v>4.5</v>
      </c>
      <c r="AB11" s="259">
        <v>4.5</v>
      </c>
      <c r="AE11" s="255"/>
      <c r="AH11" s="256"/>
    </row>
    <row r="12">
      <c r="A12" s="245">
        <v>0.11</v>
      </c>
      <c r="B12" s="246">
        <v>0.01</v>
      </c>
      <c r="C12" s="242">
        <f t="shared" si="1"/>
        <v>-415.4703608</v>
      </c>
      <c r="D12" s="1"/>
      <c r="E12" s="1"/>
      <c r="F12" s="1"/>
      <c r="G12" s="1"/>
      <c r="H12" s="1"/>
      <c r="I12" s="1"/>
      <c r="J12" s="1"/>
      <c r="K12" s="1"/>
      <c r="L12" s="1"/>
      <c r="O12" s="257">
        <v>0.7</v>
      </c>
      <c r="P12" s="258">
        <v>2.5</v>
      </c>
      <c r="Q12" s="258">
        <v>2.5</v>
      </c>
      <c r="R12" s="258">
        <v>2.5</v>
      </c>
      <c r="S12" s="258">
        <v>3.0</v>
      </c>
      <c r="T12" s="258">
        <v>3.0</v>
      </c>
      <c r="U12" s="258">
        <v>3.0</v>
      </c>
      <c r="V12" s="258">
        <v>4.0</v>
      </c>
      <c r="W12" s="258">
        <v>4.0</v>
      </c>
      <c r="X12" s="258">
        <v>5.0</v>
      </c>
      <c r="Y12" s="258">
        <v>5.0</v>
      </c>
      <c r="Z12" s="258">
        <v>5.0</v>
      </c>
      <c r="AA12" s="258">
        <v>5.5</v>
      </c>
      <c r="AB12" s="258">
        <v>5.5</v>
      </c>
      <c r="AE12" s="255"/>
      <c r="AH12" s="256"/>
    </row>
    <row r="13">
      <c r="A13" s="245">
        <v>0.12</v>
      </c>
      <c r="B13" s="246">
        <v>0.011</v>
      </c>
      <c r="C13" s="242">
        <f t="shared" si="1"/>
        <v>-382.3378459</v>
      </c>
      <c r="D13" s="1"/>
      <c r="E13" s="1"/>
      <c r="F13" s="1"/>
      <c r="G13" s="1"/>
      <c r="H13" s="1"/>
      <c r="I13" s="1"/>
      <c r="J13" s="1"/>
      <c r="K13" s="1"/>
      <c r="L13" s="1"/>
      <c r="O13" s="257">
        <v>0.75</v>
      </c>
      <c r="P13" s="259">
        <v>2.5</v>
      </c>
      <c r="Q13" s="259">
        <v>2.5</v>
      </c>
      <c r="R13" s="259">
        <v>2.5</v>
      </c>
      <c r="S13" s="259">
        <v>3.0</v>
      </c>
      <c r="T13" s="259">
        <v>3.0</v>
      </c>
      <c r="U13" s="259">
        <v>3.0</v>
      </c>
      <c r="V13" s="259">
        <v>4.0</v>
      </c>
      <c r="W13" s="259">
        <v>4.0</v>
      </c>
      <c r="X13" s="259">
        <v>5.0</v>
      </c>
      <c r="Y13" s="259">
        <v>5.0</v>
      </c>
      <c r="Z13" s="259">
        <v>5.0</v>
      </c>
      <c r="AA13" s="259">
        <v>5.5</v>
      </c>
      <c r="AB13" s="259">
        <v>5.5</v>
      </c>
      <c r="AE13" s="255"/>
      <c r="AH13" s="256"/>
    </row>
    <row r="14">
      <c r="A14" s="245">
        <v>0.13</v>
      </c>
      <c r="B14" s="246">
        <v>0.012</v>
      </c>
      <c r="C14" s="242">
        <f t="shared" si="1"/>
        <v>-351.3351158</v>
      </c>
      <c r="D14" s="1"/>
      <c r="E14" s="1"/>
      <c r="F14" s="1"/>
      <c r="G14" s="1"/>
      <c r="H14" s="1"/>
      <c r="I14" s="1"/>
      <c r="J14" s="1"/>
      <c r="K14" s="1"/>
      <c r="L14" s="1"/>
      <c r="O14" s="257">
        <v>0.8</v>
      </c>
      <c r="P14" s="258">
        <v>2.5</v>
      </c>
      <c r="Q14" s="258">
        <v>2.5</v>
      </c>
      <c r="R14" s="258">
        <v>2.5</v>
      </c>
      <c r="S14" s="258">
        <v>3.0</v>
      </c>
      <c r="T14" s="258">
        <v>3.0</v>
      </c>
      <c r="U14" s="258">
        <v>3.0</v>
      </c>
      <c r="V14" s="258">
        <v>4.0</v>
      </c>
      <c r="W14" s="258">
        <v>4.0</v>
      </c>
      <c r="X14" s="258">
        <v>5.0</v>
      </c>
      <c r="Y14" s="258">
        <v>5.0</v>
      </c>
      <c r="Z14" s="258">
        <v>5.0</v>
      </c>
      <c r="AA14" s="258">
        <v>5.5</v>
      </c>
      <c r="AB14" s="258">
        <v>5.5</v>
      </c>
      <c r="AE14" s="260"/>
      <c r="AF14" s="261"/>
      <c r="AG14" s="261"/>
      <c r="AH14" s="262"/>
    </row>
    <row r="15">
      <c r="A15" s="245">
        <v>0.14</v>
      </c>
      <c r="B15" s="246">
        <v>0.015</v>
      </c>
      <c r="C15" s="242">
        <f t="shared" si="1"/>
        <v>-322.3585728</v>
      </c>
      <c r="D15" s="1"/>
      <c r="E15" s="1"/>
      <c r="F15" s="1"/>
      <c r="G15" s="1"/>
      <c r="H15" s="1"/>
      <c r="I15" s="1"/>
      <c r="J15" s="1"/>
      <c r="K15" s="1"/>
      <c r="L15" s="1"/>
      <c r="O15" s="257">
        <v>0.85</v>
      </c>
      <c r="P15" s="259">
        <v>3.0</v>
      </c>
      <c r="Q15" s="259">
        <v>3.0</v>
      </c>
      <c r="R15" s="259">
        <v>3.0</v>
      </c>
      <c r="S15" s="259">
        <v>3.5</v>
      </c>
      <c r="T15" s="259">
        <v>3.5</v>
      </c>
      <c r="U15" s="259">
        <v>3.5</v>
      </c>
      <c r="V15" s="259">
        <v>4.5</v>
      </c>
      <c r="W15" s="259">
        <v>4.5</v>
      </c>
      <c r="X15" s="259">
        <v>6.0</v>
      </c>
      <c r="Y15" s="259">
        <v>6.5</v>
      </c>
      <c r="Z15" s="259">
        <v>6.5</v>
      </c>
      <c r="AA15" s="259">
        <v>7.0</v>
      </c>
      <c r="AB15" s="259">
        <v>7.0</v>
      </c>
    </row>
    <row r="16">
      <c r="A16" s="245">
        <v>0.15</v>
      </c>
      <c r="B16" s="246">
        <v>0.018</v>
      </c>
      <c r="C16" s="242">
        <f t="shared" si="1"/>
        <v>-295.3080095</v>
      </c>
      <c r="D16" s="1"/>
      <c r="E16" s="1"/>
      <c r="F16" s="1"/>
      <c r="G16" s="1"/>
      <c r="H16" s="1"/>
      <c r="I16" s="1"/>
      <c r="J16" s="1"/>
      <c r="K16" s="1"/>
      <c r="L16" s="1"/>
      <c r="O16" s="257">
        <v>0.9</v>
      </c>
      <c r="P16" s="258">
        <v>3.0</v>
      </c>
      <c r="Q16" s="258">
        <v>3.0</v>
      </c>
      <c r="R16" s="258">
        <v>3.0</v>
      </c>
      <c r="S16" s="258">
        <v>3.5</v>
      </c>
      <c r="T16" s="258">
        <v>3.5</v>
      </c>
      <c r="U16" s="258">
        <v>3.5</v>
      </c>
      <c r="V16" s="258">
        <v>4.5</v>
      </c>
      <c r="W16" s="258">
        <v>4.5</v>
      </c>
      <c r="X16" s="258">
        <v>6.0</v>
      </c>
      <c r="Y16" s="258">
        <v>6.5</v>
      </c>
      <c r="Z16" s="258">
        <v>6.5</v>
      </c>
      <c r="AA16" s="258">
        <v>7.0</v>
      </c>
      <c r="AB16" s="258">
        <v>7.0</v>
      </c>
    </row>
    <row r="17" ht="15.0" customHeight="1">
      <c r="A17" s="245">
        <v>0.16</v>
      </c>
      <c r="B17" s="246">
        <v>0.021</v>
      </c>
      <c r="C17" s="242">
        <f t="shared" si="1"/>
        <v>-270.086553</v>
      </c>
      <c r="D17" s="1"/>
      <c r="E17" s="1"/>
      <c r="F17" s="1"/>
      <c r="G17" s="1"/>
      <c r="H17" s="1"/>
      <c r="I17" s="1"/>
      <c r="J17" s="1"/>
      <c r="K17" s="1"/>
      <c r="L17" s="1"/>
      <c r="O17" s="1"/>
    </row>
    <row r="18" ht="15.75" customHeight="1">
      <c r="A18" s="245">
        <v>0.17</v>
      </c>
      <c r="B18" s="246">
        <v>0.024</v>
      </c>
      <c r="C18" s="242">
        <f t="shared" si="1"/>
        <v>-246.6006084</v>
      </c>
      <c r="D18" s="1"/>
      <c r="E18" s="1"/>
      <c r="F18" s="1"/>
      <c r="G18" s="1"/>
      <c r="H18" s="1"/>
      <c r="I18" s="1"/>
      <c r="J18" s="1"/>
      <c r="K18" s="1"/>
      <c r="L18" s="1"/>
      <c r="O18" s="1"/>
      <c r="P18" s="1"/>
      <c r="Q18" s="1"/>
      <c r="R18" s="1"/>
      <c r="S18" s="1"/>
      <c r="T18" s="1"/>
      <c r="U18" s="1"/>
      <c r="V18" s="244" t="s">
        <v>43</v>
      </c>
      <c r="W18" s="1"/>
      <c r="X18" s="1"/>
      <c r="Y18" s="1"/>
      <c r="Z18" s="1"/>
      <c r="AA18" s="1"/>
      <c r="AB18" s="1"/>
    </row>
    <row r="19">
      <c r="A19" s="245">
        <v>0.18</v>
      </c>
      <c r="B19" s="246">
        <v>0.027</v>
      </c>
      <c r="C19" s="242">
        <f t="shared" si="1"/>
        <v>-224.7598032</v>
      </c>
      <c r="D19" s="1"/>
      <c r="E19" s="1"/>
      <c r="F19" s="1"/>
      <c r="G19" s="1"/>
      <c r="H19" s="1"/>
      <c r="I19" s="1"/>
      <c r="J19" s="1"/>
      <c r="K19" s="1"/>
      <c r="L19" s="1"/>
      <c r="O19" s="1"/>
      <c r="P19" s="247" t="s">
        <v>38</v>
      </c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9"/>
    </row>
    <row r="20">
      <c r="A20" s="245">
        <v>0.19</v>
      </c>
      <c r="B20" s="246">
        <v>0.03</v>
      </c>
      <c r="C20" s="242">
        <f t="shared" si="1"/>
        <v>-204.4769307</v>
      </c>
      <c r="D20" s="1"/>
      <c r="G20" s="1"/>
      <c r="H20" s="1"/>
      <c r="I20" s="1"/>
      <c r="J20" s="1"/>
      <c r="K20" s="1"/>
      <c r="L20" s="1"/>
      <c r="O20" s="253" t="s">
        <v>40</v>
      </c>
      <c r="P20" s="254">
        <v>0.01</v>
      </c>
      <c r="Q20" s="254">
        <v>0.4</v>
      </c>
      <c r="R20" s="254">
        <v>0.5</v>
      </c>
      <c r="S20" s="254">
        <v>0.6</v>
      </c>
      <c r="T20" s="254">
        <v>0.7</v>
      </c>
      <c r="U20" s="254">
        <v>0.8</v>
      </c>
      <c r="V20" s="254">
        <v>0.9</v>
      </c>
      <c r="W20" s="254">
        <v>1.0</v>
      </c>
      <c r="X20" s="254">
        <v>1.1</v>
      </c>
      <c r="Y20" s="254">
        <v>1.2</v>
      </c>
      <c r="Z20" s="254">
        <v>1.3</v>
      </c>
      <c r="AA20" s="254">
        <v>1.4</v>
      </c>
      <c r="AB20" s="254">
        <v>1.5</v>
      </c>
    </row>
    <row r="21" ht="15.75" customHeight="1">
      <c r="A21" s="245">
        <v>0.2</v>
      </c>
      <c r="B21" s="246">
        <v>0.03</v>
      </c>
      <c r="C21" s="242">
        <f t="shared" si="1"/>
        <v>-185.6678942</v>
      </c>
      <c r="D21" s="1"/>
      <c r="G21" s="1"/>
      <c r="H21" s="1"/>
      <c r="I21" s="1"/>
      <c r="J21" s="1"/>
      <c r="K21" s="1"/>
      <c r="L21" s="1"/>
      <c r="O21" s="257">
        <v>0.0</v>
      </c>
      <c r="P21" s="258">
        <f t="shared" ref="P21:AB21" si="2">P4*$T$35</f>
        <v>1.5</v>
      </c>
      <c r="Q21" s="258">
        <f t="shared" si="2"/>
        <v>1.5</v>
      </c>
      <c r="R21" s="258">
        <f t="shared" si="2"/>
        <v>1.5</v>
      </c>
      <c r="S21" s="258">
        <f t="shared" si="2"/>
        <v>1.8</v>
      </c>
      <c r="T21" s="258">
        <f t="shared" si="2"/>
        <v>1.8</v>
      </c>
      <c r="U21" s="258">
        <f t="shared" si="2"/>
        <v>1.8</v>
      </c>
      <c r="V21" s="258">
        <f t="shared" si="2"/>
        <v>2</v>
      </c>
      <c r="W21" s="258">
        <f t="shared" si="2"/>
        <v>2</v>
      </c>
      <c r="X21" s="258">
        <f t="shared" si="2"/>
        <v>2.5</v>
      </c>
      <c r="Y21" s="258">
        <f t="shared" si="2"/>
        <v>3</v>
      </c>
      <c r="Z21" s="258">
        <f t="shared" si="2"/>
        <v>3</v>
      </c>
      <c r="AA21" s="258">
        <f t="shared" si="2"/>
        <v>3.5</v>
      </c>
      <c r="AB21" s="258">
        <f t="shared" si="2"/>
        <v>3.5</v>
      </c>
    </row>
    <row r="22" ht="15.75" customHeight="1">
      <c r="A22" s="245">
        <v>0.21</v>
      </c>
      <c r="B22" s="246">
        <v>0.04</v>
      </c>
      <c r="C22" s="242">
        <f t="shared" si="1"/>
        <v>-168.2516509</v>
      </c>
      <c r="D22" s="1"/>
      <c r="G22" s="1"/>
      <c r="H22" s="1"/>
      <c r="I22" s="1"/>
      <c r="J22" s="1"/>
      <c r="K22" s="1"/>
      <c r="L22" s="1"/>
      <c r="O22" s="257">
        <v>0.35</v>
      </c>
      <c r="P22" s="259">
        <f t="shared" ref="P22:AB22" si="3">P5*$T$35</f>
        <v>1.5</v>
      </c>
      <c r="Q22" s="259">
        <f t="shared" si="3"/>
        <v>1.5</v>
      </c>
      <c r="R22" s="259">
        <f t="shared" si="3"/>
        <v>1.5</v>
      </c>
      <c r="S22" s="259">
        <f t="shared" si="3"/>
        <v>1.8</v>
      </c>
      <c r="T22" s="259">
        <f t="shared" si="3"/>
        <v>1.8</v>
      </c>
      <c r="U22" s="259">
        <f t="shared" si="3"/>
        <v>1.8</v>
      </c>
      <c r="V22" s="259">
        <f t="shared" si="3"/>
        <v>2</v>
      </c>
      <c r="W22" s="259">
        <f t="shared" si="3"/>
        <v>2</v>
      </c>
      <c r="X22" s="259">
        <f t="shared" si="3"/>
        <v>2.5</v>
      </c>
      <c r="Y22" s="259">
        <f t="shared" si="3"/>
        <v>3</v>
      </c>
      <c r="Z22" s="259">
        <f t="shared" si="3"/>
        <v>3</v>
      </c>
      <c r="AA22" s="259">
        <f t="shared" si="3"/>
        <v>3.5</v>
      </c>
      <c r="AB22" s="259">
        <f t="shared" si="3"/>
        <v>3.5</v>
      </c>
    </row>
    <row r="23" ht="15.75" customHeight="1">
      <c r="A23" s="245">
        <v>0.22</v>
      </c>
      <c r="B23" s="246">
        <v>0.05</v>
      </c>
      <c r="C23" s="242">
        <f t="shared" si="1"/>
        <v>-152.1501556</v>
      </c>
      <c r="D23" s="1"/>
      <c r="G23" s="1"/>
      <c r="H23" s="1"/>
      <c r="I23" s="1"/>
      <c r="J23" s="1"/>
      <c r="K23" s="1"/>
      <c r="L23" s="1"/>
      <c r="O23" s="257">
        <v>0.4</v>
      </c>
      <c r="P23" s="258">
        <f t="shared" ref="P23:AB23" si="4">P6*$T$35</f>
        <v>1.5</v>
      </c>
      <c r="Q23" s="258">
        <f t="shared" si="4"/>
        <v>1.5</v>
      </c>
      <c r="R23" s="258">
        <f t="shared" si="4"/>
        <v>1.5</v>
      </c>
      <c r="S23" s="258">
        <f t="shared" si="4"/>
        <v>1.8</v>
      </c>
      <c r="T23" s="258">
        <f t="shared" si="4"/>
        <v>1.8</v>
      </c>
      <c r="U23" s="258">
        <f t="shared" si="4"/>
        <v>1.8</v>
      </c>
      <c r="V23" s="258">
        <f t="shared" si="4"/>
        <v>2</v>
      </c>
      <c r="W23" s="258">
        <f t="shared" si="4"/>
        <v>2</v>
      </c>
      <c r="X23" s="258">
        <f t="shared" si="4"/>
        <v>2.5</v>
      </c>
      <c r="Y23" s="258">
        <f t="shared" si="4"/>
        <v>3</v>
      </c>
      <c r="Z23" s="258">
        <f t="shared" si="4"/>
        <v>3</v>
      </c>
      <c r="AA23" s="258">
        <f t="shared" si="4"/>
        <v>3.5</v>
      </c>
      <c r="AB23" s="258">
        <f t="shared" si="4"/>
        <v>3.5</v>
      </c>
    </row>
    <row r="24" ht="15.75" customHeight="1">
      <c r="A24" s="245">
        <v>0.23</v>
      </c>
      <c r="B24" s="246">
        <v>0.06</v>
      </c>
      <c r="C24" s="242">
        <f t="shared" si="1"/>
        <v>-137.2883049</v>
      </c>
      <c r="D24" s="1"/>
      <c r="G24" s="1"/>
      <c r="H24" s="1"/>
      <c r="I24" s="1"/>
      <c r="J24" s="1"/>
      <c r="K24" s="1"/>
      <c r="L24" s="1"/>
      <c r="O24" s="257">
        <v>0.45</v>
      </c>
      <c r="P24" s="259">
        <f t="shared" ref="P24:AB24" si="5">P7*$T$35</f>
        <v>1.5</v>
      </c>
      <c r="Q24" s="259">
        <f t="shared" si="5"/>
        <v>1.5</v>
      </c>
      <c r="R24" s="259">
        <f t="shared" si="5"/>
        <v>1.5</v>
      </c>
      <c r="S24" s="259">
        <f t="shared" si="5"/>
        <v>1.8</v>
      </c>
      <c r="T24" s="259">
        <f t="shared" si="5"/>
        <v>1.8</v>
      </c>
      <c r="U24" s="259">
        <f t="shared" si="5"/>
        <v>1.8</v>
      </c>
      <c r="V24" s="259">
        <f t="shared" si="5"/>
        <v>2</v>
      </c>
      <c r="W24" s="259">
        <f t="shared" si="5"/>
        <v>2</v>
      </c>
      <c r="X24" s="259">
        <f t="shared" si="5"/>
        <v>2.5</v>
      </c>
      <c r="Y24" s="259">
        <f t="shared" si="5"/>
        <v>3</v>
      </c>
      <c r="Z24" s="259">
        <f t="shared" si="5"/>
        <v>3</v>
      </c>
      <c r="AA24" s="259">
        <f t="shared" si="5"/>
        <v>3.5</v>
      </c>
      <c r="AB24" s="259">
        <f t="shared" si="5"/>
        <v>3.5</v>
      </c>
      <c r="AC24" s="1"/>
    </row>
    <row r="25" ht="15.75" customHeight="1">
      <c r="A25" s="245">
        <v>0.24</v>
      </c>
      <c r="B25" s="246">
        <v>0.07</v>
      </c>
      <c r="C25" s="242">
        <f t="shared" si="1"/>
        <v>-123.5938808</v>
      </c>
      <c r="D25" s="1"/>
      <c r="G25" s="1"/>
      <c r="H25" s="1"/>
      <c r="I25" s="1"/>
      <c r="J25" s="1"/>
      <c r="K25" s="1"/>
      <c r="L25" s="1"/>
      <c r="O25" s="257">
        <v>0.5</v>
      </c>
      <c r="P25" s="258">
        <f t="shared" ref="P25:AB25" si="6">P8*$T$35</f>
        <v>1.5</v>
      </c>
      <c r="Q25" s="258">
        <f t="shared" si="6"/>
        <v>1.5</v>
      </c>
      <c r="R25" s="258">
        <f t="shared" si="6"/>
        <v>1.5</v>
      </c>
      <c r="S25" s="258">
        <f t="shared" si="6"/>
        <v>1.8</v>
      </c>
      <c r="T25" s="258">
        <f t="shared" si="6"/>
        <v>1.8</v>
      </c>
      <c r="U25" s="258">
        <f t="shared" si="6"/>
        <v>1.8</v>
      </c>
      <c r="V25" s="258">
        <f t="shared" si="6"/>
        <v>2</v>
      </c>
      <c r="W25" s="258">
        <f t="shared" si="6"/>
        <v>2</v>
      </c>
      <c r="X25" s="258">
        <f t="shared" si="6"/>
        <v>2.5</v>
      </c>
      <c r="Y25" s="258">
        <f t="shared" si="6"/>
        <v>3</v>
      </c>
      <c r="Z25" s="258">
        <f t="shared" si="6"/>
        <v>3</v>
      </c>
      <c r="AA25" s="258">
        <f t="shared" si="6"/>
        <v>3.5</v>
      </c>
      <c r="AB25" s="258">
        <f t="shared" si="6"/>
        <v>3.5</v>
      </c>
      <c r="AC25" s="1"/>
    </row>
    <row r="26" ht="15.75" customHeight="1">
      <c r="A26" s="245">
        <v>0.25</v>
      </c>
      <c r="B26" s="246">
        <v>0.08</v>
      </c>
      <c r="C26" s="242">
        <f t="shared" si="1"/>
        <v>-110.997495</v>
      </c>
      <c r="D26" s="1"/>
      <c r="G26" s="1"/>
      <c r="H26" s="1"/>
      <c r="I26" s="1"/>
      <c r="J26" s="1"/>
      <c r="K26" s="1"/>
      <c r="L26" s="1"/>
      <c r="O26" s="257">
        <v>0.55</v>
      </c>
      <c r="P26" s="259">
        <f t="shared" ref="P26:AB26" si="7">P9*$T$35</f>
        <v>1.8</v>
      </c>
      <c r="Q26" s="259">
        <f t="shared" si="7"/>
        <v>1.8</v>
      </c>
      <c r="R26" s="259">
        <f t="shared" si="7"/>
        <v>1.8</v>
      </c>
      <c r="S26" s="259">
        <f t="shared" si="7"/>
        <v>2.5</v>
      </c>
      <c r="T26" s="259">
        <f t="shared" si="7"/>
        <v>2.5</v>
      </c>
      <c r="U26" s="259">
        <f t="shared" si="7"/>
        <v>2.5</v>
      </c>
      <c r="V26" s="259">
        <f t="shared" si="7"/>
        <v>3</v>
      </c>
      <c r="W26" s="259">
        <f t="shared" si="7"/>
        <v>3</v>
      </c>
      <c r="X26" s="259">
        <f t="shared" si="7"/>
        <v>3.5</v>
      </c>
      <c r="Y26" s="259">
        <f t="shared" si="7"/>
        <v>4</v>
      </c>
      <c r="Z26" s="259">
        <f t="shared" si="7"/>
        <v>4</v>
      </c>
      <c r="AA26" s="259">
        <f t="shared" si="7"/>
        <v>4.5</v>
      </c>
      <c r="AB26" s="259">
        <f t="shared" si="7"/>
        <v>4.5</v>
      </c>
      <c r="AC26" s="1"/>
      <c r="AD26" s="1"/>
      <c r="AE26" s="1"/>
      <c r="AF26" s="1"/>
      <c r="AG26" s="1"/>
    </row>
    <row r="27" ht="15.75" customHeight="1">
      <c r="A27" s="245">
        <v>0.26</v>
      </c>
      <c r="B27" s="246">
        <v>0.09</v>
      </c>
      <c r="C27" s="242">
        <f t="shared" si="1"/>
        <v>-99.43253214</v>
      </c>
      <c r="D27" s="1"/>
      <c r="G27" s="263"/>
      <c r="H27" s="264"/>
      <c r="I27" s="264"/>
      <c r="J27" s="265"/>
      <c r="K27" s="1"/>
      <c r="L27" s="1"/>
      <c r="O27" s="257">
        <v>0.6</v>
      </c>
      <c r="P27" s="258">
        <f t="shared" ref="P27:AB27" si="8">P10*$T$35</f>
        <v>1.8</v>
      </c>
      <c r="Q27" s="258">
        <f t="shared" si="8"/>
        <v>1.8</v>
      </c>
      <c r="R27" s="258">
        <f t="shared" si="8"/>
        <v>1.8</v>
      </c>
      <c r="S27" s="258">
        <f t="shared" si="8"/>
        <v>2.5</v>
      </c>
      <c r="T27" s="258">
        <f t="shared" si="8"/>
        <v>2.5</v>
      </c>
      <c r="U27" s="258">
        <f t="shared" si="8"/>
        <v>2.5</v>
      </c>
      <c r="V27" s="258">
        <f t="shared" si="8"/>
        <v>3</v>
      </c>
      <c r="W27" s="258">
        <f t="shared" si="8"/>
        <v>3</v>
      </c>
      <c r="X27" s="258">
        <f t="shared" si="8"/>
        <v>3.5</v>
      </c>
      <c r="Y27" s="258">
        <f t="shared" si="8"/>
        <v>4</v>
      </c>
      <c r="Z27" s="258">
        <f t="shared" si="8"/>
        <v>4</v>
      </c>
      <c r="AA27" s="258">
        <f t="shared" si="8"/>
        <v>4.5</v>
      </c>
      <c r="AB27" s="258">
        <f t="shared" si="8"/>
        <v>4.5</v>
      </c>
      <c r="AC27" s="1"/>
      <c r="AD27" s="1"/>
      <c r="AE27" s="1"/>
      <c r="AF27" s="1"/>
      <c r="AG27" s="1"/>
    </row>
    <row r="28" ht="15.75" customHeight="1">
      <c r="A28" s="245">
        <v>0.27</v>
      </c>
      <c r="B28" s="246">
        <v>0.1</v>
      </c>
      <c r="C28" s="242">
        <f t="shared" si="1"/>
        <v>-88.8350945</v>
      </c>
      <c r="D28" s="1"/>
      <c r="G28" s="266" t="s">
        <v>44</v>
      </c>
      <c r="H28" s="267">
        <v>-953.68504</v>
      </c>
      <c r="I28" s="268"/>
      <c r="J28" s="269"/>
      <c r="K28" s="1"/>
      <c r="L28" s="1"/>
      <c r="O28" s="257">
        <v>0.65</v>
      </c>
      <c r="P28" s="259">
        <f t="shared" ref="P28:AB28" si="9">P11*$T$35</f>
        <v>1.8</v>
      </c>
      <c r="Q28" s="259">
        <f t="shared" si="9"/>
        <v>1.8</v>
      </c>
      <c r="R28" s="259">
        <f t="shared" si="9"/>
        <v>1.8</v>
      </c>
      <c r="S28" s="259">
        <f t="shared" si="9"/>
        <v>2.5</v>
      </c>
      <c r="T28" s="259">
        <f t="shared" si="9"/>
        <v>2.5</v>
      </c>
      <c r="U28" s="259">
        <f t="shared" si="9"/>
        <v>2.5</v>
      </c>
      <c r="V28" s="259">
        <f t="shared" si="9"/>
        <v>3</v>
      </c>
      <c r="W28" s="259">
        <f t="shared" si="9"/>
        <v>3</v>
      </c>
      <c r="X28" s="259">
        <f t="shared" si="9"/>
        <v>3.5</v>
      </c>
      <c r="Y28" s="259">
        <f t="shared" si="9"/>
        <v>4</v>
      </c>
      <c r="Z28" s="259">
        <f t="shared" si="9"/>
        <v>4</v>
      </c>
      <c r="AA28" s="259">
        <f t="shared" si="9"/>
        <v>4.5</v>
      </c>
      <c r="AB28" s="259">
        <f t="shared" si="9"/>
        <v>4.5</v>
      </c>
      <c r="AC28" s="1"/>
    </row>
    <row r="29" ht="15.75" customHeight="1">
      <c r="A29" s="245">
        <v>0.28</v>
      </c>
      <c r="B29" s="246">
        <v>0.11</v>
      </c>
      <c r="C29" s="242">
        <f t="shared" si="1"/>
        <v>-79.14394532</v>
      </c>
      <c r="D29" s="1"/>
      <c r="G29" s="266" t="s">
        <v>45</v>
      </c>
      <c r="H29" s="267">
        <v>6622.72073</v>
      </c>
      <c r="I29" s="268"/>
      <c r="J29" s="269"/>
      <c r="K29" s="1"/>
      <c r="L29" s="1"/>
      <c r="O29" s="257">
        <v>0.7</v>
      </c>
      <c r="P29" s="258">
        <f t="shared" ref="P29:AB29" si="10">P12*$T$35</f>
        <v>2.5</v>
      </c>
      <c r="Q29" s="258">
        <f t="shared" si="10"/>
        <v>2.5</v>
      </c>
      <c r="R29" s="258">
        <f t="shared" si="10"/>
        <v>2.5</v>
      </c>
      <c r="S29" s="258">
        <f t="shared" si="10"/>
        <v>3</v>
      </c>
      <c r="T29" s="258">
        <f t="shared" si="10"/>
        <v>3</v>
      </c>
      <c r="U29" s="258">
        <f t="shared" si="10"/>
        <v>3</v>
      </c>
      <c r="V29" s="258">
        <f t="shared" si="10"/>
        <v>4</v>
      </c>
      <c r="W29" s="258">
        <f t="shared" si="10"/>
        <v>4</v>
      </c>
      <c r="X29" s="258">
        <f t="shared" si="10"/>
        <v>5</v>
      </c>
      <c r="Y29" s="258">
        <f t="shared" si="10"/>
        <v>5</v>
      </c>
      <c r="Z29" s="258">
        <f t="shared" si="10"/>
        <v>5</v>
      </c>
      <c r="AA29" s="258">
        <f t="shared" si="10"/>
        <v>5.5</v>
      </c>
      <c r="AB29" s="258">
        <f t="shared" si="10"/>
        <v>5.5</v>
      </c>
      <c r="AC29" s="1"/>
    </row>
    <row r="30" ht="15.75" customHeight="1">
      <c r="A30" s="245">
        <v>0.29</v>
      </c>
      <c r="B30" s="246">
        <v>0.12</v>
      </c>
      <c r="C30" s="242">
        <f t="shared" si="1"/>
        <v>-70.30045296</v>
      </c>
      <c r="D30" s="1"/>
      <c r="G30" s="266" t="s">
        <v>46</v>
      </c>
      <c r="H30" s="267">
        <v>-18287.43042</v>
      </c>
      <c r="I30" s="268"/>
      <c r="J30" s="269"/>
      <c r="K30" s="1"/>
      <c r="L30" s="1"/>
      <c r="O30" s="257">
        <v>0.75</v>
      </c>
      <c r="P30" s="259">
        <f t="shared" ref="P30:AB30" si="11">P13*$T$35</f>
        <v>2.5</v>
      </c>
      <c r="Q30" s="259">
        <f t="shared" si="11"/>
        <v>2.5</v>
      </c>
      <c r="R30" s="259">
        <f t="shared" si="11"/>
        <v>2.5</v>
      </c>
      <c r="S30" s="259">
        <f t="shared" si="11"/>
        <v>3</v>
      </c>
      <c r="T30" s="259">
        <f t="shared" si="11"/>
        <v>3</v>
      </c>
      <c r="U30" s="259">
        <f t="shared" si="11"/>
        <v>3</v>
      </c>
      <c r="V30" s="259">
        <f t="shared" si="11"/>
        <v>4</v>
      </c>
      <c r="W30" s="259">
        <f t="shared" si="11"/>
        <v>4</v>
      </c>
      <c r="X30" s="259">
        <f t="shared" si="11"/>
        <v>5</v>
      </c>
      <c r="Y30" s="259">
        <f t="shared" si="11"/>
        <v>5</v>
      </c>
      <c r="Z30" s="259">
        <f t="shared" si="11"/>
        <v>5</v>
      </c>
      <c r="AA30" s="259">
        <f t="shared" si="11"/>
        <v>5.5</v>
      </c>
      <c r="AB30" s="259">
        <f t="shared" si="11"/>
        <v>5.5</v>
      </c>
      <c r="AC30" s="1"/>
    </row>
    <row r="31" ht="15.75" customHeight="1">
      <c r="A31" s="245">
        <v>0.3</v>
      </c>
      <c r="B31" s="246">
        <v>0.13</v>
      </c>
      <c r="C31" s="242">
        <f t="shared" si="1"/>
        <v>-62.24853472</v>
      </c>
      <c r="D31" s="1"/>
      <c r="G31" s="266" t="s">
        <v>47</v>
      </c>
      <c r="H31" s="267">
        <v>25117.35067</v>
      </c>
      <c r="I31" s="268"/>
      <c r="J31" s="269"/>
      <c r="K31" s="1"/>
      <c r="L31" s="1"/>
      <c r="O31" s="257">
        <v>0.8</v>
      </c>
      <c r="P31" s="258">
        <f t="shared" ref="P31:AB31" si="12">P14*$T$35</f>
        <v>2.5</v>
      </c>
      <c r="Q31" s="258">
        <f t="shared" si="12"/>
        <v>2.5</v>
      </c>
      <c r="R31" s="258">
        <f t="shared" si="12"/>
        <v>2.5</v>
      </c>
      <c r="S31" s="258">
        <f t="shared" si="12"/>
        <v>3</v>
      </c>
      <c r="T31" s="258">
        <f t="shared" si="12"/>
        <v>3</v>
      </c>
      <c r="U31" s="258">
        <f t="shared" si="12"/>
        <v>3</v>
      </c>
      <c r="V31" s="258">
        <f t="shared" si="12"/>
        <v>4</v>
      </c>
      <c r="W31" s="258">
        <f t="shared" si="12"/>
        <v>4</v>
      </c>
      <c r="X31" s="258">
        <f t="shared" si="12"/>
        <v>5</v>
      </c>
      <c r="Y31" s="258">
        <f t="shared" si="12"/>
        <v>5</v>
      </c>
      <c r="Z31" s="258">
        <f t="shared" si="12"/>
        <v>5</v>
      </c>
      <c r="AA31" s="258">
        <f t="shared" si="12"/>
        <v>5.5</v>
      </c>
      <c r="AB31" s="258">
        <f t="shared" si="12"/>
        <v>5.5</v>
      </c>
      <c r="AC31" s="1"/>
    </row>
    <row r="32" ht="15.75" customHeight="1">
      <c r="A32" s="245">
        <v>0.31</v>
      </c>
      <c r="B32" s="246">
        <v>0.14</v>
      </c>
      <c r="C32" s="242">
        <f t="shared" si="1"/>
        <v>-54.93460079</v>
      </c>
      <c r="D32" s="1"/>
      <c r="G32" s="266" t="s">
        <v>48</v>
      </c>
      <c r="H32" s="267">
        <v>-17165.31529</v>
      </c>
      <c r="I32" s="268"/>
      <c r="J32" s="269"/>
      <c r="K32" s="1"/>
      <c r="L32" s="1"/>
      <c r="O32" s="257">
        <v>0.85</v>
      </c>
      <c r="P32" s="259">
        <f t="shared" ref="P32:AB32" si="13">P15*$T$35</f>
        <v>3</v>
      </c>
      <c r="Q32" s="259">
        <f t="shared" si="13"/>
        <v>3</v>
      </c>
      <c r="R32" s="259">
        <f t="shared" si="13"/>
        <v>3</v>
      </c>
      <c r="S32" s="259">
        <f t="shared" si="13"/>
        <v>3.5</v>
      </c>
      <c r="T32" s="259">
        <f t="shared" si="13"/>
        <v>3.5</v>
      </c>
      <c r="U32" s="259">
        <f t="shared" si="13"/>
        <v>3.5</v>
      </c>
      <c r="V32" s="259">
        <f t="shared" si="13"/>
        <v>4.5</v>
      </c>
      <c r="W32" s="259">
        <f t="shared" si="13"/>
        <v>4.5</v>
      </c>
      <c r="X32" s="259">
        <f t="shared" si="13"/>
        <v>6</v>
      </c>
      <c r="Y32" s="259">
        <f t="shared" si="13"/>
        <v>6.5</v>
      </c>
      <c r="Z32" s="259">
        <f t="shared" si="13"/>
        <v>6.5</v>
      </c>
      <c r="AA32" s="259">
        <f t="shared" si="13"/>
        <v>7</v>
      </c>
      <c r="AB32" s="259">
        <f t="shared" si="13"/>
        <v>7</v>
      </c>
      <c r="AC32" s="1"/>
      <c r="AD32" s="1"/>
    </row>
    <row r="33" ht="15.75" customHeight="1">
      <c r="A33" s="245">
        <v>0.32</v>
      </c>
      <c r="B33" s="246">
        <v>0.16</v>
      </c>
      <c r="C33" s="242">
        <f t="shared" si="1"/>
        <v>-48.30749811</v>
      </c>
      <c r="D33" s="1"/>
      <c r="G33" s="270" t="s">
        <v>49</v>
      </c>
      <c r="H33" s="271">
        <v>4674.73656</v>
      </c>
      <c r="I33" s="272"/>
      <c r="J33" s="273"/>
      <c r="K33" s="1"/>
      <c r="L33" s="1"/>
      <c r="O33" s="257">
        <v>0.9</v>
      </c>
      <c r="P33" s="258">
        <f t="shared" ref="P33:AB33" si="14">P16*$T$35</f>
        <v>3</v>
      </c>
      <c r="Q33" s="258">
        <f t="shared" si="14"/>
        <v>3</v>
      </c>
      <c r="R33" s="258">
        <f t="shared" si="14"/>
        <v>3</v>
      </c>
      <c r="S33" s="258">
        <f t="shared" si="14"/>
        <v>3.5</v>
      </c>
      <c r="T33" s="258">
        <f t="shared" si="14"/>
        <v>3.5</v>
      </c>
      <c r="U33" s="258">
        <f t="shared" si="14"/>
        <v>3.5</v>
      </c>
      <c r="V33" s="258">
        <f t="shared" si="14"/>
        <v>4.5</v>
      </c>
      <c r="W33" s="258">
        <f t="shared" si="14"/>
        <v>4.5</v>
      </c>
      <c r="X33" s="258">
        <f t="shared" si="14"/>
        <v>6</v>
      </c>
      <c r="Y33" s="258">
        <f t="shared" si="14"/>
        <v>6.5</v>
      </c>
      <c r="Z33" s="258">
        <f t="shared" si="14"/>
        <v>6.5</v>
      </c>
      <c r="AA33" s="258">
        <f t="shared" si="14"/>
        <v>7</v>
      </c>
      <c r="AB33" s="258">
        <f t="shared" si="14"/>
        <v>7</v>
      </c>
      <c r="AC33" s="1"/>
      <c r="AD33" s="1"/>
    </row>
    <row r="34" ht="15.75" customHeight="1">
      <c r="A34" s="245">
        <v>0.33</v>
      </c>
      <c r="B34" s="246">
        <v>0.18</v>
      </c>
      <c r="C34" s="242">
        <f t="shared" si="1"/>
        <v>-42.31845431</v>
      </c>
      <c r="D34" s="1"/>
      <c r="G34" s="1"/>
      <c r="H34" s="268"/>
      <c r="I34" s="268"/>
      <c r="J34" s="274"/>
      <c r="K34" s="1"/>
      <c r="L34" s="1"/>
      <c r="P34" s="1"/>
      <c r="AC34" s="1"/>
      <c r="AD34" s="1"/>
    </row>
    <row r="35" ht="15.75" customHeight="1">
      <c r="A35" s="245">
        <v>0.34</v>
      </c>
      <c r="B35" s="246">
        <v>0.2</v>
      </c>
      <c r="C35" s="242">
        <f t="shared" si="1"/>
        <v>-36.92102158</v>
      </c>
      <c r="D35" s="1"/>
      <c r="G35" s="1"/>
      <c r="H35" s="268"/>
      <c r="I35" s="268"/>
      <c r="J35" s="274"/>
      <c r="K35" s="1"/>
      <c r="L35" s="1"/>
      <c r="O35" s="275" t="s">
        <v>50</v>
      </c>
      <c r="P35" s="276"/>
      <c r="Q35" s="276"/>
      <c r="R35" s="276"/>
      <c r="S35" s="277"/>
      <c r="T35" s="278">
        <v>1.0</v>
      </c>
      <c r="AC35" s="1"/>
      <c r="AD35" s="1"/>
    </row>
    <row r="36" ht="15.75" customHeight="1">
      <c r="A36" s="245">
        <v>0.35</v>
      </c>
      <c r="B36" s="246">
        <v>0.22</v>
      </c>
      <c r="C36" s="242">
        <f t="shared" si="1"/>
        <v>-32.07102062</v>
      </c>
      <c r="D36" s="1"/>
      <c r="G36" s="1"/>
      <c r="H36" s="1"/>
      <c r="I36" s="1"/>
      <c r="J36" s="1"/>
      <c r="K36" s="1"/>
      <c r="L36" s="1"/>
      <c r="P36" s="1"/>
      <c r="AC36" s="1"/>
      <c r="AD36" s="1"/>
    </row>
    <row r="37" ht="15.75" customHeight="1">
      <c r="A37" s="245">
        <v>0.36</v>
      </c>
      <c r="B37" s="246">
        <v>0.24</v>
      </c>
      <c r="C37" s="242">
        <f t="shared" si="1"/>
        <v>-27.72648447</v>
      </c>
      <c r="D37" s="1"/>
      <c r="G37" s="1"/>
      <c r="H37" s="1"/>
      <c r="I37" s="1"/>
      <c r="J37" s="1"/>
      <c r="K37" s="1"/>
      <c r="L37" s="1"/>
      <c r="O37" s="279" t="s">
        <v>51</v>
      </c>
      <c r="P37" s="248"/>
      <c r="Q37" s="248"/>
      <c r="R37" s="248"/>
      <c r="S37" s="248"/>
      <c r="T37" s="248"/>
      <c r="U37" s="280"/>
      <c r="V37" s="281">
        <v>30.0</v>
      </c>
      <c r="X37" s="1"/>
      <c r="AC37" s="1"/>
      <c r="AD37" s="1"/>
    </row>
    <row r="38" ht="15.75" customHeight="1">
      <c r="A38" s="245">
        <v>0.37</v>
      </c>
      <c r="B38" s="246">
        <v>0.26</v>
      </c>
      <c r="C38" s="242">
        <f t="shared" si="1"/>
        <v>-23.8476025</v>
      </c>
      <c r="D38" s="1"/>
      <c r="G38" s="1"/>
      <c r="H38" s="1"/>
      <c r="I38" s="1"/>
      <c r="J38" s="1"/>
      <c r="K38" s="1"/>
      <c r="L38" s="1"/>
      <c r="AC38" s="1"/>
      <c r="AD38" s="1"/>
    </row>
    <row r="39" ht="15.75" customHeight="1">
      <c r="A39" s="245">
        <v>0.38</v>
      </c>
      <c r="B39" s="246">
        <v>0.28</v>
      </c>
      <c r="C39" s="242">
        <f t="shared" si="1"/>
        <v>-20.39666424</v>
      </c>
      <c r="D39" s="1"/>
      <c r="G39" s="1"/>
      <c r="H39" s="1"/>
      <c r="I39" s="1"/>
      <c r="J39" s="1"/>
      <c r="K39" s="1"/>
      <c r="L39" s="1"/>
      <c r="N39" s="1"/>
      <c r="O39" s="1"/>
      <c r="S39" s="1"/>
      <c r="U39" s="1"/>
      <c r="V39" s="1"/>
      <c r="W39" s="1"/>
      <c r="X39" s="1"/>
      <c r="Y39" s="1"/>
      <c r="AC39" s="1"/>
      <c r="AD39" s="1"/>
    </row>
    <row r="40" ht="15.75" customHeight="1">
      <c r="A40" s="245">
        <v>0.39</v>
      </c>
      <c r="B40" s="246">
        <v>0.3</v>
      </c>
      <c r="C40" s="242">
        <f t="shared" si="1"/>
        <v>-17.33800332</v>
      </c>
      <c r="D40" s="1"/>
      <c r="G40" s="1"/>
      <c r="J40" s="1"/>
      <c r="K40" s="1"/>
      <c r="L40" s="1"/>
      <c r="O40" s="282"/>
      <c r="P40" s="283"/>
      <c r="Q40" s="283"/>
      <c r="R40" s="283"/>
      <c r="S40" s="283"/>
      <c r="T40" s="283"/>
      <c r="U40" s="283"/>
      <c r="V40" s="283"/>
      <c r="W40" s="283"/>
      <c r="X40" s="284"/>
      <c r="AC40" s="1"/>
      <c r="AD40" s="1"/>
    </row>
    <row r="41" ht="15.75" customHeight="1">
      <c r="A41" s="245">
        <v>0.4</v>
      </c>
      <c r="B41" s="246">
        <v>0.32</v>
      </c>
      <c r="C41" s="242">
        <f t="shared" si="1"/>
        <v>-14.63794137</v>
      </c>
      <c r="D41" s="1"/>
      <c r="I41" s="285"/>
      <c r="J41" s="1"/>
      <c r="K41" s="1"/>
      <c r="L41" s="1"/>
      <c r="O41" s="286"/>
      <c r="T41" s="287" t="s">
        <v>52</v>
      </c>
      <c r="X41" s="288"/>
      <c r="Z41" s="1"/>
      <c r="AA41" s="1"/>
      <c r="AB41" s="1"/>
      <c r="AC41" s="1"/>
      <c r="AD41" s="1"/>
    </row>
    <row r="42" ht="15.75" customHeight="1">
      <c r="A42" s="245">
        <v>0.41</v>
      </c>
      <c r="B42" s="246">
        <v>0.34</v>
      </c>
      <c r="C42" s="242">
        <f t="shared" si="1"/>
        <v>-12.26473192</v>
      </c>
      <c r="D42" s="1"/>
      <c r="G42" s="1"/>
      <c r="J42" s="1"/>
      <c r="K42" s="1"/>
      <c r="L42" s="1"/>
      <c r="O42" s="286"/>
      <c r="P42" s="1"/>
      <c r="Q42" s="1"/>
      <c r="R42" s="1"/>
      <c r="S42" s="1"/>
      <c r="T42" s="1"/>
      <c r="U42" s="1"/>
      <c r="V42" s="1"/>
      <c r="W42" s="1"/>
      <c r="X42" s="288"/>
      <c r="Z42" s="1"/>
      <c r="AA42" s="1"/>
      <c r="AB42" s="1"/>
      <c r="AC42" s="1"/>
      <c r="AD42" s="1"/>
    </row>
    <row r="43" ht="15.75" customHeight="1">
      <c r="A43" s="245">
        <v>0.42</v>
      </c>
      <c r="B43" s="246">
        <v>0.36</v>
      </c>
      <c r="C43" s="242">
        <f t="shared" si="1"/>
        <v>-10.18850429</v>
      </c>
      <c r="D43" s="1"/>
      <c r="G43" s="1"/>
      <c r="J43" s="1"/>
      <c r="K43" s="1"/>
      <c r="L43" s="1"/>
      <c r="O43" s="286"/>
      <c r="P43" s="289" t="s">
        <v>53</v>
      </c>
      <c r="Q43" s="248"/>
      <c r="R43" s="248"/>
      <c r="S43" s="248"/>
      <c r="T43" s="248"/>
      <c r="U43" s="248"/>
      <c r="V43" s="280"/>
      <c r="W43" s="290"/>
      <c r="X43" s="288"/>
      <c r="Z43" s="1"/>
      <c r="AA43" s="1"/>
      <c r="AB43" s="1"/>
      <c r="AC43" s="1"/>
      <c r="AD43" s="1"/>
    </row>
    <row r="44" ht="15.75" customHeight="1">
      <c r="A44" s="245">
        <v>0.43</v>
      </c>
      <c r="B44" s="246">
        <v>0.38</v>
      </c>
      <c r="C44" s="242">
        <f t="shared" si="1"/>
        <v>-8.381207514</v>
      </c>
      <c r="D44" s="1"/>
      <c r="G44" s="1"/>
      <c r="J44" s="1"/>
      <c r="K44" s="1"/>
      <c r="L44" s="1"/>
      <c r="O44" s="286"/>
      <c r="P44" s="289" t="s">
        <v>54</v>
      </c>
      <c r="Q44" s="248"/>
      <c r="R44" s="248"/>
      <c r="S44" s="248"/>
      <c r="T44" s="248"/>
      <c r="U44" s="248"/>
      <c r="V44" s="280"/>
      <c r="W44" s="290"/>
      <c r="X44" s="288"/>
      <c r="Z44" s="1"/>
      <c r="AA44" s="1"/>
      <c r="AB44" s="1"/>
      <c r="AC44" s="1"/>
      <c r="AD44" s="1"/>
    </row>
    <row r="45" ht="15.75" customHeight="1">
      <c r="A45" s="245">
        <v>0.44</v>
      </c>
      <c r="B45" s="246">
        <v>0.4</v>
      </c>
      <c r="C45" s="242">
        <f t="shared" si="1"/>
        <v>-6.816554244</v>
      </c>
      <c r="D45" s="1"/>
      <c r="G45" s="1"/>
      <c r="J45" s="1"/>
      <c r="K45" s="1"/>
      <c r="L45" s="1"/>
      <c r="O45" s="286"/>
      <c r="P45" s="1"/>
      <c r="Q45" s="1"/>
      <c r="R45" s="1"/>
      <c r="S45" s="1"/>
      <c r="T45" s="1"/>
      <c r="U45" s="1"/>
      <c r="V45" s="1"/>
      <c r="W45" s="1"/>
      <c r="X45" s="288"/>
      <c r="Z45" s="1"/>
      <c r="AA45" s="1"/>
      <c r="AB45" s="1"/>
      <c r="AC45" s="1"/>
      <c r="AD45" s="1"/>
    </row>
    <row r="46" ht="15.75" customHeight="1">
      <c r="A46" s="245">
        <v>0.45</v>
      </c>
      <c r="B46" s="246">
        <v>0.42</v>
      </c>
      <c r="C46" s="242">
        <f t="shared" si="1"/>
        <v>-5.469964628</v>
      </c>
      <c r="D46" s="1"/>
      <c r="G46" s="1"/>
      <c r="J46" s="1"/>
      <c r="K46" s="1"/>
      <c r="L46" s="1"/>
      <c r="O46" s="286"/>
      <c r="P46" s="1"/>
      <c r="Q46" s="1"/>
      <c r="T46" s="1"/>
      <c r="U46" s="1"/>
      <c r="V46" s="1"/>
      <c r="W46" s="1"/>
      <c r="X46" s="288"/>
      <c r="Z46" s="1"/>
      <c r="AA46" s="1"/>
      <c r="AB46" s="1"/>
      <c r="AC46" s="1"/>
      <c r="AD46" s="1"/>
    </row>
    <row r="47" ht="15.75" customHeight="1">
      <c r="A47" s="245">
        <v>0.46</v>
      </c>
      <c r="B47" s="246">
        <v>0.44</v>
      </c>
      <c r="C47" s="242">
        <f t="shared" si="1"/>
        <v>-4.318510237</v>
      </c>
      <c r="D47" s="1"/>
      <c r="G47" s="1"/>
      <c r="J47" s="1"/>
      <c r="K47" s="1"/>
      <c r="L47" s="1"/>
      <c r="O47" s="286"/>
      <c r="P47" s="1"/>
      <c r="Q47" s="1"/>
      <c r="R47" s="1"/>
      <c r="S47" s="1"/>
      <c r="T47" s="1"/>
      <c r="U47" s="1"/>
      <c r="V47" s="1"/>
      <c r="W47" s="1"/>
      <c r="X47" s="288"/>
      <c r="Z47" s="1"/>
      <c r="AA47" s="1"/>
      <c r="AB47" s="1"/>
      <c r="AC47" s="1"/>
      <c r="AD47" s="1"/>
    </row>
    <row r="48" ht="15.75" customHeight="1">
      <c r="A48" s="245">
        <v>0.47</v>
      </c>
      <c r="B48" s="246">
        <v>0.46</v>
      </c>
      <c r="C48" s="242">
        <f t="shared" si="1"/>
        <v>-3.340857955</v>
      </c>
      <c r="D48" s="1"/>
      <c r="G48" s="1"/>
      <c r="J48" s="1"/>
      <c r="K48" s="1"/>
      <c r="L48" s="1"/>
      <c r="O48" s="286"/>
      <c r="P48" s="1"/>
      <c r="Q48" s="1"/>
      <c r="R48" s="1"/>
      <c r="S48" s="1"/>
      <c r="T48" s="1"/>
      <c r="U48" s="1"/>
      <c r="V48" s="1"/>
      <c r="W48" s="1"/>
      <c r="X48" s="288"/>
      <c r="Z48" s="1"/>
      <c r="AA48" s="1"/>
      <c r="AB48" s="1"/>
      <c r="AC48" s="1"/>
      <c r="AD48" s="1"/>
    </row>
    <row r="49" ht="15.75" customHeight="1">
      <c r="A49" s="245">
        <v>0.48</v>
      </c>
      <c r="B49" s="246">
        <v>0.47</v>
      </c>
      <c r="C49" s="242">
        <f t="shared" si="1"/>
        <v>-2.517213892</v>
      </c>
      <c r="D49" s="1"/>
      <c r="G49" s="1"/>
      <c r="J49" s="1"/>
      <c r="K49" s="1"/>
      <c r="L49" s="1"/>
      <c r="O49" s="291"/>
      <c r="P49" s="1"/>
      <c r="Q49" s="1"/>
      <c r="R49" s="1"/>
      <c r="S49" s="1"/>
      <c r="T49" s="1"/>
      <c r="U49" s="1"/>
      <c r="V49" s="1"/>
      <c r="W49" s="1"/>
      <c r="X49" s="288"/>
    </row>
    <row r="50" ht="15.75" customHeight="1">
      <c r="A50" s="245">
        <v>0.49</v>
      </c>
      <c r="B50" s="246">
        <v>0.48</v>
      </c>
      <c r="C50" s="242">
        <f t="shared" si="1"/>
        <v>-1.829267279</v>
      </c>
      <c r="D50" s="1"/>
      <c r="G50" s="1"/>
      <c r="J50" s="1"/>
      <c r="K50" s="1"/>
      <c r="L50" s="1"/>
      <c r="O50" s="292"/>
      <c r="P50" s="293"/>
      <c r="Q50" s="293"/>
      <c r="R50" s="293"/>
      <c r="S50" s="293"/>
      <c r="T50" s="293"/>
      <c r="U50" s="293"/>
      <c r="V50" s="293"/>
      <c r="W50" s="293"/>
      <c r="X50" s="294"/>
    </row>
    <row r="51" ht="15.75" customHeight="1">
      <c r="A51" s="245">
        <v>0.5</v>
      </c>
      <c r="B51" s="246">
        <v>0.5</v>
      </c>
      <c r="C51" s="242">
        <f t="shared" si="1"/>
        <v>-1.260134375</v>
      </c>
      <c r="D51" s="1"/>
      <c r="G51" s="1"/>
      <c r="J51" s="1"/>
      <c r="K51" s="1"/>
      <c r="L51" s="1"/>
      <c r="O51" s="1"/>
      <c r="P51" s="1"/>
      <c r="Q51" s="1"/>
      <c r="R51" s="1"/>
    </row>
    <row r="52" ht="15.75" customHeight="1">
      <c r="A52" s="245">
        <v>0.51</v>
      </c>
      <c r="B52" s="246">
        <v>0.51</v>
      </c>
      <c r="C52" s="242">
        <f t="shared" si="1"/>
        <v>-0.7943023708</v>
      </c>
      <c r="D52" s="1"/>
      <c r="G52" s="1"/>
      <c r="J52" s="1"/>
      <c r="K52" s="1"/>
      <c r="L52" s="1"/>
      <c r="R52" s="1"/>
    </row>
    <row r="53" ht="15.75" customHeight="1">
      <c r="A53" s="245">
        <v>0.52</v>
      </c>
      <c r="B53" s="246">
        <v>0.53</v>
      </c>
      <c r="C53" s="242">
        <f t="shared" si="1"/>
        <v>-0.4175732897</v>
      </c>
      <c r="D53" s="1"/>
      <c r="G53" s="1"/>
      <c r="J53" s="1"/>
      <c r="K53" s="1"/>
      <c r="L53" s="1"/>
    </row>
    <row r="54" ht="15.75" customHeight="1">
      <c r="A54" s="245">
        <v>0.53</v>
      </c>
      <c r="B54" s="246">
        <v>0.54</v>
      </c>
      <c r="C54" s="242">
        <f t="shared" si="1"/>
        <v>-0.1170078925</v>
      </c>
      <c r="D54" s="1"/>
      <c r="G54" s="1"/>
      <c r="J54" s="1"/>
      <c r="K54" s="1"/>
      <c r="L54" s="1"/>
      <c r="R54" s="1"/>
    </row>
    <row r="55" ht="15.75" customHeight="1">
      <c r="A55" s="245">
        <v>0.54</v>
      </c>
      <c r="B55" s="246">
        <v>0.56</v>
      </c>
      <c r="C55" s="242">
        <f t="shared" si="1"/>
        <v>0.1191304202</v>
      </c>
      <c r="D55" s="1"/>
      <c r="G55" s="1"/>
      <c r="J55" s="1"/>
      <c r="K55" s="1"/>
      <c r="L55" s="1"/>
    </row>
    <row r="56" ht="15.75" customHeight="1">
      <c r="A56" s="245">
        <v>0.55</v>
      </c>
      <c r="B56" s="246">
        <v>0.58</v>
      </c>
      <c r="C56" s="242">
        <f t="shared" si="1"/>
        <v>0.3014317046</v>
      </c>
      <c r="D56" s="1"/>
      <c r="G56" s="1"/>
      <c r="J56" s="1"/>
      <c r="K56" s="1"/>
      <c r="L56" s="1"/>
    </row>
    <row r="57" ht="15.75" customHeight="1">
      <c r="A57" s="245">
        <v>0.56</v>
      </c>
      <c r="B57" s="246">
        <v>0.6</v>
      </c>
      <c r="C57" s="242">
        <f t="shared" si="1"/>
        <v>0.4393955704</v>
      </c>
      <c r="D57" s="1"/>
      <c r="G57" s="1"/>
      <c r="J57" s="1"/>
      <c r="K57" s="1"/>
      <c r="L57" s="1"/>
    </row>
    <row r="58" ht="15.75" customHeight="1">
      <c r="A58" s="245">
        <v>0.57</v>
      </c>
      <c r="B58" s="246">
        <v>0.62</v>
      </c>
      <c r="C58" s="242">
        <f t="shared" si="1"/>
        <v>0.5414872777</v>
      </c>
      <c r="D58" s="1"/>
      <c r="G58" s="1"/>
      <c r="J58" s="1"/>
      <c r="K58" s="1"/>
      <c r="L58" s="1"/>
    </row>
    <row r="59" ht="15.75" customHeight="1">
      <c r="A59" s="245">
        <v>0.58</v>
      </c>
      <c r="B59" s="246">
        <v>0.65</v>
      </c>
      <c r="C59" s="242">
        <f t="shared" si="1"/>
        <v>0.6151938341</v>
      </c>
      <c r="D59" s="1"/>
      <c r="G59" s="1"/>
      <c r="J59" s="1"/>
      <c r="K59" s="1"/>
      <c r="L59" s="1"/>
    </row>
    <row r="60" ht="15.75" customHeight="1">
      <c r="A60" s="245">
        <v>0.59</v>
      </c>
      <c r="B60" s="246">
        <v>0.68</v>
      </c>
      <c r="C60" s="242">
        <f t="shared" si="1"/>
        <v>0.6670800912</v>
      </c>
      <c r="D60" s="1"/>
      <c r="G60" s="1"/>
      <c r="J60" s="1"/>
      <c r="K60" s="1"/>
      <c r="L60" s="1"/>
    </row>
    <row r="61" ht="15.75" customHeight="1">
      <c r="A61" s="245">
        <v>0.6</v>
      </c>
      <c r="B61" s="246">
        <v>0.7</v>
      </c>
      <c r="C61" s="242">
        <f t="shared" si="1"/>
        <v>0.7028448416</v>
      </c>
      <c r="D61" s="1"/>
      <c r="G61" s="1"/>
      <c r="J61" s="1"/>
      <c r="K61" s="1"/>
      <c r="L61" s="1"/>
    </row>
    <row r="62" ht="15.75" customHeight="1">
      <c r="A62" s="245">
        <v>0.61</v>
      </c>
      <c r="B62" s="246">
        <v>0.71</v>
      </c>
      <c r="C62" s="242">
        <f t="shared" si="1"/>
        <v>0.7273769157</v>
      </c>
      <c r="D62" s="1"/>
      <c r="G62" s="1"/>
      <c r="J62" s="1"/>
      <c r="K62" s="1"/>
      <c r="L62" s="1"/>
      <c r="M62" s="1"/>
      <c r="N62" s="1"/>
    </row>
    <row r="63" ht="15.75" customHeight="1">
      <c r="A63" s="245">
        <v>0.62</v>
      </c>
      <c r="B63" s="246">
        <v>0.73</v>
      </c>
      <c r="C63" s="242">
        <f t="shared" si="1"/>
        <v>0.7448112787</v>
      </c>
      <c r="D63" s="1"/>
      <c r="G63" s="1"/>
      <c r="J63" s="1"/>
      <c r="K63" s="1"/>
      <c r="L63" s="1"/>
      <c r="M63" s="1"/>
      <c r="N63" s="1"/>
    </row>
    <row r="64" ht="15.75" customHeight="1">
      <c r="A64" s="245">
        <v>0.63</v>
      </c>
      <c r="B64" s="246">
        <v>0.75</v>
      </c>
      <c r="C64" s="242">
        <f t="shared" si="1"/>
        <v>0.758585127</v>
      </c>
      <c r="D64" s="1"/>
      <c r="G64" s="295"/>
      <c r="J64" s="295"/>
      <c r="K64" s="295"/>
      <c r="L64" s="295"/>
      <c r="M64" s="295"/>
      <c r="N64" s="295"/>
    </row>
    <row r="65" ht="15.75" customHeight="1">
      <c r="A65" s="245">
        <v>0.64</v>
      </c>
      <c r="B65" s="246">
        <v>0.78</v>
      </c>
      <c r="C65" s="242">
        <f t="shared" si="1"/>
        <v>0.7714939855</v>
      </c>
      <c r="D65" s="1"/>
      <c r="G65" s="1"/>
      <c r="J65" s="1"/>
      <c r="K65" s="1"/>
      <c r="L65" s="1"/>
      <c r="M65" s="1"/>
      <c r="N65" s="1"/>
    </row>
    <row r="66" ht="15.75" customHeight="1">
      <c r="A66" s="245">
        <v>0.65</v>
      </c>
      <c r="B66" s="246">
        <v>0.8</v>
      </c>
      <c r="C66" s="242">
        <f t="shared" si="1"/>
        <v>0.7857478045</v>
      </c>
      <c r="D66" s="1"/>
      <c r="G66" s="1"/>
      <c r="J66" s="1"/>
      <c r="K66" s="1"/>
      <c r="L66" s="1"/>
      <c r="M66" s="1"/>
      <c r="N66" s="1"/>
    </row>
    <row r="67" ht="15.75" customHeight="1">
      <c r="A67" s="245">
        <v>0.66</v>
      </c>
      <c r="B67" s="246">
        <v>0.82</v>
      </c>
      <c r="C67" s="242">
        <f t="shared" si="1"/>
        <v>0.8030270558</v>
      </c>
      <c r="D67" s="1"/>
      <c r="G67" s="1"/>
      <c r="J67" s="1"/>
      <c r="K67" s="1"/>
      <c r="L67" s="1"/>
    </row>
    <row r="68" ht="15.75" customHeight="1">
      <c r="A68" s="245">
        <v>0.67</v>
      </c>
      <c r="B68" s="246">
        <v>0.84</v>
      </c>
      <c r="C68" s="242">
        <f t="shared" si="1"/>
        <v>0.8245388305</v>
      </c>
      <c r="D68" s="1"/>
      <c r="G68" s="1"/>
      <c r="J68" s="1"/>
      <c r="K68" s="1"/>
      <c r="L68" s="1"/>
    </row>
    <row r="69" ht="15.75" customHeight="1">
      <c r="A69" s="245">
        <v>0.68</v>
      </c>
      <c r="B69" s="246">
        <v>0.87</v>
      </c>
      <c r="C69" s="242">
        <f t="shared" si="1"/>
        <v>0.8510729351</v>
      </c>
      <c r="D69" s="1"/>
      <c r="G69" s="1"/>
      <c r="J69" s="1"/>
      <c r="K69" s="1"/>
      <c r="L69" s="1"/>
    </row>
    <row r="70" ht="15.75" customHeight="1">
      <c r="A70" s="245">
        <v>0.69</v>
      </c>
      <c r="B70" s="246">
        <v>0.89</v>
      </c>
      <c r="C70" s="242">
        <f t="shared" si="1"/>
        <v>0.8830579889</v>
      </c>
      <c r="D70" s="1"/>
      <c r="G70" s="1"/>
      <c r="J70" s="1"/>
      <c r="K70" s="1"/>
      <c r="L70" s="1"/>
    </row>
    <row r="71" ht="15.75" customHeight="1">
      <c r="A71" s="245">
        <v>0.7</v>
      </c>
      <c r="B71" s="246">
        <v>0.9</v>
      </c>
      <c r="C71" s="242">
        <f t="shared" si="1"/>
        <v>0.9206175202</v>
      </c>
      <c r="D71" s="1"/>
      <c r="G71" s="1"/>
      <c r="J71" s="1"/>
      <c r="K71" s="1"/>
      <c r="L71" s="1"/>
    </row>
    <row r="72" ht="15.75" customHeight="1">
      <c r="A72" s="245">
        <v>0.71</v>
      </c>
      <c r="B72" s="246">
        <v>0.95</v>
      </c>
      <c r="C72" s="242">
        <f t="shared" si="1"/>
        <v>0.9636260638</v>
      </c>
      <c r="D72" s="296"/>
      <c r="G72" s="1"/>
      <c r="J72" s="1"/>
      <c r="K72" s="1"/>
      <c r="L72" s="1"/>
    </row>
    <row r="73" ht="15.75" customHeight="1">
      <c r="A73" s="245">
        <v>0.72</v>
      </c>
      <c r="B73" s="246">
        <v>1.0</v>
      </c>
      <c r="C73" s="242">
        <f t="shared" si="1"/>
        <v>1.011765257</v>
      </c>
      <c r="D73" s="1"/>
      <c r="G73" s="1"/>
      <c r="J73" s="1"/>
      <c r="K73" s="1"/>
      <c r="L73" s="1"/>
    </row>
    <row r="74" ht="15.75" customHeight="1">
      <c r="A74" s="245">
        <v>0.73</v>
      </c>
      <c r="B74" s="246">
        <v>1.07</v>
      </c>
      <c r="C74" s="242">
        <f t="shared" si="1"/>
        <v>1.064579939</v>
      </c>
      <c r="D74" s="296"/>
      <c r="G74" s="1"/>
      <c r="J74" s="1"/>
      <c r="K74" s="1"/>
      <c r="L74" s="1"/>
    </row>
    <row r="75" ht="15.75" customHeight="1">
      <c r="A75" s="245">
        <v>0.74</v>
      </c>
      <c r="B75" s="246">
        <v>1.14</v>
      </c>
      <c r="C75" s="242">
        <f t="shared" si="1"/>
        <v>1.121534242</v>
      </c>
      <c r="D75" s="296"/>
      <c r="G75" s="1"/>
      <c r="J75" s="1"/>
      <c r="K75" s="1"/>
      <c r="L75" s="1"/>
    </row>
    <row r="76" ht="15.75" customHeight="1">
      <c r="A76" s="245">
        <v>0.75</v>
      </c>
      <c r="B76" s="246">
        <v>1.2</v>
      </c>
      <c r="C76" s="242">
        <f t="shared" si="1"/>
        <v>1.182067695</v>
      </c>
      <c r="D76" s="1"/>
      <c r="G76" s="1"/>
      <c r="J76" s="1"/>
      <c r="K76" s="1"/>
      <c r="L76" s="1"/>
    </row>
    <row r="77" ht="15.75" customHeight="1">
      <c r="A77" s="245">
        <v>0.76</v>
      </c>
      <c r="B77" s="246">
        <v>1.27</v>
      </c>
      <c r="C77" s="242">
        <f t="shared" si="1"/>
        <v>1.245651317</v>
      </c>
      <c r="D77" s="296"/>
      <c r="G77" s="1"/>
      <c r="J77" s="1"/>
      <c r="K77" s="1"/>
      <c r="L77" s="1"/>
    </row>
    <row r="78" ht="15.75" customHeight="1">
      <c r="A78" s="245">
        <v>0.77</v>
      </c>
      <c r="B78" s="246">
        <v>1.34</v>
      </c>
      <c r="C78" s="242">
        <f t="shared" si="1"/>
        <v>1.311843712</v>
      </c>
      <c r="D78" s="296"/>
      <c r="G78" s="1"/>
      <c r="J78" s="1"/>
      <c r="K78" s="1"/>
      <c r="L78" s="1"/>
    </row>
    <row r="79" ht="15.75" customHeight="1">
      <c r="A79" s="245">
        <v>0.78</v>
      </c>
      <c r="B79" s="246">
        <v>1.4</v>
      </c>
      <c r="C79" s="242">
        <f t="shared" si="1"/>
        <v>1.38034717</v>
      </c>
      <c r="D79" s="1"/>
      <c r="G79" s="1"/>
      <c r="J79" s="1"/>
      <c r="K79" s="1"/>
      <c r="L79" s="1"/>
    </row>
    <row r="80" ht="15.75" customHeight="1">
      <c r="A80" s="245">
        <v>0.79</v>
      </c>
      <c r="B80" s="246">
        <v>1.47</v>
      </c>
      <c r="C80" s="242">
        <f t="shared" si="1"/>
        <v>1.451063762</v>
      </c>
      <c r="D80" s="296"/>
      <c r="G80" s="1"/>
      <c r="J80" s="1"/>
      <c r="K80" s="1"/>
      <c r="L80" s="1"/>
    </row>
    <row r="81" ht="15.75" customHeight="1">
      <c r="A81" s="245">
        <v>0.8</v>
      </c>
      <c r="B81" s="246">
        <v>1.53</v>
      </c>
      <c r="C81" s="242">
        <f t="shared" si="1"/>
        <v>1.524151437</v>
      </c>
      <c r="D81" s="296"/>
      <c r="G81" s="1"/>
      <c r="J81" s="1"/>
      <c r="K81" s="1"/>
      <c r="L81" s="1"/>
    </row>
    <row r="82" ht="15.75" customHeight="1">
      <c r="A82" s="245">
        <v>0.81</v>
      </c>
      <c r="B82" s="246">
        <v>1.6</v>
      </c>
      <c r="C82" s="242">
        <f t="shared" si="1"/>
        <v>1.600080116</v>
      </c>
      <c r="D82" s="1"/>
      <c r="G82" s="1"/>
      <c r="J82" s="1"/>
      <c r="K82" s="1"/>
      <c r="L82" s="1"/>
    </row>
    <row r="83" ht="15.75" customHeight="1">
      <c r="A83" s="245">
        <v>0.82</v>
      </c>
      <c r="B83" s="246">
        <v>1.67</v>
      </c>
      <c r="C83" s="242">
        <f t="shared" si="1"/>
        <v>1.679687795</v>
      </c>
      <c r="D83" s="296"/>
      <c r="G83" s="1"/>
      <c r="J83" s="1"/>
      <c r="K83" s="1"/>
      <c r="L83" s="1"/>
    </row>
    <row r="84" ht="15.75" customHeight="1">
      <c r="A84" s="245">
        <v>0.83</v>
      </c>
      <c r="B84" s="246">
        <v>1.74</v>
      </c>
      <c r="C84" s="242">
        <f t="shared" si="1"/>
        <v>1.764236635</v>
      </c>
      <c r="D84" s="296"/>
      <c r="G84" s="1"/>
      <c r="J84" s="1"/>
      <c r="K84" s="1"/>
      <c r="L84" s="1"/>
    </row>
    <row r="85" ht="15.75" customHeight="1">
      <c r="A85" s="245">
        <v>0.84</v>
      </c>
      <c r="B85" s="246">
        <v>1.82</v>
      </c>
      <c r="C85" s="242">
        <f t="shared" si="1"/>
        <v>1.855469064</v>
      </c>
      <c r="D85" s="296"/>
      <c r="G85" s="1"/>
      <c r="J85" s="1"/>
      <c r="K85" s="1"/>
      <c r="L85" s="1"/>
    </row>
    <row r="86" ht="15.75" customHeight="1">
      <c r="A86" s="245">
        <v>0.85</v>
      </c>
      <c r="B86" s="246">
        <v>1.9</v>
      </c>
      <c r="C86" s="242">
        <f t="shared" si="1"/>
        <v>1.955663873</v>
      </c>
      <c r="D86" s="1"/>
      <c r="E86" s="1"/>
      <c r="F86" s="296"/>
      <c r="G86" s="1"/>
      <c r="J86" s="1"/>
      <c r="K86" s="1"/>
      <c r="L86" s="1"/>
    </row>
    <row r="87" ht="15.75" customHeight="1">
      <c r="A87" s="245">
        <v>0.86</v>
      </c>
      <c r="B87" s="246">
        <v>2.05</v>
      </c>
      <c r="C87" s="242">
        <f t="shared" si="1"/>
        <v>2.067692309</v>
      </c>
      <c r="D87" s="296"/>
      <c r="E87" s="1"/>
      <c r="F87" s="296"/>
      <c r="G87" s="1"/>
      <c r="J87" s="1"/>
      <c r="K87" s="1"/>
      <c r="L87" s="1"/>
    </row>
    <row r="88" ht="15.75" customHeight="1">
      <c r="A88" s="245">
        <v>0.87</v>
      </c>
      <c r="B88" s="246">
        <v>2.2</v>
      </c>
      <c r="C88" s="242">
        <f t="shared" si="1"/>
        <v>2.195074177</v>
      </c>
      <c r="D88" s="296"/>
      <c r="E88" s="1"/>
      <c r="F88" s="296"/>
      <c r="G88" s="1"/>
      <c r="J88" s="1"/>
      <c r="K88" s="1"/>
      <c r="L88" s="1"/>
    </row>
    <row r="89" ht="15.75" customHeight="1">
      <c r="A89" s="245">
        <v>0.88</v>
      </c>
      <c r="B89" s="246">
        <v>2.4</v>
      </c>
      <c r="C89" s="242">
        <f t="shared" si="1"/>
        <v>2.342033932</v>
      </c>
      <c r="D89" s="1"/>
      <c r="E89" s="1"/>
      <c r="F89" s="296"/>
      <c r="G89" s="1"/>
      <c r="J89" s="1"/>
      <c r="K89" s="1"/>
      <c r="L89" s="1"/>
    </row>
    <row r="90" ht="15.75" customHeight="1">
      <c r="A90" s="245">
        <v>0.89</v>
      </c>
      <c r="B90" s="246">
        <v>2.6</v>
      </c>
      <c r="C90" s="242">
        <f t="shared" si="1"/>
        <v>2.513556781</v>
      </c>
      <c r="D90" s="296"/>
      <c r="E90" s="1"/>
      <c r="F90" s="296"/>
      <c r="G90" s="1"/>
      <c r="J90" s="1"/>
      <c r="K90" s="1"/>
      <c r="L90" s="1"/>
    </row>
    <row r="91" ht="15.75" customHeight="1">
      <c r="A91" s="245">
        <v>0.9</v>
      </c>
      <c r="B91" s="246">
        <v>2.8</v>
      </c>
      <c r="C91" s="242">
        <f t="shared" si="1"/>
        <v>2.715444775</v>
      </c>
      <c r="D91" s="296"/>
      <c r="E91" s="1"/>
      <c r="F91" s="296"/>
      <c r="G91" s="1"/>
      <c r="J91" s="1"/>
      <c r="K91" s="1"/>
      <c r="L91" s="1"/>
    </row>
    <row r="92" ht="15.75" customHeight="1">
      <c r="A92" s="245">
        <v>0.91</v>
      </c>
      <c r="B92" s="246">
        <v>3.0</v>
      </c>
      <c r="C92" s="242">
        <f t="shared" si="1"/>
        <v>2.95437291</v>
      </c>
      <c r="D92" s="296"/>
      <c r="E92" s="1"/>
      <c r="F92" s="296"/>
      <c r="G92" s="1"/>
      <c r="J92" s="1"/>
      <c r="K92" s="1"/>
      <c r="L92" s="1"/>
    </row>
    <row r="93" ht="15.75" customHeight="1">
      <c r="A93" s="245">
        <v>0.92</v>
      </c>
      <c r="B93" s="246">
        <v>3.2</v>
      </c>
      <c r="C93" s="242">
        <f t="shared" si="1"/>
        <v>3.23794522</v>
      </c>
      <c r="D93" s="1"/>
      <c r="E93" s="1"/>
      <c r="F93" s="296"/>
      <c r="G93" s="1"/>
      <c r="H93" s="1"/>
      <c r="I93" s="1"/>
      <c r="J93" s="1"/>
      <c r="K93" s="1"/>
      <c r="L93" s="1"/>
    </row>
    <row r="94" ht="15.75" customHeight="1">
      <c r="A94" s="245">
        <v>0.93</v>
      </c>
      <c r="B94" s="246">
        <v>3.6</v>
      </c>
      <c r="C94" s="242">
        <f t="shared" si="1"/>
        <v>3.574750876</v>
      </c>
      <c r="D94" s="296"/>
      <c r="E94" s="1"/>
      <c r="F94" s="296"/>
      <c r="G94" s="1"/>
      <c r="H94" s="1"/>
      <c r="I94" s="1"/>
      <c r="J94" s="1"/>
      <c r="K94" s="1"/>
      <c r="L94" s="1"/>
    </row>
    <row r="95" ht="15.75" customHeight="1">
      <c r="A95" s="245">
        <v>0.94</v>
      </c>
      <c r="B95" s="246">
        <v>4.0</v>
      </c>
      <c r="C95" s="242">
        <f t="shared" si="1"/>
        <v>3.974420284</v>
      </c>
      <c r="D95" s="1"/>
      <c r="E95" s="1"/>
      <c r="F95" s="296"/>
      <c r="G95" s="1"/>
      <c r="H95" s="1"/>
      <c r="I95" s="1"/>
      <c r="J95" s="1"/>
      <c r="K95" s="1"/>
      <c r="L95" s="1"/>
    </row>
    <row r="96" ht="15.75" customHeight="1">
      <c r="A96" s="245">
        <v>0.95</v>
      </c>
      <c r="B96" s="246">
        <v>4.5</v>
      </c>
      <c r="C96" s="242">
        <f t="shared" si="1"/>
        <v>4.447681178</v>
      </c>
      <c r="D96" s="1"/>
      <c r="E96" s="1"/>
      <c r="F96" s="296"/>
      <c r="G96" s="1"/>
      <c r="H96" s="1"/>
      <c r="I96" s="1"/>
      <c r="J96" s="1"/>
      <c r="K96" s="1"/>
      <c r="L96" s="1"/>
    </row>
    <row r="97" ht="15.75" customHeight="1">
      <c r="A97" s="245">
        <v>0.96</v>
      </c>
      <c r="B97" s="246">
        <v>5.0</v>
      </c>
      <c r="C97" s="242">
        <f t="shared" si="1"/>
        <v>5.006414721</v>
      </c>
      <c r="D97" s="1"/>
      <c r="E97" s="1"/>
      <c r="F97" s="296"/>
      <c r="G97" s="1"/>
      <c r="H97" s="1"/>
      <c r="I97" s="1"/>
      <c r="J97" s="1"/>
      <c r="K97" s="1"/>
      <c r="L97" s="1"/>
    </row>
    <row r="98" ht="15.75" customHeight="1">
      <c r="A98" s="245">
        <v>0.97</v>
      </c>
      <c r="B98" s="246">
        <v>7.5</v>
      </c>
      <c r="C98" s="242">
        <f t="shared" si="1"/>
        <v>5.663711599</v>
      </c>
      <c r="D98" s="1"/>
      <c r="E98" s="1"/>
      <c r="F98" s="296"/>
      <c r="G98" s="1"/>
      <c r="H98" s="1"/>
      <c r="I98" s="1"/>
      <c r="J98" s="1"/>
      <c r="K98" s="1"/>
      <c r="L98" s="1"/>
    </row>
    <row r="99" ht="15.75" customHeight="1">
      <c r="A99" s="245">
        <v>0.98</v>
      </c>
      <c r="B99" s="246">
        <v>12.0</v>
      </c>
      <c r="C99" s="242">
        <f t="shared" si="1"/>
        <v>6.433928119</v>
      </c>
      <c r="D99" s="1"/>
      <c r="E99" s="1"/>
      <c r="F99" s="296"/>
      <c r="G99" s="1"/>
      <c r="H99" s="1"/>
      <c r="I99" s="1"/>
      <c r="J99" s="1"/>
      <c r="K99" s="1"/>
      <c r="L99" s="1"/>
    </row>
    <row r="100" ht="15.75" customHeight="1">
      <c r="A100" s="245">
        <v>0.99</v>
      </c>
      <c r="B100" s="246">
        <v>18.0</v>
      </c>
      <c r="C100" s="242">
        <f t="shared" si="1"/>
        <v>7.332742306</v>
      </c>
      <c r="D100" s="1"/>
      <c r="E100" s="1"/>
      <c r="F100" s="296"/>
      <c r="G100" s="1"/>
      <c r="H100" s="1"/>
      <c r="I100" s="1"/>
      <c r="J100" s="1"/>
      <c r="K100" s="1"/>
      <c r="L100" s="1"/>
    </row>
    <row r="101" ht="15.75" customHeight="1">
      <c r="A101" s="297">
        <v>1.0</v>
      </c>
      <c r="B101" s="298">
        <v>25.0</v>
      </c>
      <c r="C101" s="299">
        <f t="shared" si="1"/>
        <v>8.37721</v>
      </c>
      <c r="D101" s="1"/>
      <c r="E101" s="1"/>
      <c r="F101" s="296"/>
      <c r="G101" s="1"/>
      <c r="H101" s="1"/>
      <c r="I101" s="1"/>
      <c r="J101" s="1"/>
      <c r="K101" s="1"/>
      <c r="L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mergeCells count="8">
    <mergeCell ref="P2:AB2"/>
    <mergeCell ref="AE2:AH5"/>
    <mergeCell ref="AE6:AH8"/>
    <mergeCell ref="AE9:AH14"/>
    <mergeCell ref="P19:AB19"/>
    <mergeCell ref="O37:U37"/>
    <mergeCell ref="P43:V43"/>
    <mergeCell ref="P44:V44"/>
  </mergeCells>
  <printOptions/>
  <pageMargins bottom="0.75" footer="0.0" header="0.0" left="0.7" right="0.7" top="0.75"/>
  <pageSetup paperSize="9" orientation="portrait"/>
  <drawing r:id="rId1"/>
</worksheet>
</file>